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3.xml" ContentType="application/vnd.openxmlformats-officedocument.spreadsheetml.worksheet+xml"/>
  <Override PartName="/xl/tables/table9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4c36207d2f4e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f18da63ddb204cd2"/>
    <x:sheet xmlns:r="http://schemas.openxmlformats.org/officeDocument/2006/relationships" name="Master_Data" sheetId="2" r:id="Redef85e31ea84b5d"/>
    <x:sheet xmlns:r="http://schemas.openxmlformats.org/officeDocument/2006/relationships" name="Journal" sheetId="3" r:id="Re0d1122dbc0540e0"/>
    <x:sheet xmlns:r="http://schemas.openxmlformats.org/officeDocument/2006/relationships" name="Reports" sheetId="4" r:id="R64bb55b15aa44d9a"/>
    <x:sheet xmlns:r="http://schemas.openxmlformats.org/officeDocument/2006/relationships" name="Balances" sheetId="5" r:id="Rd1accb9ce3814bc9"/>
    <x:sheet xmlns:r="http://schemas.openxmlformats.org/officeDocument/2006/relationships" name="Checks" sheetId="6" r:id="R9a00741bc2d847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%"/>
    <x:numFmt numFmtId="165" formatCode="#,##0.00_);[Red](#,##0.00);&quot;-&quot;_);@"/>
    <x:numFmt numFmtId="166" formatCode="yyyy-mm-dd"/>
    <x:numFmt numFmtId="167" formatCode="yyyy-mm"/>
  </x:numFmts>
  <x:fonts count="6">
    <x:font>
      <x:sz val="11"/>
      <x:color theme="1"/>
      <x:name val="Calibri"/>
      <x:family val="2"/>
      <x:scheme val="minor"/>
    </x:font>
    <x:font>
      <x:b/>
      <x:sz val="14"/>
    </x:font>
    <x:font>
      <x:b/>
      <x:color rgb="00000000"/>
    </x:font>
    <x:font>
      <x:b/>
      <x:sz val="12"/>
      <x:color rgb="00FFFFFF"/>
    </x:font>
    <x:font>
      <x:b/>
      <x:color rgb="00FFFFFF"/>
    </x:font>
    <x:font>
      <x:color rgb="000000FF"/>
    </x:font>
  </x:fonts>
  <x:fills count="5">
    <x:fill>
      <x:patternFill patternType="none"/>
    </x:fill>
    <x:fill>
      <x:patternFill patternType="gray125"/>
    </x:fill>
    <x:fill>
      <x:patternFill patternType="solid">
        <x:fgColor rgb="000C1B36"/>
      </x:patternFill>
    </x:fill>
    <x:fill>
      <x:patternFill patternType="solid">
        <x:fgColor rgb="00FFF2CC"/>
      </x:patternFill>
    </x:fill>
    <x:fill>
      <x:patternFill patternType="solid">
        <x:fgColor rgb="00E6EEF9"/>
      </x:patternFill>
    </x:fill>
  </x:fills>
  <x:borders count="2">
    <x:border>
      <x:left/>
      <x:right/>
      <x:top/>
      <x:bottom/>
      <x:diagonal/>
    </x:border>
    <x:border>
      <x:left style="thin">
        <x:color rgb="00A0A0A0"/>
      </x:left>
      <x:right style="thin">
        <x:color rgb="00A0A0A0"/>
      </x:right>
      <x:top style="thin">
        <x:color rgb="00A0A0A0"/>
      </x:top>
      <x:bottom style="thin">
        <x:color rgb="00A0A0A0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/>
    <x:xf numFmtId="0" fontId="2" fillId="0" borderId="0" xfId="0"/>
    <x:xf numFmtId="0" fontId="3" fillId="2" borderId="0" xfId="0" applyAlignment="1">
      <x:alignment horizontal="left" vertical="center" wrapText="1"/>
    </x:xf>
    <x:xf numFmtId="0" fontId="4" fillId="2" borderId="1" xfId="0" applyAlignment="1">
      <x:alignment horizontal="center" vertical="center" wrapText="1"/>
    </x:xf>
    <x:xf numFmtId="0" fontId="0" fillId="0" borderId="1" xfId="0" applyAlignment="1">
      <x:alignment horizontal="left" vertical="center" wrapText="1"/>
    </x:xf>
    <x:xf numFmtId="164" fontId="0" fillId="0" borderId="1" xfId="0" applyAlignment="1">
      <x:alignment horizontal="right" vertical="center"/>
    </x:xf>
    <x:xf numFmtId="165" fontId="0" fillId="0" borderId="1" xfId="0" applyAlignment="1">
      <x:alignment horizontal="right" vertical="center"/>
    </x:xf>
    <x:xf numFmtId="0" fontId="2" fillId="0" borderId="1" xfId="0" applyAlignment="1">
      <x:alignment horizontal="left" vertical="center" wrapText="1"/>
    </x:xf>
    <x:xf numFmtId="165" fontId="5" fillId="3" borderId="1" xfId="0" applyAlignment="1">
      <x:alignment horizontal="right" vertical="center"/>
    </x:xf>
    <x:xf numFmtId="0" fontId="0" fillId="0" borderId="1" xfId="0"/>
    <x:xf numFmtId="166" fontId="5" fillId="3" borderId="1" xfId="0" applyAlignment="1">
      <x:alignment horizontal="right" vertical="center"/>
    </x:xf>
    <x:xf numFmtId="0" fontId="5" fillId="3" borderId="1" xfId="0" applyAlignment="1">
      <x:alignment horizontal="left" vertical="center" wrapText="1"/>
    </x:xf>
    <x:xf numFmtId="0" fontId="0" fillId="0" borderId="1" xfId="0" applyAlignment="1">
      <x:alignment horizontal="right" vertical="center"/>
    </x:xf>
    <x:xf numFmtId="166" fontId="0" fillId="0" borderId="1" xfId="0" applyAlignment="1">
      <x:alignment horizontal="right" vertical="center"/>
    </x:xf>
    <x:xf numFmtId="167" fontId="0" fillId="0" borderId="1" xfId="0" applyAlignment="1">
      <x:alignment horizontal="left" vertical="center" wrapText="1"/>
    </x:xf>
    <x:xf numFmtId="0" fontId="2" fillId="4" borderId="1" xfId="0"/>
    <x:xf numFmtId="165" fontId="2" fillId="4" borderId="1" xfId="0" applyAlignment="1">
      <x:alignment horizontal="right" vertical="center"/>
    </x:xf>
    <x:xf numFmtId="0" fontId="2" fillId="0" borderId="1" xfId="0"/>
  </x:cellXfs>
  <x:cellStyles count="1">
    <x:cellStyle name="Normal" xfId="0"/>
  </x:cellStyles>
  <x:dxfs count="2">
    <x:dxf>
      <x:fill>
        <x:patternFill>
          <x:bgColor rgb="00F8D7DA"/>
        </x:patternFill>
      </x:fill>
    </x:dxf>
    <x:dxf>
      <x:fill>
        <x:patternFill>
          <x:bgColor rgb="00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834e76b9404080" /><Relationship Type="http://schemas.openxmlformats.org/officeDocument/2006/relationships/theme" Target="/xl/theme/theme1.xml" Id="R8cb4a8238d7040fd" /><Relationship Type="http://schemas.openxmlformats.org/officeDocument/2006/relationships/sharedStrings" Target="/xl/sharedStrings.xml" Id="Rd528f532d27a4b75" /><Relationship Type="http://schemas.openxmlformats.org/officeDocument/2006/relationships/worksheet" Target="/xl/worksheets/sheet1.xml" Id="Rf18da63ddb204cd2" /><Relationship Type="http://schemas.openxmlformats.org/officeDocument/2006/relationships/worksheet" Target="/xl/worksheets/sheet2.xml" Id="Redef85e31ea84b5d" /><Relationship Type="http://schemas.openxmlformats.org/officeDocument/2006/relationships/worksheet" Target="/xl/worksheets/sheet3.xml" Id="Re0d1122dbc0540e0" /><Relationship Type="http://schemas.openxmlformats.org/officeDocument/2006/relationships/worksheet" Target="/xl/worksheets/sheet4.xml" Id="R64bb55b15aa44d9a" /><Relationship Type="http://schemas.openxmlformats.org/officeDocument/2006/relationships/worksheet" Target="/xl/worksheets/sheet5.xml" Id="Rd1accb9ce3814bc9" /><Relationship Type="http://schemas.openxmlformats.org/officeDocument/2006/relationships/worksheet" Target="/xl/worksheets/sheet6.xml" Id="R9a00741bc2d8472a" /></Relationships>
</file>

<file path=xl/tables/table1.xml><?xml version="1.0" encoding="utf-8"?>
<x:table xmlns:x="http://schemas.openxmlformats.org/spreadsheetml/2006/main" id="1" name="tblVAT" displayName="tblVAT" ref="A4:C8" headerRowCount="1">
  <x:autoFilter ref="A4:C8"/>
  <x:tableColumns count="3">
    <x:tableColumn id="1" name="Code"/>
    <x:tableColumn id="2" name="Description"/>
    <x:tableColumn id="3" name="Rate"/>
  </x:tableColumns>
  <x:tableStyleInfo name="TableStyleMedium9" showRowStripes="1"/>
</x:table>
</file>

<file path=xl/tables/table2.xml><?xml version="1.0" encoding="utf-8"?>
<x:table xmlns:x="http://schemas.openxmlformats.org/spreadsheetml/2006/main" id="2" name="tblBanks" displayName="tblBanks" ref="E4:H5" headerRowCount="1">
  <x:autoFilter ref="E4:H5"/>
  <x:tableColumns count="4">
    <x:tableColumn id="5" name="AccountID"/>
    <x:tableColumn id="6" name="Account Name"/>
    <x:tableColumn id="7" name="Currency"/>
    <x:tableColumn id="8" name="Opening Balance"/>
  </x:tableColumns>
  <x:tableStyleInfo name="TableStyleMedium9" showRowStripes="1"/>
</x:table>
</file>

<file path=xl/tables/table3.xml><?xml version="1.0" encoding="utf-8"?>
<x:table xmlns:x="http://schemas.openxmlformats.org/spreadsheetml/2006/main" id="3" name="tblPayMethods" displayName="tblPayMethods" ref="A14:A18" headerRowCount="1">
  <x:autoFilter ref="A14:A18"/>
  <x:tableColumns count="1">
    <x:tableColumn id="1" name="Method"/>
  </x:tableColumns>
  <x:tableStyleInfo name="TableStyleMedium9" showRowStripes="1"/>
</x:table>
</file>

<file path=xl/tables/table4.xml><?xml version="1.0" encoding="utf-8"?>
<x:table xmlns:x="http://schemas.openxmlformats.org/spreadsheetml/2006/main" id="4" name="tblStatuses" displayName="tblStatuses" ref="C14:C16" headerRowCount="1">
  <x:autoFilter ref="C14:C16"/>
  <x:tableColumns count="1">
    <x:tableColumn id="3" name="Status"/>
  </x:tableColumns>
  <x:tableStyleInfo name="TableStyleMedium9" showRowStripes="1"/>
</x:table>
</file>

<file path=xl/tables/table5.xml><?xml version="1.0" encoding="utf-8"?>
<x:table xmlns:x="http://schemas.openxmlformats.org/spreadsheetml/2006/main" id="5" name="tblDocTypes" displayName="tblDocTypes" ref="E14:E20" headerRowCount="1">
  <x:autoFilter ref="E14:E20"/>
  <x:tableColumns count="1">
    <x:tableColumn id="5" name="DocType"/>
  </x:tableColumns>
  <x:tableStyleInfo name="TableStyleMedium9" showRowStripes="1"/>
</x:table>
</file>

<file path=xl/tables/table6.xml><?xml version="1.0" encoding="utf-8"?>
<x:table xmlns:x="http://schemas.openxmlformats.org/spreadsheetml/2006/main" id="6" name="tblCostCenters" displayName="tblCostCenters" ref="G14:G18" headerRowCount="1">
  <x:autoFilter ref="G14:G18"/>
  <x:tableColumns count="1">
    <x:tableColumn id="7" name="CostCenter"/>
  </x:tableColumns>
  <x:tableStyleInfo name="TableStyleMedium9" showRowStripes="1"/>
</x:table>
</file>

<file path=xl/tables/table7.xml><?xml version="1.0" encoding="utf-8"?>
<x:table xmlns:x="http://schemas.openxmlformats.org/spreadsheetml/2006/main" id="7" name="tblCOA" displayName="tblCOA" ref="A23:C30" headerRowCount="1">
  <x:autoFilter ref="A23:C30"/>
  <x:tableColumns count="3">
    <x:tableColumn id="1" name="Account"/>
    <x:tableColumn id="2" name="Account Name"/>
    <x:tableColumn id="3" name="Type"/>
  </x:tableColumns>
  <x:tableStyleInfo name="TableStyleMedium9" showRowStripes="1"/>
</x:table>
</file>

<file path=xl/tables/table8.xml><?xml version="1.0" encoding="utf-8"?>
<x:table xmlns:x="http://schemas.openxmlformats.org/spreadsheetml/2006/main" id="8" name="tblCatMap" displayName="tblCatMap" ref="E23:G33" headerRowCount="1">
  <x:autoFilter ref="E23:G33"/>
  <x:tableColumns count="3">
    <x:tableColumn id="5" name="Category"/>
    <x:tableColumn id="6" name="Default GL Account"/>
    <x:tableColumn id="7" name="Default VAT Code"/>
  </x:tableColumns>
  <x:tableStyleInfo name="TableStyleMedium9" showRowStripes="1"/>
</x:table>
</file>

<file path=xl/tables/table9.xml><?xml version="1.0" encoding="utf-8"?>
<x:table xmlns:x="http://schemas.openxmlformats.org/spreadsheetml/2006/main" id="9" name="tblJournal" displayName="tblJournal" ref="A1:T1501" headerRowCount="1">
  <x:autoFilter ref="A1:T1501"/>
  <x:tableColumns count="20">
    <x:tableColumn id="1" name="DocDate"/>
    <x:tableColumn id="2" name="DocNo"/>
    <x:tableColumn id="3" name="DocType"/>
    <x:tableColumn id="4" name="Counterparty"/>
    <x:tableColumn id="5" name="Description"/>
    <x:tableColumn id="6" name="Category"/>
    <x:tableColumn id="7" name="GL Account"/>
    <x:tableColumn id="8" name="Cost Center"/>
    <x:tableColumn id="9" name="Payment Method"/>
    <x:tableColumn id="10" name="Bank Account"/>
    <x:tableColumn id="11" name="Status"/>
    <x:tableColumn id="12" name="Payment Date"/>
    <x:tableColumn id="13" name="Amount (Net)"/>
    <x:tableColumn id="14" name="VAT Code"/>
    <x:tableColumn id="15" name="VAT Rate"/>
    <x:tableColumn id="16" name="VAT Amount"/>
    <x:tableColumn id="17" name="Amount (Gross)"/>
    <x:tableColumn id="18" name="Cashflow"/>
    <x:tableColumn id="19" name="DocMonth"/>
    <x:tableColumn id="20" name="PayMonth"/>
  </x:tableColumns>
  <x:tableStyleInfo name="TableStyleMedium9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b55067decf24338" /><Relationship Type="http://schemas.openxmlformats.org/officeDocument/2006/relationships/table" Target="/xl/tables/table2.xml" Id="Rbb4861043d0842b1" /><Relationship Type="http://schemas.openxmlformats.org/officeDocument/2006/relationships/table" Target="/xl/tables/table3.xml" Id="Rbfe918c301154c3f" /><Relationship Type="http://schemas.openxmlformats.org/officeDocument/2006/relationships/table" Target="/xl/tables/table4.xml" Id="Rd72bf6a2e41243dc" /><Relationship Type="http://schemas.openxmlformats.org/officeDocument/2006/relationships/table" Target="/xl/tables/table5.xml" Id="Rad61862f9a164437" /><Relationship Type="http://schemas.openxmlformats.org/officeDocument/2006/relationships/table" Target="/xl/tables/table6.xml" Id="R191b53aba802471c" /><Relationship Type="http://schemas.openxmlformats.org/officeDocument/2006/relationships/table" Target="/xl/tables/table7.xml" Id="Re148a0aea89449e2" /><Relationship Type="http://schemas.openxmlformats.org/officeDocument/2006/relationships/table" Target="/xl/tables/table8.xml" Id="R45c484c513db4a8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9.xml" Id="Rf040922d59f34487" /></Relationships>
</file>

<file path=xl/worksheets/sheet1.xml><?xml version="1.0" encoding="utf-8"?>
<x:worksheet xmlns:x="http://schemas.openxmlformats.org/spreadsheetml/2006/main">
  <x:sheetFormatPr defaultRowHeight="15"/>
  <x:cols>
    <x:col min="1" max="1" width="95" customWidth="1"/>
  </x:cols>
  <x:sheetData>
    <x:row r="1">
      <x:c r="A1" s="1" t="inlineStr">
        <x:is>
          <x:t xml:space="preserve">ERP-Style Cashflow &amp; Accounting Workbook (Services Company)</x:t>
        </x:is>
      </x:c>
    </x:row>
    <x:row r="3">
      <x:c r="A3" s="2" t="inlineStr">
        <x:is>
          <x:t xml:space="preserve">What makes this 'ERP style'</x:t>
        </x:is>
      </x:c>
    </x:row>
    <x:row r="4">
      <x:c r="A4" t="inlineStr">
        <x:is>
          <x:t xml:space="preserve">• Journal with DocNo + controls + master data mappings.</x:t>
        </x:is>
      </x:c>
    </x:row>
    <x:row r="5">
      <x:c r="A5" t="inlineStr">
        <x:is>
          <x:t xml:space="preserve">• Payment Status + Payment Date drive cashflow reporting.</x:t>
        </x:is>
      </x:c>
    </x:row>
    <x:row r="6">
      <x:c r="A6" t="inlineStr">
        <x:is>
          <x:t xml:space="preserve">• VAT columns included (you can fill later).</x:t>
        </x:is>
      </x:c>
    </x:row>
    <x:row r="8">
      <x:c r="A8" s="2" t="inlineStr">
        <x:is>
          <x:t xml:space="preserve">Capacity</x:t>
        </x:is>
      </x:c>
    </x:row>
    <x:row r="9">
      <x:c r="A9" t="inlineStr">
        <x:is>
          <x:t xml:space="preserve">Journal pre-built for 1500 lines. Extend by copying row formulas down.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customWidth="1"/>
    <x:col min="2" max="2" width="32" customWidth="1"/>
    <x:col min="3" max="3" width="16" customWidth="1"/>
    <x:col min="4" max="4" width="2" customWidth="1"/>
    <x:col min="5" max="5" width="26" customWidth="1"/>
    <x:col min="6" max="6" width="18" customWidth="1"/>
    <x:col min="7" max="7" width="18" customWidth="1"/>
    <x:col min="8" max="8" width="18" customWidth="1"/>
  </x:cols>
  <x:sheetData>
    <x:row r="1" ht="22" customHeight="1">
      <x:c r="A1" s="3" t="inlineStr">
        <x:is>
          <x:t xml:space="preserve">MASTER DATA (Maintain lists and mappings)</x:t>
        </x:is>
      </x:c>
    </x:row>
    <x:row r="3">
      <x:c r="A3" s="2" t="inlineStr">
        <x:is>
          <x:t xml:space="preserve">VAT Codes</x:t>
        </x:is>
      </x:c>
      <x:c r="E3" s="2" t="inlineStr">
        <x:is>
          <x:t xml:space="preserve">Bank Accounts</x:t>
        </x:is>
      </x:c>
    </x:row>
    <x:row r="4">
      <x:c r="A4" s="4" t="inlineStr">
        <x:is>
          <x:t xml:space="preserve">Code</x:t>
        </x:is>
      </x:c>
      <x:c r="B4" s="4" t="inlineStr">
        <x:is>
          <x:t xml:space="preserve">Description</x:t>
        </x:is>
      </x:c>
      <x:c r="C4" s="4" t="inlineStr">
        <x:is>
          <x:t xml:space="preserve">Rate</x:t>
        </x:is>
      </x:c>
      <x:c r="E4" s="4" t="inlineStr">
        <x:is>
          <x:t xml:space="preserve">AccountID</x:t>
        </x:is>
      </x:c>
      <x:c r="F4" s="4" t="inlineStr">
        <x:is>
          <x:t xml:space="preserve">Account Name</x:t>
        </x:is>
      </x:c>
      <x:c r="G4" s="4" t="inlineStr">
        <x:is>
          <x:t xml:space="preserve">Currency</x:t>
        </x:is>
      </x:c>
      <x:c r="H4" s="4" t="inlineStr">
        <x:is>
          <x:t xml:space="preserve">Opening Balance</x:t>
        </x:is>
      </x:c>
    </x:row>
    <x:row r="5">
      <x:c r="A5" s="5" t="inlineStr">
        <x:is>
          <x:t xml:space="preserve">NO_VAT</x:t>
        </x:is>
      </x:c>
      <x:c r="B5" s="5" t="inlineStr">
        <x:is>
          <x:t xml:space="preserve">No VAT / TBD</x:t>
        </x:is>
      </x:c>
      <x:c r="C5" s="6" t="n">
        <x:v>0</x:v>
      </x:c>
      <x:c r="E5" s="5" t="inlineStr">
        <x:is>
          <x:t xml:space="preserve">BANK01</x:t>
        </x:is>
      </x:c>
      <x:c r="F5" s="5" t="inlineStr">
        <x:is>
          <x:t xml:space="preserve">Main Bank Account</x:t>
        </x:is>
      </x:c>
      <x:c r="G5" s="5" t="inlineStr">
        <x:is>
          <x:t xml:space="preserve">EUR</x:t>
        </x:is>
      </x:c>
      <x:c r="H5" s="7" t="n">
        <x:v>0</x:v>
      </x:c>
    </x:row>
    <x:row r="6">
      <x:c r="A6" s="5" t="inlineStr">
        <x:is>
          <x:t xml:space="preserve">VAT_13</x:t>
        </x:is>
      </x:c>
      <x:c r="B6" s="5" t="inlineStr">
        <x:is>
          <x:t xml:space="preserve">VAT 13%</x:t>
        </x:is>
      </x:c>
      <x:c r="C6" s="6" t="n">
        <x:v>0.13</x:v>
      </x:c>
    </x:row>
    <x:row r="7">
      <x:c r="A7" s="5" t="inlineStr">
        <x:is>
          <x:t xml:space="preserve">VAT_24</x:t>
        </x:is>
      </x:c>
      <x:c r="B7" s="5" t="inlineStr">
        <x:is>
          <x:t xml:space="preserve">VAT 24%</x:t>
        </x:is>
      </x:c>
      <x:c r="C7" s="6" t="n">
        <x:v>0.24</x:v>
      </x:c>
    </x:row>
    <x:row r="8">
      <x:c r="A8" s="5" t="inlineStr">
        <x:is>
          <x:t xml:space="preserve">VAT_6</x:t>
        </x:is>
      </x:c>
      <x:c r="B8" s="5" t="inlineStr">
        <x:is>
          <x:t xml:space="preserve">VAT 6%</x:t>
        </x:is>
      </x:c>
      <x:c r="C8" s="6" t="n">
        <x:v>0.06</x:v>
      </x:c>
    </x:row>
    <x:row r="9">
      <x:c r="E9" s="8" t="inlineStr">
        <x:is>
          <x:t xml:space="preserve">Cash Opening Balance</x:t>
        </x:is>
      </x:c>
      <x:c r="F9" s="9" t="n">
        <x:v>0</x:v>
      </x:c>
    </x:row>
    <x:row r="13">
      <x:c r="A13" s="2" t="inlineStr">
        <x:is>
          <x:t xml:space="preserve">Payment Methods</x:t>
        </x:is>
      </x:c>
      <x:c r="C13" s="2" t="inlineStr">
        <x:is>
          <x:t xml:space="preserve">Statuses</x:t>
        </x:is>
      </x:c>
      <x:c r="E13" s="2" t="inlineStr">
        <x:is>
          <x:t xml:space="preserve">Document Types</x:t>
        </x:is>
      </x:c>
      <x:c r="G13" s="2" t="inlineStr">
        <x:is>
          <x:t xml:space="preserve">Cost Centers / Staff</x:t>
        </x:is>
      </x:c>
    </x:row>
    <x:row r="14">
      <x:c r="A14" s="4" t="inlineStr">
        <x:is>
          <x:t xml:space="preserve">Method</x:t>
        </x:is>
      </x:c>
      <x:c r="C14" s="4" t="inlineStr">
        <x:is>
          <x:t xml:space="preserve">Status</x:t>
        </x:is>
      </x:c>
      <x:c r="E14" s="4" t="inlineStr">
        <x:is>
          <x:t xml:space="preserve">DocType</x:t>
        </x:is>
      </x:c>
      <x:c r="G14" s="4" t="inlineStr">
        <x:is>
          <x:t xml:space="preserve">CostCenter</x:t>
        </x:is>
      </x:c>
    </x:row>
    <x:row r="15">
      <x:c r="A15" s="10" t="inlineStr">
        <x:is>
          <x:t xml:space="preserve">Bank Transfer</x:t>
        </x:is>
      </x:c>
      <x:c r="C15" s="10" t="inlineStr">
        <x:is>
          <x:t xml:space="preserve">Paid</x:t>
        </x:is>
      </x:c>
      <x:c r="E15" s="10" t="inlineStr">
        <x:is>
          <x:t xml:space="preserve">Bill</x:t>
        </x:is>
      </x:c>
      <x:c r="G15" s="10" t="inlineStr">
        <x:is>
          <x:t xml:space="preserve">Αστρινάκης Γιάννης</x:t>
        </x:is>
      </x:c>
    </x:row>
    <x:row r="16">
      <x:c r="A16" s="10" t="inlineStr">
        <x:is>
          <x:t xml:space="preserve">Card</x:t>
        </x:is>
      </x:c>
      <x:c r="C16" s="10" t="inlineStr">
        <x:is>
          <x:t xml:space="preserve">Unpaid</x:t>
        </x:is>
      </x:c>
      <x:c r="E16" s="10" t="inlineStr">
        <x:is>
          <x:t xml:space="preserve">Equity Distribution</x:t>
        </x:is>
      </x:c>
      <x:c r="G16" s="10" t="inlineStr">
        <x:is>
          <x:t xml:space="preserve">Καπετάνιος Χρήστος</x:t>
        </x:is>
      </x:c>
    </x:row>
    <x:row r="17">
      <x:c r="A17" s="10" t="inlineStr">
        <x:is>
          <x:t xml:space="preserve">Cash</x:t>
        </x:is>
      </x:c>
      <x:c r="E17" s="10" t="inlineStr">
        <x:is>
          <x:t xml:space="preserve">Expense</x:t>
        </x:is>
      </x:c>
      <x:c r="G17" s="10" t="inlineStr">
        <x:is>
          <x:t xml:space="preserve">Μαραγκάκης Μανος</x:t>
        </x:is>
      </x:c>
    </x:row>
    <x:row r="18">
      <x:c r="A18" s="10" t="inlineStr">
        <x:is>
          <x:t xml:space="preserve">Τράπεζα</x:t>
        </x:is>
      </x:c>
      <x:c r="E18" s="10" t="inlineStr">
        <x:is>
          <x:t xml:space="preserve">Income</x:t>
        </x:is>
      </x:c>
      <x:c r="G18" s="10" t="inlineStr">
        <x:is>
          <x:t xml:space="preserve">Τζιάκης Γιάννης</x:t>
        </x:is>
      </x:c>
    </x:row>
    <x:row r="19">
      <x:c r="E19" s="10" t="inlineStr">
        <x:is>
          <x:t xml:space="preserve">Invoice</x:t>
        </x:is>
      </x:c>
    </x:row>
    <x:row r="20">
      <x:c r="E20" s="10" t="inlineStr">
        <x:is>
          <x:t xml:space="preserve">Payment</x:t>
        </x:is>
      </x:c>
    </x:row>
    <x:row r="22">
      <x:c r="A22" s="2" t="inlineStr">
        <x:is>
          <x:t xml:space="preserve">Chart of Accounts</x:t>
        </x:is>
      </x:c>
      <x:c r="E22" s="2" t="inlineStr">
        <x:is>
          <x:t xml:space="preserve">Category → GL Mapping</x:t>
        </x:is>
      </x:c>
    </x:row>
    <x:row r="23">
      <x:c r="A23" s="4" t="inlineStr">
        <x:is>
          <x:t xml:space="preserve">Account</x:t>
        </x:is>
      </x:c>
      <x:c r="B23" s="4" t="inlineStr">
        <x:is>
          <x:t xml:space="preserve">Account Name</x:t>
        </x:is>
      </x:c>
      <x:c r="C23" s="4" t="inlineStr">
        <x:is>
          <x:t xml:space="preserve">Type</x:t>
        </x:is>
      </x:c>
      <x:c r="E23" s="4" t="inlineStr">
        <x:is>
          <x:t xml:space="preserve">Category</x:t>
        </x:is>
      </x:c>
      <x:c r="F23" s="4" t="inlineStr">
        <x:is>
          <x:t xml:space="preserve">Default GL Account</x:t>
        </x:is>
      </x:c>
      <x:c r="G23" s="4" t="inlineStr">
        <x:is>
          <x:t xml:space="preserve">Default VAT Code</x:t>
        </x:is>
      </x:c>
    </x:row>
    <x:row r="24">
      <x:c r="A24" s="5" t="inlineStr">
        <x:is>
          <x:t xml:space="preserve">4000</x:t>
        </x:is>
      </x:c>
      <x:c r="B24" s="5" t="inlineStr">
        <x:is>
          <x:t xml:space="preserve">Service Revenue</x:t>
        </x:is>
      </x:c>
      <x:c r="C24" s="5" t="inlineStr">
        <x:is>
          <x:t xml:space="preserve">Revenue</x:t>
        </x:is>
      </x:c>
      <x:c r="E24" s="5" t="inlineStr">
        <x:is>
          <x:t xml:space="preserve">domain</x:t>
        </x:is>
      </x:c>
      <x:c r="F24" s="5" t="inlineStr">
        <x:is>
          <x:t xml:space="preserve">6000</x:t>
        </x:is>
      </x:c>
      <x:c r="G24" s="5" t="inlineStr">
        <x:is>
          <x:t xml:space="preserve">NO_VAT</x:t>
        </x:is>
      </x:c>
    </x:row>
    <x:row r="25">
      <x:c r="A25" s="5" t="inlineStr">
        <x:is>
          <x:t xml:space="preserve">5000</x:t>
        </x:is>
      </x:c>
      <x:c r="B25" s="5" t="inlineStr">
        <x:is>
          <x:t xml:space="preserve">Direct Costs</x:t>
        </x:is>
      </x:c>
      <x:c r="C25" s="5" t="inlineStr">
        <x:is>
          <x:t xml:space="preserve">Expense</x:t>
        </x:is>
      </x:c>
      <x:c r="E25" s="5" t="inlineStr">
        <x:is>
          <x:t xml:space="preserve">hosting</x:t>
        </x:is>
      </x:c>
      <x:c r="F25" s="5" t="inlineStr">
        <x:is>
          <x:t xml:space="preserve">6000</x:t>
        </x:is>
      </x:c>
      <x:c r="G25" s="5" t="inlineStr">
        <x:is>
          <x:t xml:space="preserve">NO_VAT</x:t>
        </x:is>
      </x:c>
    </x:row>
    <x:row r="26">
      <x:c r="A26" s="5" t="inlineStr">
        <x:is>
          <x:t xml:space="preserve">6000</x:t>
        </x:is>
      </x:c>
      <x:c r="B26" s="5" t="inlineStr">
        <x:is>
          <x:t xml:space="preserve">Operating Expenses</x:t>
        </x:is>
      </x:c>
      <x:c r="C26" s="5" t="inlineStr">
        <x:is>
          <x:t xml:space="preserve">Expense</x:t>
        </x:is>
      </x:c>
      <x:c r="E26" s="5" t="inlineStr">
        <x:is>
          <x:t xml:space="preserve">Έξοδα</x:t>
        </x:is>
      </x:c>
      <x:c r="F26" s="5" t="inlineStr">
        <x:is>
          <x:t xml:space="preserve">6000</x:t>
        </x:is>
      </x:c>
      <x:c r="G26" s="5" t="inlineStr">
        <x:is>
          <x:t xml:space="preserve">NO_VAT</x:t>
        </x:is>
      </x:c>
    </x:row>
    <x:row r="27">
      <x:c r="A27" s="5" t="inlineStr">
        <x:is>
          <x:t xml:space="preserve">7000</x:t>
        </x:is>
      </x:c>
      <x:c r="B27" s="5" t="inlineStr">
        <x:is>
          <x:t xml:space="preserve">Bank</x:t>
        </x:is>
      </x:c>
      <x:c r="C27" s="5" t="inlineStr">
        <x:is>
          <x:t xml:space="preserve">Asset</x:t>
        </x:is>
      </x:c>
      <x:c r="E27" s="5" t="inlineStr">
        <x:is>
          <x:t xml:space="preserve">Έξοδα Παράστασης</x:t>
        </x:is>
      </x:c>
      <x:c r="F27" s="5" t="inlineStr">
        <x:is>
          <x:t xml:space="preserve">6000</x:t>
        </x:is>
      </x:c>
      <x:c r="G27" s="5" t="inlineStr">
        <x:is>
          <x:t xml:space="preserve">NO_VAT</x:t>
        </x:is>
      </x:c>
    </x:row>
    <x:row r="28">
      <x:c r="A28" s="5" t="inlineStr">
        <x:is>
          <x:t xml:space="preserve">7010</x:t>
        </x:is>
      </x:c>
      <x:c r="B28" s="5" t="inlineStr">
        <x:is>
          <x:t xml:space="preserve">Cash</x:t>
        </x:is>
      </x:c>
      <x:c r="C28" s="5" t="inlineStr">
        <x:is>
          <x:t xml:space="preserve">Asset</x:t>
        </x:is>
      </x:c>
      <x:c r="E28" s="5" t="inlineStr">
        <x:is>
          <x:t xml:space="preserve">Δικηγόρος</x:t>
        </x:is>
      </x:c>
      <x:c r="F28" s="5" t="inlineStr">
        <x:is>
          <x:t xml:space="preserve">6000</x:t>
        </x:is>
      </x:c>
      <x:c r="G28" s="5" t="inlineStr">
        <x:is>
          <x:t xml:space="preserve">NO_VAT</x:t>
        </x:is>
      </x:c>
    </x:row>
    <x:row r="29">
      <x:c r="A29" s="5" t="inlineStr">
        <x:is>
          <x:t xml:space="preserve">8000</x:t>
        </x:is>
      </x:c>
      <x:c r="B29" s="5" t="inlineStr">
        <x:is>
          <x:t xml:space="preserve">Equity / Distributions</x:t>
        </x:is>
      </x:c>
      <x:c r="C29" s="5" t="inlineStr">
        <x:is>
          <x:t xml:space="preserve">Equity</x:t>
        </x:is>
      </x:c>
      <x:c r="E29" s="5" t="inlineStr">
        <x:is>
          <x:t xml:space="preserve">Εναρξη εταιρειας</x:t>
        </x:is>
      </x:c>
      <x:c r="F29" s="5" t="inlineStr">
        <x:is>
          <x:t xml:space="preserve">6000</x:t>
        </x:is>
      </x:c>
      <x:c r="G29" s="5" t="inlineStr">
        <x:is>
          <x:t xml:space="preserve">NO_VAT</x:t>
        </x:is>
      </x:c>
    </x:row>
    <x:row r="30">
      <x:c r="A30" s="5" t="inlineStr">
        <x:is>
          <x:t xml:space="preserve">9999</x:t>
        </x:is>
      </x:c>
      <x:c r="B30" s="5" t="inlineStr">
        <x:is>
          <x:t xml:space="preserve">Unmapped (Review)</x:t>
        </x:is>
      </x:c>
      <x:c r="C30" s="5" t="inlineStr">
        <x:is>
          <x:t xml:space="preserve">Control</x:t>
        </x:is>
      </x:c>
      <x:c r="E30" s="5" t="inlineStr">
        <x:is>
          <x:t xml:space="preserve">Μέρισμα</x:t>
        </x:is>
      </x:c>
      <x:c r="F30" s="5" t="inlineStr">
        <x:is>
          <x:t xml:space="preserve">8000</x:t>
        </x:is>
      </x:c>
      <x:c r="G30" s="5" t="inlineStr">
        <x:is>
          <x:t xml:space="preserve">NO_VAT</x:t>
        </x:is>
      </x:c>
    </x:row>
    <x:row r="31">
      <x:c r="E31" s="5" t="inlineStr">
        <x:is>
          <x:t xml:space="preserve">Μεταφορικά</x:t>
        </x:is>
      </x:c>
      <x:c r="F31" s="5" t="inlineStr">
        <x:is>
          <x:t xml:space="preserve">6000</x:t>
        </x:is>
      </x:c>
      <x:c r="G31" s="5" t="inlineStr">
        <x:is>
          <x:t xml:space="preserve">NO_VAT</x:t>
        </x:is>
      </x:c>
    </x:row>
    <x:row r="32">
      <x:c r="E32" s="5" t="inlineStr">
        <x:is>
          <x:t xml:space="preserve">Προμήθειες</x:t>
        </x:is>
      </x:c>
      <x:c r="F32" s="5" t="inlineStr">
        <x:is>
          <x:t xml:space="preserve">5000</x:t>
        </x:is>
      </x:c>
      <x:c r="G32" s="5" t="inlineStr">
        <x:is>
          <x:t xml:space="preserve">NO_VAT</x:t>
        </x:is>
      </x:c>
    </x:row>
    <x:row r="33">
      <x:c r="E33" s="5" t="inlineStr">
        <x:is>
          <x:t xml:space="preserve">καρτες</x:t>
        </x:is>
      </x:c>
      <x:c r="F33" s="5" t="inlineStr">
        <x:is>
          <x:t xml:space="preserve">6000</x:t>
        </x:is>
      </x:c>
      <x:c r="G33" s="5" t="inlineStr">
        <x:is>
          <x:t xml:space="preserve">NO_VAT</x:t>
        </x:is>
      </x:c>
    </x:row>
  </x:sheetData>
  <x:mergeCells>
    <x:mergeCell ref="A1:H1"/>
  </x:mergeCells>
  <x:pageMargins left="0.7" right="0.7" top="0.75" bottom="0.75" header="0.3" footer="0.3"/>
  <x:tableParts count="8">
    <x:tablePart xmlns:r="http://schemas.openxmlformats.org/officeDocument/2006/relationships" r:id="Rbb55067decf24338"/>
    <x:tablePart xmlns:r="http://schemas.openxmlformats.org/officeDocument/2006/relationships" r:id="Rbb4861043d0842b1"/>
    <x:tablePart xmlns:r="http://schemas.openxmlformats.org/officeDocument/2006/relationships" r:id="Rbfe918c301154c3f"/>
    <x:tablePart xmlns:r="http://schemas.openxmlformats.org/officeDocument/2006/relationships" r:id="Rd72bf6a2e41243dc"/>
    <x:tablePart xmlns:r="http://schemas.openxmlformats.org/officeDocument/2006/relationships" r:id="Rad61862f9a164437"/>
    <x:tablePart xmlns:r="http://schemas.openxmlformats.org/officeDocument/2006/relationships" r:id="R191b53aba802471c"/>
    <x:tablePart xmlns:r="http://schemas.openxmlformats.org/officeDocument/2006/relationships" r:id="Re148a0aea89449e2"/>
    <x:tablePart xmlns:r="http://schemas.openxmlformats.org/officeDocument/2006/relationships" r:id="R45c484c513db4a8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customWidth="1"/>
    <x:col min="2" max="2" width="12" customWidth="1"/>
    <x:col min="3" max="3" width="18" customWidth="1"/>
    <x:col min="4" max="4" width="22" customWidth="1"/>
    <x:col min="5" max="5" width="26" customWidth="1"/>
    <x:col min="6" max="6" width="18" customWidth="1"/>
    <x:col min="7" max="7" width="10" customWidth="1"/>
    <x:col min="8" max="8" width="18" customWidth="1"/>
    <x:col min="9" max="9" width="16" customWidth="1"/>
    <x:col min="10" max="10" width="14" customWidth="1"/>
    <x:col min="11" max="11" width="10" customWidth="1"/>
    <x:col min="12" max="12" width="12" customWidth="1"/>
    <x:col min="13" max="13" width="14" customWidth="1"/>
    <x:col min="14" max="14" width="12" customWidth="1"/>
    <x:col min="15" max="15" width="10" customWidth="1"/>
    <x:col min="16" max="16" width="12" customWidth="1"/>
    <x:col min="17" max="17" width="14" customWidth="1"/>
    <x:col min="18" max="18" width="12" customWidth="1"/>
    <x:col min="19" max="19" width="12" customWidth="1"/>
    <x:col min="20" max="20" width="12" customWidth="1"/>
  </x:cols>
  <x:sheetData>
    <x:row r="1" ht="22" customHeight="1">
      <x:c r="A1" s="4" t="inlineStr">
        <x:is>
          <x:t xml:space="preserve">DocDate</x:t>
        </x:is>
      </x:c>
      <x:c r="B1" s="4" t="inlineStr">
        <x:is>
          <x:t xml:space="preserve">DocNo</x:t>
        </x:is>
      </x:c>
      <x:c r="C1" s="4" t="inlineStr">
        <x:is>
          <x:t xml:space="preserve">DocType</x:t>
        </x:is>
      </x:c>
      <x:c r="D1" s="4" t="inlineStr">
        <x:is>
          <x:t xml:space="preserve">Counterparty</x:t>
        </x:is>
      </x:c>
      <x:c r="E1" s="4" t="inlineStr">
        <x:is>
          <x:t xml:space="preserve">Description</x:t>
        </x:is>
      </x:c>
      <x:c r="F1" s="4" t="inlineStr">
        <x:is>
          <x:t xml:space="preserve">Category</x:t>
        </x:is>
      </x:c>
      <x:c r="G1" s="4" t="inlineStr">
        <x:is>
          <x:t xml:space="preserve">GL Account</x:t>
        </x:is>
      </x:c>
      <x:c r="H1" s="4" t="inlineStr">
        <x:is>
          <x:t xml:space="preserve">Cost Center</x:t>
        </x:is>
      </x:c>
      <x:c r="I1" s="4" t="inlineStr">
        <x:is>
          <x:t xml:space="preserve">Payment Method</x:t>
        </x:is>
      </x:c>
      <x:c r="J1" s="4" t="inlineStr">
        <x:is>
          <x:t xml:space="preserve">Bank Account</x:t>
        </x:is>
      </x:c>
      <x:c r="K1" s="4" t="inlineStr">
        <x:is>
          <x:t xml:space="preserve">Status</x:t>
        </x:is>
      </x:c>
      <x:c r="L1" s="4" t="inlineStr">
        <x:is>
          <x:t xml:space="preserve">Payment Date</x:t>
        </x:is>
      </x:c>
      <x:c r="M1" s="4" t="inlineStr">
        <x:is>
          <x:t xml:space="preserve">Amount (Net)</x:t>
        </x:is>
      </x:c>
      <x:c r="N1" s="4" t="inlineStr">
        <x:is>
          <x:t xml:space="preserve">VAT Code</x:t>
        </x:is>
      </x:c>
      <x:c r="O1" s="4" t="inlineStr">
        <x:is>
          <x:t xml:space="preserve">VAT Rate</x:t>
        </x:is>
      </x:c>
      <x:c r="P1" s="4" t="inlineStr">
        <x:is>
          <x:t xml:space="preserve">VAT Amount</x:t>
        </x:is>
      </x:c>
      <x:c r="Q1" s="4" t="inlineStr">
        <x:is>
          <x:t xml:space="preserve">Amount (Gross)</x:t>
        </x:is>
      </x:c>
      <x:c r="R1" s="4" t="inlineStr">
        <x:is>
          <x:t xml:space="preserve">Cashflow</x:t>
        </x:is>
      </x:c>
      <x:c r="S1" s="4" t="inlineStr">
        <x:is>
          <x:t xml:space="preserve">DocMonth</x:t>
        </x:is>
      </x:c>
      <x:c r="T1" s="4" t="inlineStr">
        <x:is>
          <x:t xml:space="preserve">PayMonth</x:t>
        </x:is>
      </x:c>
    </x:row>
    <x:row r="2">
      <x:c r="A2" s="11" t="n">
        <x:v>45726</x:v>
      </x:c>
      <x:c r="B2" s="5" t="inlineStr">
        <x:is>
          <x:t xml:space="preserve">CF-000001</x:t>
        </x:is>
      </x:c>
      <x:c r="C2" s="12" t="inlineStr">
        <x:is>
          <x:t xml:space="preserve">Income</x:t>
        </x:is>
      </x:c>
      <x:c r="D2" s="12" t="inlineStr">
        <x:is>
          <x:t xml:space="preserve">Καμπριανης Ηλίας</x:t>
        </x:is>
      </x:c>
      <x:c r="E2" s="12" t="inlineStr">
        <x:is>
          <x:t xml:space="preserve">Καμπριανης Ηλίας</x:t>
        </x:is>
      </x:c>
      <x:c r="F2" s="12" t="inlineStr">
        <x:is>
          <x:t xml:space="preserve">Προμήθειες</x:t>
        </x:is>
      </x:c>
      <x:c r="G2" s="13" t="str">
        <x:f>IF(F2="","",IFERROR(VLOOKUP(F2,Master_Data!$E$24:$G$33,2,FALSE),"9999"))</x:f>
        <x:v>5000</x:v>
      </x:c>
      <x:c r="H2" s="12" t="n"/>
      <x:c r="I2" s="12" t="inlineStr">
        <x:is>
          <x:t xml:space="preserve">Cash</x:t>
        </x:is>
      </x:c>
      <x:c r="J2" s="12" t="n"/>
      <x:c r="K2" s="12" t="inlineStr">
        <x:is>
          <x:t xml:space="preserve">Paid</x:t>
        </x:is>
      </x:c>
      <x:c r="L2" s="11" t="n">
        <x:v>45726</x:v>
      </x:c>
      <x:c r="M2" s="9" t="n">
        <x:v>760</x:v>
      </x:c>
      <x:c r="N2" s="12" t="inlineStr">
        <x:is>
          <x:t xml:space="preserve">NO_VAT</x:t>
        </x:is>
      </x:c>
      <x:c r="O2" s="6">
        <x:f>IF(N2="","",IFERROR(VLOOKUP(N2,Master_Data!$A$5:$C$8,3,FALSE),0))</x:f>
        <x:v>0</x:v>
      </x:c>
      <x:c r="P2" s="7">
        <x:f>IF(M2="","",M2*O2)</x:f>
        <x:v>0</x:v>
      </x:c>
      <x:c r="Q2" s="7">
        <x:f>IF(M2="","",M2+P2)</x:f>
        <x:v>760</x:v>
      </x:c>
      <x:c r="R2" s="7">
        <x:f>IF(K2&lt;&gt;"Paid",0,IF(C2="Income",Q2,-Q2))</x:f>
        <x:v>760</x:v>
      </x:c>
      <x:c r="S2" s="14" t="str">
        <x:f>IF(A2="","",DATE(YEAR(A2),MONTH(A2),1))</x:f>
        <x:v>Error: #VALUE!</x:v>
      </x:c>
      <x:c r="T2" s="14" t="str">
        <x:f>IF(L2="","",DATE(YEAR(L2),MONTH(L2),1))</x:f>
        <x:v>Error: #VALUE!</x:v>
      </x:c>
    </x:row>
    <x:row r="3">
      <x:c r="A3" s="11" t="n">
        <x:v>45726</x:v>
      </x:c>
      <x:c r="B3" s="5" t="inlineStr">
        <x:is>
          <x:t xml:space="preserve">CF-000002</x:t>
        </x:is>
      </x:c>
      <x:c r="C3" s="12" t="inlineStr">
        <x:is>
          <x:t xml:space="preserve">Equity Distribution</x:t>
        </x:is>
      </x:c>
      <x:c r="D3" s="12" t="inlineStr">
        <x:is>
          <x:t xml:space="preserve">Μερισμα</x:t>
        </x:is>
      </x:c>
      <x:c r="E3" s="12" t="inlineStr">
        <x:is>
          <x:t xml:space="preserve">Μερισμα</x:t>
        </x:is>
      </x:c>
      <x:c r="F3" s="12" t="inlineStr">
        <x:is>
          <x:t xml:space="preserve">Μέρισμα</x:t>
        </x:is>
      </x:c>
      <x:c r="G3" s="13" t="str">
        <x:f>IF(F3="","",IFERROR(VLOOKUP(F3,Master_Data!$E$24:$G$33,2,FALSE),"9999"))</x:f>
        <x:v>8000</x:v>
      </x:c>
      <x:c r="H3" s="12" t="inlineStr">
        <x:is>
          <x:t xml:space="preserve">Αστρινάκης Γιάννης</x:t>
        </x:is>
      </x:c>
      <x:c r="I3" s="12" t="inlineStr">
        <x:is>
          <x:t xml:space="preserve">Cash</x:t>
        </x:is>
      </x:c>
      <x:c r="J3" s="12" t="n"/>
      <x:c r="K3" s="12" t="inlineStr">
        <x:is>
          <x:t xml:space="preserve">Paid</x:t>
        </x:is>
      </x:c>
      <x:c r="L3" s="11" t="n">
        <x:v>45726</x:v>
      </x:c>
      <x:c r="M3" s="9" t="n">
        <x:v>120</x:v>
      </x:c>
      <x:c r="N3" s="12" t="inlineStr">
        <x:is>
          <x:t xml:space="preserve">NO_VAT</x:t>
        </x:is>
      </x:c>
      <x:c r="O3" s="6">
        <x:f>IF(N3="","",IFERROR(VLOOKUP(N3,Master_Data!$A$5:$C$8,3,FALSE),0))</x:f>
        <x:v>0</x:v>
      </x:c>
      <x:c r="P3" s="7">
        <x:f>IF(M3="","",M3*O3)</x:f>
        <x:v>0</x:v>
      </x:c>
      <x:c r="Q3" s="7">
        <x:f>IF(M3="","",M3+P3)</x:f>
        <x:v>120</x:v>
      </x:c>
      <x:c r="R3" s="7">
        <x:f>IF(K3&lt;&gt;"Paid",0,IF(C3="Income",Q3,-Q3))</x:f>
        <x:v>-120</x:v>
      </x:c>
      <x:c r="S3" s="14" t="str">
        <x:f>IF(A3="","",DATE(YEAR(A3),MONTH(A3),1))</x:f>
        <x:v>Error: #VALUE!</x:v>
      </x:c>
      <x:c r="T3" s="14" t="str">
        <x:f>IF(L3="","",DATE(YEAR(L3),MONTH(L3),1))</x:f>
        <x:v>Error: #VALUE!</x:v>
      </x:c>
    </x:row>
    <x:row r="4">
      <x:c r="A4" s="11" t="n">
        <x:v>45726</x:v>
      </x:c>
      <x:c r="B4" s="5" t="inlineStr">
        <x:is>
          <x:t xml:space="preserve">CF-000003</x:t>
        </x:is>
      </x:c>
      <x:c r="C4" s="12" t="inlineStr">
        <x:is>
          <x:t xml:space="preserve">Equity Distribution</x:t>
        </x:is>
      </x:c>
      <x:c r="D4" s="12" t="inlineStr">
        <x:is>
          <x:t xml:space="preserve">Μερισμα</x:t>
        </x:is>
      </x:c>
      <x:c r="E4" s="12" t="inlineStr">
        <x:is>
          <x:t xml:space="preserve">Μερισμα</x:t>
        </x:is>
      </x:c>
      <x:c r="F4" s="12" t="inlineStr">
        <x:is>
          <x:t xml:space="preserve">Μέρισμα</x:t>
        </x:is>
      </x:c>
      <x:c r="G4" s="13" t="str">
        <x:f>IF(F4="","",IFERROR(VLOOKUP(F4,Master_Data!$E$24:$G$33,2,FALSE),"9999"))</x:f>
        <x:v>8000</x:v>
      </x:c>
      <x:c r="H4" s="12" t="inlineStr">
        <x:is>
          <x:t xml:space="preserve">Τζιάκης Γιάννης</x:t>
        </x:is>
      </x:c>
      <x:c r="I4" s="12" t="inlineStr">
        <x:is>
          <x:t xml:space="preserve">Cash</x:t>
        </x:is>
      </x:c>
      <x:c r="J4" s="12" t="n"/>
      <x:c r="K4" s="12" t="inlineStr">
        <x:is>
          <x:t xml:space="preserve">Paid</x:t>
        </x:is>
      </x:c>
      <x:c r="L4" s="11" t="n">
        <x:v>45726</x:v>
      </x:c>
      <x:c r="M4" s="9" t="n">
        <x:v>120</x:v>
      </x:c>
      <x:c r="N4" s="12" t="inlineStr">
        <x:is>
          <x:t xml:space="preserve">NO_VAT</x:t>
        </x:is>
      </x:c>
      <x:c r="O4" s="6">
        <x:f>IF(N4="","",IFERROR(VLOOKUP(N4,Master_Data!$A$5:$C$8,3,FALSE),0))</x:f>
        <x:v>0</x:v>
      </x:c>
      <x:c r="P4" s="7">
        <x:f>IF(M4="","",M4*O4)</x:f>
        <x:v>0</x:v>
      </x:c>
      <x:c r="Q4" s="7">
        <x:f>IF(M4="","",M4+P4)</x:f>
        <x:v>120</x:v>
      </x:c>
      <x:c r="R4" s="7">
        <x:f>IF(K4&lt;&gt;"Paid",0,IF(C4="Income",Q4,-Q4))</x:f>
        <x:v>-120</x:v>
      </x:c>
      <x:c r="S4" s="14" t="str">
        <x:f>IF(A4="","",DATE(YEAR(A4),MONTH(A4),1))</x:f>
        <x:v>Error: #VALUE!</x:v>
      </x:c>
      <x:c r="T4" s="14" t="str">
        <x:f>IF(L4="","",DATE(YEAR(L4),MONTH(L4),1))</x:f>
        <x:v>Error: #VALUE!</x:v>
      </x:c>
    </x:row>
    <x:row r="5">
      <x:c r="A5" s="11" t="n">
        <x:v>45726</x:v>
      </x:c>
      <x:c r="B5" s="5" t="inlineStr">
        <x:is>
          <x:t xml:space="preserve">CF-000004</x:t>
        </x:is>
      </x:c>
      <x:c r="C5" s="12" t="inlineStr">
        <x:is>
          <x:t xml:space="preserve">Equity Distribution</x:t>
        </x:is>
      </x:c>
      <x:c r="D5" s="12" t="inlineStr">
        <x:is>
          <x:t xml:space="preserve">Μερισμα</x:t>
        </x:is>
      </x:c>
      <x:c r="E5" s="12" t="inlineStr">
        <x:is>
          <x:t xml:space="preserve">Μερισμα</x:t>
        </x:is>
      </x:c>
      <x:c r="F5" s="12" t="inlineStr">
        <x:is>
          <x:t xml:space="preserve">Μέρισμα</x:t>
        </x:is>
      </x:c>
      <x:c r="G5" s="13" t="str">
        <x:f>IF(F5="","",IFERROR(VLOOKUP(F5,Master_Data!$E$24:$G$33,2,FALSE),"9999"))</x:f>
        <x:v>8000</x:v>
      </x:c>
      <x:c r="H5" s="12" t="inlineStr">
        <x:is>
          <x:t xml:space="preserve">Καπετάνιος Χρήστος</x:t>
        </x:is>
      </x:c>
      <x:c r="I5" s="12" t="inlineStr">
        <x:is>
          <x:t xml:space="preserve">Cash</x:t>
        </x:is>
      </x:c>
      <x:c r="J5" s="12" t="n"/>
      <x:c r="K5" s="12" t="inlineStr">
        <x:is>
          <x:t xml:space="preserve">Paid</x:t>
        </x:is>
      </x:c>
      <x:c r="L5" s="11" t="n">
        <x:v>45726</x:v>
      </x:c>
      <x:c r="M5" s="9" t="n">
        <x:v>120</x:v>
      </x:c>
      <x:c r="N5" s="12" t="inlineStr">
        <x:is>
          <x:t xml:space="preserve">NO_VAT</x:t>
        </x:is>
      </x:c>
      <x:c r="O5" s="6">
        <x:f>IF(N5="","",IFERROR(VLOOKUP(N5,Master_Data!$A$5:$C$8,3,FALSE),0))</x:f>
        <x:v>0</x:v>
      </x:c>
      <x:c r="P5" s="7">
        <x:f>IF(M5="","",M5*O5)</x:f>
        <x:v>0</x:v>
      </x:c>
      <x:c r="Q5" s="7">
        <x:f>IF(M5="","",M5+P5)</x:f>
        <x:v>120</x:v>
      </x:c>
      <x:c r="R5" s="7">
        <x:f>IF(K5&lt;&gt;"Paid",0,IF(C5="Income",Q5,-Q5))</x:f>
        <x:v>-120</x:v>
      </x:c>
      <x:c r="S5" s="14" t="str">
        <x:f>IF(A5="","",DATE(YEAR(A5),MONTH(A5),1))</x:f>
        <x:v>Error: #VALUE!</x:v>
      </x:c>
      <x:c r="T5" s="14" t="str">
        <x:f>IF(L5="","",DATE(YEAR(L5),MONTH(L5),1))</x:f>
        <x:v>Error: #VALUE!</x:v>
      </x:c>
    </x:row>
    <x:row r="6">
      <x:c r="A6" s="11" t="n">
        <x:v>45818</x:v>
      </x:c>
      <x:c r="B6" s="5" t="inlineStr">
        <x:is>
          <x:t xml:space="preserve">CF-000005</x:t>
        </x:is>
      </x:c>
      <x:c r="C6" s="12" t="inlineStr">
        <x:is>
          <x:t xml:space="preserve">Income</x:t>
        </x:is>
      </x:c>
      <x:c r="D6" s="12" t="inlineStr">
        <x:is>
          <x:t xml:space="preserve">Λαδι 2</x:t>
        </x:is>
      </x:c>
      <x:c r="E6" s="12" t="inlineStr">
        <x:is>
          <x:t xml:space="preserve">Λαδι 2</x:t>
        </x:is>
      </x:c>
      <x:c r="F6" s="12" t="inlineStr">
        <x:is>
          <x:t xml:space="preserve">Προμήθειες</x:t>
        </x:is>
      </x:c>
      <x:c r="G6" s="13" t="str">
        <x:f>IF(F6="","",IFERROR(VLOOKUP(F6,Master_Data!$E$24:$G$33,2,FALSE),"9999"))</x:f>
        <x:v>5000</x:v>
      </x:c>
      <x:c r="H6" s="12" t="n"/>
      <x:c r="I6" s="12" t="inlineStr">
        <x:is>
          <x:t xml:space="preserve">Cash</x:t>
        </x:is>
      </x:c>
      <x:c r="J6" s="12" t="n"/>
      <x:c r="K6" s="12" t="inlineStr">
        <x:is>
          <x:t xml:space="preserve">Paid</x:t>
        </x:is>
      </x:c>
      <x:c r="L6" s="11" t="n">
        <x:v>45818</x:v>
      </x:c>
      <x:c r="M6" s="9" t="n">
        <x:v>400</x:v>
      </x:c>
      <x:c r="N6" s="12" t="inlineStr">
        <x:is>
          <x:t xml:space="preserve">NO_VAT</x:t>
        </x:is>
      </x:c>
      <x:c r="O6" s="6">
        <x:f>IF(N6="","",IFERROR(VLOOKUP(N6,Master_Data!$A$5:$C$8,3,FALSE),0))</x:f>
        <x:v>0</x:v>
      </x:c>
      <x:c r="P6" s="7">
        <x:f>IF(M6="","",M6*O6)</x:f>
        <x:v>0</x:v>
      </x:c>
      <x:c r="Q6" s="7">
        <x:f>IF(M6="","",M6+P6)</x:f>
        <x:v>400</x:v>
      </x:c>
      <x:c r="R6" s="7">
        <x:f>IF(K6&lt;&gt;"Paid",0,IF(C6="Income",Q6,-Q6))</x:f>
        <x:v>400</x:v>
      </x:c>
      <x:c r="S6" s="14" t="str">
        <x:f>IF(A6="","",DATE(YEAR(A6),MONTH(A6),1))</x:f>
        <x:v>Error: #VALUE!</x:v>
      </x:c>
      <x:c r="T6" s="14" t="str">
        <x:f>IF(L6="","",DATE(YEAR(L6),MONTH(L6),1))</x:f>
        <x:v>Error: #VALUE!</x:v>
      </x:c>
    </x:row>
    <x:row r="7">
      <x:c r="A7" s="11" t="n">
        <x:v>45925</x:v>
      </x:c>
      <x:c r="B7" s="5" t="inlineStr">
        <x:is>
          <x:t xml:space="preserve">CF-000006</x:t>
        </x:is>
      </x:c>
      <x:c r="C7" s="12" t="inlineStr">
        <x:is>
          <x:t xml:space="preserve">Expense</x:t>
        </x:is>
      </x:c>
      <x:c r="D7" s="12" t="inlineStr">
        <x:is>
          <x:t xml:space="preserve"/>
        </x:is>
      </x:c>
      <x:c r="E7" s="12" t="n"/>
      <x:c r="F7" s="12" t="inlineStr">
        <x:is>
          <x:t xml:space="preserve">Μεταφορικά</x:t>
        </x:is>
      </x:c>
      <x:c r="G7" s="13" t="str">
        <x:f>IF(F7="","",IFERROR(VLOOKUP(F7,Master_Data!$E$24:$G$33,2,FALSE),"9999"))</x:f>
        <x:v>6000</x:v>
      </x:c>
      <x:c r="H7" s="12" t="inlineStr">
        <x:is>
          <x:t xml:space="preserve">Αστρινάκης Γιάννης</x:t>
        </x:is>
      </x:c>
      <x:c r="I7" s="12" t="inlineStr">
        <x:is>
          <x:t xml:space="preserve">Cash</x:t>
        </x:is>
      </x:c>
      <x:c r="J7" s="12" t="n"/>
      <x:c r="K7" s="12" t="inlineStr">
        <x:is>
          <x:t xml:space="preserve">Paid</x:t>
        </x:is>
      </x:c>
      <x:c r="L7" s="11" t="n">
        <x:v>45925</x:v>
      </x:c>
      <x:c r="M7" s="9" t="n">
        <x:v>18.74</x:v>
      </x:c>
      <x:c r="N7" s="12" t="inlineStr">
        <x:is>
          <x:t xml:space="preserve">NO_VAT</x:t>
        </x:is>
      </x:c>
      <x:c r="O7" s="6">
        <x:f>IF(N7="","",IFERROR(VLOOKUP(N7,Master_Data!$A$5:$C$8,3,FALSE),0))</x:f>
        <x:v>0</x:v>
      </x:c>
      <x:c r="P7" s="7">
        <x:f>IF(M7="","",M7*O7)</x:f>
        <x:v>0</x:v>
      </x:c>
      <x:c r="Q7" s="7">
        <x:f>IF(M7="","",M7+P7)</x:f>
        <x:v>18.74</x:v>
      </x:c>
      <x:c r="R7" s="7">
        <x:f>IF(K7&lt;&gt;"Paid",0,IF(C7="Income",Q7,-Q7))</x:f>
        <x:v>-18.74</x:v>
      </x:c>
      <x:c r="S7" s="14" t="str">
        <x:f>IF(A7="","",DATE(YEAR(A7),MONTH(A7),1))</x:f>
        <x:v>Error: #VALUE!</x:v>
      </x:c>
      <x:c r="T7" s="14" t="str">
        <x:f>IF(L7="","",DATE(YEAR(L7),MONTH(L7),1))</x:f>
        <x:v>Error: #VALUE!</x:v>
      </x:c>
    </x:row>
    <x:row r="8">
      <x:c r="A8" s="11" t="n">
        <x:v>45925</x:v>
      </x:c>
      <x:c r="B8" s="5" t="inlineStr">
        <x:is>
          <x:t xml:space="preserve">CF-000007</x:t>
        </x:is>
      </x:c>
      <x:c r="C8" s="12" t="inlineStr">
        <x:is>
          <x:t xml:space="preserve">Expense</x:t>
        </x:is>
      </x:c>
      <x:c r="D8" s="12" t="inlineStr">
        <x:is>
          <x:t xml:space="preserve"/>
        </x:is>
      </x:c>
      <x:c r="E8" s="12" t="n"/>
      <x:c r="F8" s="12" t="inlineStr">
        <x:is>
          <x:t xml:space="preserve">Έξοδα Παράστασης</x:t>
        </x:is>
      </x:c>
      <x:c r="G8" s="13" t="str">
        <x:f>IF(F8="","",IFERROR(VLOOKUP(F8,Master_Data!$E$24:$G$33,2,FALSE),"9999"))</x:f>
        <x:v>6000</x:v>
      </x:c>
      <x:c r="H8" s="12" t="inlineStr">
        <x:is>
          <x:t xml:space="preserve">Αστρινάκης Γιάννης</x:t>
        </x:is>
      </x:c>
      <x:c r="I8" s="12" t="inlineStr">
        <x:is>
          <x:t xml:space="preserve">Cash</x:t>
        </x:is>
      </x:c>
      <x:c r="J8" s="12" t="n"/>
      <x:c r="K8" s="12" t="inlineStr">
        <x:is>
          <x:t xml:space="preserve">Paid</x:t>
        </x:is>
      </x:c>
      <x:c r="L8" s="11" t="n">
        <x:v>45925</x:v>
      </x:c>
      <x:c r="M8" s="9" t="n">
        <x:v>50</x:v>
      </x:c>
      <x:c r="N8" s="12" t="inlineStr">
        <x:is>
          <x:t xml:space="preserve">NO_VAT</x:t>
        </x:is>
      </x:c>
      <x:c r="O8" s="6">
        <x:f>IF(N8="","",IFERROR(VLOOKUP(N8,Master_Data!$A$5:$C$8,3,FALSE),0))</x:f>
        <x:v>0</x:v>
      </x:c>
      <x:c r="P8" s="7">
        <x:f>IF(M8="","",M8*O8)</x:f>
        <x:v>0</x:v>
      </x:c>
      <x:c r="Q8" s="7">
        <x:f>IF(M8="","",M8+P8)</x:f>
        <x:v>50</x:v>
      </x:c>
      <x:c r="R8" s="7">
        <x:f>IF(K8&lt;&gt;"Paid",0,IF(C8="Income",Q8,-Q8))</x:f>
        <x:v>-50</x:v>
      </x:c>
      <x:c r="S8" s="14" t="str">
        <x:f>IF(A8="","",DATE(YEAR(A8),MONTH(A8),1))</x:f>
        <x:v>Error: #VALUE!</x:v>
      </x:c>
      <x:c r="T8" s="14" t="str">
        <x:f>IF(L8="","",DATE(YEAR(L8),MONTH(L8),1))</x:f>
        <x:v>Error: #VALUE!</x:v>
      </x:c>
    </x:row>
    <x:row r="9">
      <x:c r="A9" s="11" t="n">
        <x:v>45658</x:v>
      </x:c>
      <x:c r="B9" s="5" t="inlineStr">
        <x:is>
          <x:t xml:space="preserve">CF-000008</x:t>
        </x:is>
      </x:c>
      <x:c r="C9" s="12" t="inlineStr">
        <x:is>
          <x:t xml:space="preserve">Expense</x:t>
        </x:is>
      </x:c>
      <x:c r="D9" s="12" t="inlineStr">
        <x:is>
          <x:t xml:space="preserve">papaki</x:t>
        </x:is>
      </x:c>
      <x:c r="E9" s="12" t="inlineStr">
        <x:is>
          <x:t xml:space="preserve">papaki</x:t>
        </x:is>
      </x:c>
      <x:c r="F9" s="12" t="inlineStr">
        <x:is>
          <x:t xml:space="preserve">domain</x:t>
        </x:is>
      </x:c>
      <x:c r="G9" s="13" t="str">
        <x:f>IF(F9="","",IFERROR(VLOOKUP(F9,Master_Data!$E$24:$G$33,2,FALSE),"9999"))</x:f>
        <x:v>6000</x:v>
      </x:c>
      <x:c r="H9" s="12" t="inlineStr">
        <x:is>
          <x:t xml:space="preserve">Τζιάκης Γιάννης</x:t>
        </x:is>
      </x:c>
      <x:c r="I9" s="12" t="inlineStr">
        <x:is>
          <x:t xml:space="preserve">Cash</x:t>
        </x:is>
      </x:c>
      <x:c r="J9" s="12" t="n"/>
      <x:c r="K9" s="12" t="inlineStr">
        <x:is>
          <x:t xml:space="preserve">Paid</x:t>
        </x:is>
      </x:c>
      <x:c r="L9" s="11" t="n">
        <x:v>45658</x:v>
      </x:c>
      <x:c r="M9" s="9" t="n">
        <x:v>22.82</x:v>
      </x:c>
      <x:c r="N9" s="12" t="inlineStr">
        <x:is>
          <x:t xml:space="preserve">NO_VAT</x:t>
        </x:is>
      </x:c>
      <x:c r="O9" s="6">
        <x:f>IF(N9="","",IFERROR(VLOOKUP(N9,Master_Data!$A$5:$C$8,3,FALSE),0))</x:f>
        <x:v>0</x:v>
      </x:c>
      <x:c r="P9" s="7">
        <x:f>IF(M9="","",M9*O9)</x:f>
        <x:v>0</x:v>
      </x:c>
      <x:c r="Q9" s="7">
        <x:f>IF(M9="","",M9+P9)</x:f>
        <x:v>22.82</x:v>
      </x:c>
      <x:c r="R9" s="7">
        <x:f>IF(K9&lt;&gt;"Paid",0,IF(C9="Income",Q9,-Q9))</x:f>
        <x:v>-22.82</x:v>
      </x:c>
      <x:c r="S9" s="14" t="str">
        <x:f>IF(A9="","",DATE(YEAR(A9),MONTH(A9),1))</x:f>
        <x:v>Error: #VALUE!</x:v>
      </x:c>
      <x:c r="T9" s="14" t="str">
        <x:f>IF(L9="","",DATE(YEAR(L9),MONTH(L9),1))</x:f>
        <x:v>Error: #VALUE!</x:v>
      </x:c>
    </x:row>
    <x:row r="10">
      <x:c r="A10" s="11" t="n">
        <x:v>45658</x:v>
      </x:c>
      <x:c r="B10" s="5" t="inlineStr">
        <x:is>
          <x:t xml:space="preserve">CF-000009</x:t>
        </x:is>
      </x:c>
      <x:c r="C10" s="12" t="inlineStr">
        <x:is>
          <x:t xml:space="preserve">Expense</x:t>
        </x:is>
      </x:c>
      <x:c r="D10" s="12" t="inlineStr">
        <x:is>
          <x:t xml:space="preserve">papaki</x:t>
        </x:is>
      </x:c>
      <x:c r="E10" s="12" t="inlineStr">
        <x:is>
          <x:t xml:space="preserve">papaki</x:t>
        </x:is>
      </x:c>
      <x:c r="F10" s="12" t="inlineStr">
        <x:is>
          <x:t xml:space="preserve">hosting</x:t>
        </x:is>
      </x:c>
      <x:c r="G10" s="13" t="str">
        <x:f>IF(F10="","",IFERROR(VLOOKUP(F10,Master_Data!$E$24:$G$33,2,FALSE),"9999"))</x:f>
        <x:v>6000</x:v>
      </x:c>
      <x:c r="H10" s="12" t="inlineStr">
        <x:is>
          <x:t xml:space="preserve">Αστρινάκης Γιάννης</x:t>
        </x:is>
      </x:c>
      <x:c r="I10" s="12" t="inlineStr">
        <x:is>
          <x:t xml:space="preserve">Cash</x:t>
        </x:is>
      </x:c>
      <x:c r="J10" s="12" t="n"/>
      <x:c r="K10" s="12" t="inlineStr">
        <x:is>
          <x:t xml:space="preserve">Paid</x:t>
        </x:is>
      </x:c>
      <x:c r="L10" s="11" t="n">
        <x:v>45658</x:v>
      </x:c>
      <x:c r="M10" s="9" t="n">
        <x:v>107.26</x:v>
      </x:c>
      <x:c r="N10" s="12" t="inlineStr">
        <x:is>
          <x:t xml:space="preserve">NO_VAT</x:t>
        </x:is>
      </x:c>
      <x:c r="O10" s="6">
        <x:f>IF(N10="","",IFERROR(VLOOKUP(N10,Master_Data!$A$5:$C$8,3,FALSE),0))</x:f>
        <x:v>0</x:v>
      </x:c>
      <x:c r="P10" s="7">
        <x:f>IF(M10="","",M10*O10)</x:f>
        <x:v>0</x:v>
      </x:c>
      <x:c r="Q10" s="7">
        <x:f>IF(M10="","",M10+P10)</x:f>
        <x:v>107.26</x:v>
      </x:c>
      <x:c r="R10" s="7">
        <x:f>IF(K10&lt;&gt;"Paid",0,IF(C10="Income",Q10,-Q10))</x:f>
        <x:v>-107.26</x:v>
      </x:c>
      <x:c r="S10" s="14" t="str">
        <x:f>IF(A10="","",DATE(YEAR(A10),MONTH(A10),1))</x:f>
        <x:v>Error: #VALUE!</x:v>
      </x:c>
      <x:c r="T10" s="14" t="str">
        <x:f>IF(L10="","",DATE(YEAR(L10),MONTH(L10),1))</x:f>
        <x:v>Error: #VALUE!</x:v>
      </x:c>
    </x:row>
    <x:row r="11">
      <x:c r="A11" s="11" t="n">
        <x:v>45658</x:v>
      </x:c>
      <x:c r="B11" s="5" t="inlineStr">
        <x:is>
          <x:t xml:space="preserve">CF-000010</x:t>
        </x:is>
      </x:c>
      <x:c r="C11" s="12" t="inlineStr">
        <x:is>
          <x:t xml:space="preserve">Expense</x:t>
        </x:is>
      </x:c>
      <x:c r="D11" s="12" t="inlineStr">
        <x:is>
          <x:t xml:space="preserve">κυβος</x:t>
        </x:is>
      </x:c>
      <x:c r="E11" s="12" t="inlineStr">
        <x:is>
          <x:t xml:space="preserve">κυβος</x:t>
        </x:is>
      </x:c>
      <x:c r="F11" s="12" t="inlineStr">
        <x:is>
          <x:t xml:space="preserve">καρτες</x:t>
        </x:is>
      </x:c>
      <x:c r="G11" s="13" t="str">
        <x:f>IF(F11="","",IFERROR(VLOOKUP(F11,Master_Data!$E$24:$G$33,2,FALSE),"9999"))</x:f>
        <x:v>6000</x:v>
      </x:c>
      <x:c r="H11" s="12" t="inlineStr">
        <x:is>
          <x:t xml:space="preserve">Αστρινάκης Γιάννης</x:t>
        </x:is>
      </x:c>
      <x:c r="I11" s="12" t="inlineStr">
        <x:is>
          <x:t xml:space="preserve">Cash</x:t>
        </x:is>
      </x:c>
      <x:c r="J11" s="12" t="n"/>
      <x:c r="K11" s="12" t="inlineStr">
        <x:is>
          <x:t xml:space="preserve">Paid</x:t>
        </x:is>
      </x:c>
      <x:c r="L11" s="11" t="n">
        <x:v>45658</x:v>
      </x:c>
      <x:c r="M11" s="9" t="n">
        <x:v>62</x:v>
      </x:c>
      <x:c r="N11" s="12" t="inlineStr">
        <x:is>
          <x:t xml:space="preserve">NO_VAT</x:t>
        </x:is>
      </x:c>
      <x:c r="O11" s="6">
        <x:f>IF(N11="","",IFERROR(VLOOKUP(N11,Master_Data!$A$5:$C$8,3,FALSE),0))</x:f>
        <x:v>0</x:v>
      </x:c>
      <x:c r="P11" s="7">
        <x:f>IF(M11="","",M11*O11)</x:f>
        <x:v>0</x:v>
      </x:c>
      <x:c r="Q11" s="7">
        <x:f>IF(M11="","",M11+P11)</x:f>
        <x:v>62</x:v>
      </x:c>
      <x:c r="R11" s="7">
        <x:f>IF(K11&lt;&gt;"Paid",0,IF(C11="Income",Q11,-Q11))</x:f>
        <x:v>-62</x:v>
      </x:c>
      <x:c r="S11" s="14" t="str">
        <x:f>IF(A11="","",DATE(YEAR(A11),MONTH(A11),1))</x:f>
        <x:v>Error: #VALUE!</x:v>
      </x:c>
      <x:c r="T11" s="14" t="str">
        <x:f>IF(L11="","",DATE(YEAR(L11),MONTH(L11),1))</x:f>
        <x:v>Error: #VALUE!</x:v>
      </x:c>
    </x:row>
    <x:row r="12">
      <x:c r="A12" s="11" t="n">
        <x:v>45658</x:v>
      </x:c>
      <x:c r="B12" s="5" t="inlineStr">
        <x:is>
          <x:t xml:space="preserve">CF-000011</x:t>
        </x:is>
      </x:c>
      <x:c r="C12" s="12" t="inlineStr">
        <x:is>
          <x:t xml:space="preserve">Expense</x:t>
        </x:is>
      </x:c>
      <x:c r="D12" s="12" t="inlineStr">
        <x:is>
          <x:t xml:space="preserve"/>
        </x:is>
      </x:c>
      <x:c r="E12" s="12" t="n"/>
      <x:c r="F12" s="12" t="inlineStr">
        <x:is>
          <x:t xml:space="preserve">Μεταφορικά</x:t>
        </x:is>
      </x:c>
      <x:c r="G12" s="13" t="str">
        <x:f>IF(F12="","",IFERROR(VLOOKUP(F12,Master_Data!$E$24:$G$33,2,FALSE),"9999"))</x:f>
        <x:v>6000</x:v>
      </x:c>
      <x:c r="H12" s="12" t="inlineStr">
        <x:is>
          <x:t xml:space="preserve">Αστρινάκης Γιάννης</x:t>
        </x:is>
      </x:c>
      <x:c r="I12" s="12" t="inlineStr">
        <x:is>
          <x:t xml:space="preserve">Cash</x:t>
        </x:is>
      </x:c>
      <x:c r="J12" s="12" t="n"/>
      <x:c r="K12" s="12" t="inlineStr">
        <x:is>
          <x:t xml:space="preserve">Paid</x:t>
        </x:is>
      </x:c>
      <x:c r="L12" s="11" t="n">
        <x:v>45658</x:v>
      </x:c>
      <x:c r="M12" s="9" t="n">
        <x:v>201</x:v>
      </x:c>
      <x:c r="N12" s="12" t="inlineStr">
        <x:is>
          <x:t xml:space="preserve">NO_VAT</x:t>
        </x:is>
      </x:c>
      <x:c r="O12" s="6">
        <x:f>IF(N12="","",IFERROR(VLOOKUP(N12,Master_Data!$A$5:$C$8,3,FALSE),0))</x:f>
        <x:v>0</x:v>
      </x:c>
      <x:c r="P12" s="7">
        <x:f>IF(M12="","",M12*O12)</x:f>
        <x:v>0</x:v>
      </x:c>
      <x:c r="Q12" s="7">
        <x:f>IF(M12="","",M12+P12)</x:f>
        <x:v>201</x:v>
      </x:c>
      <x:c r="R12" s="7">
        <x:f>IF(K12&lt;&gt;"Paid",0,IF(C12="Income",Q12,-Q12))</x:f>
        <x:v>-201</x:v>
      </x:c>
      <x:c r="S12" s="14" t="str">
        <x:f>IF(A12="","",DATE(YEAR(A12),MONTH(A12),1))</x:f>
        <x:v>Error: #VALUE!</x:v>
      </x:c>
      <x:c r="T12" s="14" t="str">
        <x:f>IF(L12="","",DATE(YEAR(L12),MONTH(L12),1))</x:f>
        <x:v>Error: #VALUE!</x:v>
      </x:c>
    </x:row>
    <x:row r="13">
      <x:c r="A13" s="11" t="n">
        <x:v>45659</x:v>
      </x:c>
      <x:c r="B13" s="5" t="inlineStr">
        <x:is>
          <x:t xml:space="preserve">CF-000012</x:t>
        </x:is>
      </x:c>
      <x:c r="C13" s="12" t="inlineStr">
        <x:is>
          <x:t xml:space="preserve">Expense</x:t>
        </x:is>
      </x:c>
      <x:c r="D13" s="12" t="inlineStr">
        <x:is>
          <x:t xml:space="preserve"/>
        </x:is>
      </x:c>
      <x:c r="E13" s="12" t="n"/>
      <x:c r="F13" s="12" t="inlineStr">
        <x:is>
          <x:t xml:space="preserve">Μεταφορικά</x:t>
        </x:is>
      </x:c>
      <x:c r="G13" s="13" t="str">
        <x:f>IF(F13="","",IFERROR(VLOOKUP(F13,Master_Data!$E$24:$G$33,2,FALSE),"9999"))</x:f>
        <x:v>6000</x:v>
      </x:c>
      <x:c r="H13" s="12" t="inlineStr">
        <x:is>
          <x:t xml:space="preserve">Καπετάνιος Χρήστος</x:t>
        </x:is>
      </x:c>
      <x:c r="I13" s="12" t="inlineStr">
        <x:is>
          <x:t xml:space="preserve">Cash</x:t>
        </x:is>
      </x:c>
      <x:c r="J13" s="12" t="n"/>
      <x:c r="K13" s="12" t="inlineStr">
        <x:is>
          <x:t xml:space="preserve">Paid</x:t>
        </x:is>
      </x:c>
      <x:c r="L13" s="11" t="n">
        <x:v>45659</x:v>
      </x:c>
      <x:c r="M13" s="9" t="n">
        <x:v>201</x:v>
      </x:c>
      <x:c r="N13" s="12" t="inlineStr">
        <x:is>
          <x:t xml:space="preserve">NO_VAT</x:t>
        </x:is>
      </x:c>
      <x:c r="O13" s="6">
        <x:f>IF(N13="","",IFERROR(VLOOKUP(N13,Master_Data!$A$5:$C$8,3,FALSE),0))</x:f>
        <x:v>0</x:v>
      </x:c>
      <x:c r="P13" s="7">
        <x:f>IF(M13="","",M13*O13)</x:f>
        <x:v>0</x:v>
      </x:c>
      <x:c r="Q13" s="7">
        <x:f>IF(M13="","",M13+P13)</x:f>
        <x:v>201</x:v>
      </x:c>
      <x:c r="R13" s="7">
        <x:f>IF(K13&lt;&gt;"Paid",0,IF(C13="Income",Q13,-Q13))</x:f>
        <x:v>-201</x:v>
      </x:c>
      <x:c r="S13" s="14" t="str">
        <x:f>IF(A13="","",DATE(YEAR(A13),MONTH(A13),1))</x:f>
        <x:v>Error: #VALUE!</x:v>
      </x:c>
      <x:c r="T13" s="14" t="str">
        <x:f>IF(L13="","",DATE(YEAR(L13),MONTH(L13),1))</x:f>
        <x:v>Error: #VALUE!</x:v>
      </x:c>
    </x:row>
    <x:row r="14">
      <x:c r="A14" s="11" t="n">
        <x:v>45954</x:v>
      </x:c>
      <x:c r="B14" s="5" t="inlineStr">
        <x:is>
          <x:t xml:space="preserve">CF-000013</x:t>
        </x:is>
      </x:c>
      <x:c r="C14" s="12" t="inlineStr">
        <x:is>
          <x:t xml:space="preserve">Expense</x:t>
        </x:is>
      </x:c>
      <x:c r="D14" s="12" t="inlineStr">
        <x:is>
          <x:t xml:space="preserve">Χαχναφη Ελένη</x:t>
        </x:is>
      </x:c>
      <x:c r="E14" s="12" t="inlineStr">
        <x:is>
          <x:t xml:space="preserve">Χαχναφη Ελένη</x:t>
        </x:is>
      </x:c>
      <x:c r="F14" s="12" t="inlineStr">
        <x:is>
          <x:t xml:space="preserve">Δικηγόρος</x:t>
        </x:is>
      </x:c>
      <x:c r="G14" s="13" t="str">
        <x:f>IF(F14="","",IFERROR(VLOOKUP(F14,Master_Data!$E$24:$G$33,2,FALSE),"9999"))</x:f>
        <x:v>6000</x:v>
      </x:c>
      <x:c r="H14" s="12" t="inlineStr">
        <x:is>
          <x:t xml:space="preserve">Τζιάκης Γιάννης</x:t>
        </x:is>
      </x:c>
      <x:c r="I14" s="12" t="inlineStr">
        <x:is>
          <x:t xml:space="preserve">Cash</x:t>
        </x:is>
      </x:c>
      <x:c r="J14" s="12" t="n"/>
      <x:c r="K14" s="12" t="inlineStr">
        <x:is>
          <x:t xml:space="preserve">Paid</x:t>
        </x:is>
      </x:c>
      <x:c r="L14" s="11" t="n">
        <x:v>45954</x:v>
      </x:c>
      <x:c r="M14" s="9" t="n">
        <x:v>160</x:v>
      </x:c>
      <x:c r="N14" s="12" t="inlineStr">
        <x:is>
          <x:t xml:space="preserve">NO_VAT</x:t>
        </x:is>
      </x:c>
      <x:c r="O14" s="6">
        <x:f>IF(N14="","",IFERROR(VLOOKUP(N14,Master_Data!$A$5:$C$8,3,FALSE),0))</x:f>
        <x:v>0</x:v>
      </x:c>
      <x:c r="P14" s="7">
        <x:f>IF(M14="","",M14*O14)</x:f>
        <x:v>0</x:v>
      </x:c>
      <x:c r="Q14" s="7">
        <x:f>IF(M14="","",M14+P14)</x:f>
        <x:v>160</x:v>
      </x:c>
      <x:c r="R14" s="7">
        <x:f>IF(K14&lt;&gt;"Paid",0,IF(C14="Income",Q14,-Q14))</x:f>
        <x:v>-160</x:v>
      </x:c>
      <x:c r="S14" s="14" t="str">
        <x:f>IF(A14="","",DATE(YEAR(A14),MONTH(A14),1))</x:f>
        <x:v>Error: #VALUE!</x:v>
      </x:c>
      <x:c r="T14" s="14" t="str">
        <x:f>IF(L14="","",DATE(YEAR(L14),MONTH(L14),1))</x:f>
        <x:v>Error: #VALUE!</x:v>
      </x:c>
    </x:row>
    <x:row r="15">
      <x:c r="A15" s="11" t="n">
        <x:v>45954</x:v>
      </x:c>
      <x:c r="B15" s="5" t="inlineStr">
        <x:is>
          <x:t xml:space="preserve">CF-000014</x:t>
        </x:is>
      </x:c>
      <x:c r="C15" s="12" t="inlineStr">
        <x:is>
          <x:t xml:space="preserve">Expense</x:t>
        </x:is>
      </x:c>
      <x:c r="D15" s="12" t="inlineStr">
        <x:is>
          <x:t xml:space="preserve">Χαχναφη Ελένη</x:t>
        </x:is>
      </x:c>
      <x:c r="E15" s="12" t="inlineStr">
        <x:is>
          <x:t xml:space="preserve">Χαχναφη Ελένη</x:t>
        </x:is>
      </x:c>
      <x:c r="F15" s="12" t="inlineStr">
        <x:is>
          <x:t xml:space="preserve">Δικηγόρος</x:t>
        </x:is>
      </x:c>
      <x:c r="G15" s="13" t="str">
        <x:f>IF(F15="","",IFERROR(VLOOKUP(F15,Master_Data!$E$24:$G$33,2,FALSE),"9999"))</x:f>
        <x:v>6000</x:v>
      </x:c>
      <x:c r="H15" s="12" t="inlineStr">
        <x:is>
          <x:t xml:space="preserve">Αστρινάκης Γιάννης</x:t>
        </x:is>
      </x:c>
      <x:c r="I15" s="12" t="inlineStr">
        <x:is>
          <x:t xml:space="preserve">Cash</x:t>
        </x:is>
      </x:c>
      <x:c r="J15" s="12" t="n"/>
      <x:c r="K15" s="12" t="inlineStr">
        <x:is>
          <x:t xml:space="preserve">Paid</x:t>
        </x:is>
      </x:c>
      <x:c r="L15" s="11" t="n">
        <x:v>45954</x:v>
      </x:c>
      <x:c r="M15" s="9" t="n">
        <x:v>42.18</x:v>
      </x:c>
      <x:c r="N15" s="12" t="inlineStr">
        <x:is>
          <x:t xml:space="preserve">NO_VAT</x:t>
        </x:is>
      </x:c>
      <x:c r="O15" s="6">
        <x:f>IF(N15="","",IFERROR(VLOOKUP(N15,Master_Data!$A$5:$C$8,3,FALSE),0))</x:f>
        <x:v>0</x:v>
      </x:c>
      <x:c r="P15" s="7">
        <x:f>IF(M15="","",M15*O15)</x:f>
        <x:v>0</x:v>
      </x:c>
      <x:c r="Q15" s="7">
        <x:f>IF(M15="","",M15+P15)</x:f>
        <x:v>42.18</x:v>
      </x:c>
      <x:c r="R15" s="7">
        <x:f>IF(K15&lt;&gt;"Paid",0,IF(C15="Income",Q15,-Q15))</x:f>
        <x:v>-42.18</x:v>
      </x:c>
      <x:c r="S15" s="14" t="str">
        <x:f>IF(A15="","",DATE(YEAR(A15),MONTH(A15),1))</x:f>
        <x:v>Error: #VALUE!</x:v>
      </x:c>
      <x:c r="T15" s="14" t="str">
        <x:f>IF(L15="","",DATE(YEAR(L15),MONTH(L15),1))</x:f>
        <x:v>Error: #VALUE!</x:v>
      </x:c>
    </x:row>
    <x:row r="16">
      <x:c r="A16" s="11" t="n">
        <x:v>45965</x:v>
      </x:c>
      <x:c r="B16" s="5" t="inlineStr">
        <x:is>
          <x:t xml:space="preserve">CF-000015</x:t>
        </x:is>
      </x:c>
      <x:c r="C16" s="12" t="inlineStr">
        <x:is>
          <x:t xml:space="preserve">Income</x:t>
        </x:is>
      </x:c>
      <x:c r="D16" s="12" t="inlineStr">
        <x:is>
          <x:t xml:space="preserve">Λαδι 2</x:t>
        </x:is>
      </x:c>
      <x:c r="E16" s="12" t="inlineStr">
        <x:is>
          <x:t xml:space="preserve">Λαδι 2</x:t>
        </x:is>
      </x:c>
      <x:c r="F16" s="12" t="inlineStr">
        <x:is>
          <x:t xml:space="preserve">Προμήθειες</x:t>
        </x:is>
      </x:c>
      <x:c r="G16" s="13" t="str">
        <x:f>IF(F16="","",IFERROR(VLOOKUP(F16,Master_Data!$E$24:$G$33,2,FALSE),"9999"))</x:f>
        <x:v>5000</x:v>
      </x:c>
      <x:c r="H16" s="12" t="n"/>
      <x:c r="I16" s="12" t="inlineStr">
        <x:is>
          <x:t xml:space="preserve">Cash</x:t>
        </x:is>
      </x:c>
      <x:c r="J16" s="12" t="n"/>
      <x:c r="K16" s="12" t="inlineStr">
        <x:is>
          <x:t xml:space="preserve">Paid</x:t>
        </x:is>
      </x:c>
      <x:c r="L16" s="11" t="n">
        <x:v>45965</x:v>
      </x:c>
      <x:c r="M16" s="9" t="n">
        <x:v>770</x:v>
      </x:c>
      <x:c r="N16" s="12" t="inlineStr">
        <x:is>
          <x:t xml:space="preserve">NO_VAT</x:t>
        </x:is>
      </x:c>
      <x:c r="O16" s="6">
        <x:f>IF(N16="","",IFERROR(VLOOKUP(N16,Master_Data!$A$5:$C$8,3,FALSE),0))</x:f>
        <x:v>0</x:v>
      </x:c>
      <x:c r="P16" s="7">
        <x:f>IF(M16="","",M16*O16)</x:f>
        <x:v>0</x:v>
      </x:c>
      <x:c r="Q16" s="7">
        <x:f>IF(M16="","",M16+P16)</x:f>
        <x:v>770</x:v>
      </x:c>
      <x:c r="R16" s="7">
        <x:f>IF(K16&lt;&gt;"Paid",0,IF(C16="Income",Q16,-Q16))</x:f>
        <x:v>770</x:v>
      </x:c>
      <x:c r="S16" s="14" t="str">
        <x:f>IF(A16="","",DATE(YEAR(A16),MONTH(A16),1))</x:f>
        <x:v>Error: #VALUE!</x:v>
      </x:c>
      <x:c r="T16" s="14" t="str">
        <x:f>IF(L16="","",DATE(YEAR(L16),MONTH(L16),1))</x:f>
        <x:v>Error: #VALUE!</x:v>
      </x:c>
    </x:row>
    <x:row r="17">
      <x:c r="A17" s="11" t="n">
        <x:v>45965</x:v>
      </x:c>
      <x:c r="B17" s="5" t="inlineStr">
        <x:is>
          <x:t xml:space="preserve">CF-000016</x:t>
        </x:is>
      </x:c>
      <x:c r="C17" s="12" t="inlineStr">
        <x:is>
          <x:t xml:space="preserve">Equity Distribution</x:t>
        </x:is>
      </x:c>
      <x:c r="D17" s="12" t="inlineStr">
        <x:is>
          <x:t xml:space="preserve">Μερισμα</x:t>
        </x:is>
      </x:c>
      <x:c r="E17" s="12" t="inlineStr">
        <x:is>
          <x:t xml:space="preserve">Μερισμα</x:t>
        </x:is>
      </x:c>
      <x:c r="F17" s="12" t="inlineStr">
        <x:is>
          <x:t xml:space="preserve">Μέρισμα</x:t>
        </x:is>
      </x:c>
      <x:c r="G17" s="13" t="str">
        <x:f>IF(F17="","",IFERROR(VLOOKUP(F17,Master_Data!$E$24:$G$33,2,FALSE),"9999"))</x:f>
        <x:v>8000</x:v>
      </x:c>
      <x:c r="H17" s="12" t="inlineStr">
        <x:is>
          <x:t xml:space="preserve">Αστρινάκης Γιάννης</x:t>
        </x:is>
      </x:c>
      <x:c r="I17" s="12" t="inlineStr">
        <x:is>
          <x:t xml:space="preserve">Cash</x:t>
        </x:is>
      </x:c>
      <x:c r="J17" s="12" t="n"/>
      <x:c r="K17" s="12" t="inlineStr">
        <x:is>
          <x:t xml:space="preserve">Paid</x:t>
        </x:is>
      </x:c>
      <x:c r="L17" s="11" t="n">
        <x:v>45965</x:v>
      </x:c>
      <x:c r="M17" s="9" t="n">
        <x:v>235</x:v>
      </x:c>
      <x:c r="N17" s="12" t="inlineStr">
        <x:is>
          <x:t xml:space="preserve">NO_VAT</x:t>
        </x:is>
      </x:c>
      <x:c r="O17" s="6">
        <x:f>IF(N17="","",IFERROR(VLOOKUP(N17,Master_Data!$A$5:$C$8,3,FALSE),0))</x:f>
        <x:v>0</x:v>
      </x:c>
      <x:c r="P17" s="7">
        <x:f>IF(M17="","",M17*O17)</x:f>
        <x:v>0</x:v>
      </x:c>
      <x:c r="Q17" s="7">
        <x:f>IF(M17="","",M17+P17)</x:f>
        <x:v>235</x:v>
      </x:c>
      <x:c r="R17" s="7">
        <x:f>IF(K17&lt;&gt;"Paid",0,IF(C17="Income",Q17,-Q17))</x:f>
        <x:v>-235</x:v>
      </x:c>
      <x:c r="S17" s="14" t="str">
        <x:f>IF(A17="","",DATE(YEAR(A17),MONTH(A17),1))</x:f>
        <x:v>Error: #VALUE!</x:v>
      </x:c>
      <x:c r="T17" s="14" t="str">
        <x:f>IF(L17="","",DATE(YEAR(L17),MONTH(L17),1))</x:f>
        <x:v>Error: #VALUE!</x:v>
      </x:c>
    </x:row>
    <x:row r="18">
      <x:c r="A18" s="11" t="n">
        <x:v>45965</x:v>
      </x:c>
      <x:c r="B18" s="5" t="inlineStr">
        <x:is>
          <x:t xml:space="preserve">CF-000017</x:t>
        </x:is>
      </x:c>
      <x:c r="C18" s="12" t="inlineStr">
        <x:is>
          <x:t xml:space="preserve">Equity Distribution</x:t>
        </x:is>
      </x:c>
      <x:c r="D18" s="12" t="inlineStr">
        <x:is>
          <x:t xml:space="preserve">Μερισμα</x:t>
        </x:is>
      </x:c>
      <x:c r="E18" s="12" t="inlineStr">
        <x:is>
          <x:t xml:space="preserve">Μερισμα</x:t>
        </x:is>
      </x:c>
      <x:c r="F18" s="12" t="inlineStr">
        <x:is>
          <x:t xml:space="preserve">Μέρισμα</x:t>
        </x:is>
      </x:c>
      <x:c r="G18" s="13" t="str">
        <x:f>IF(F18="","",IFERROR(VLOOKUP(F18,Master_Data!$E$24:$G$33,2,FALSE),"9999"))</x:f>
        <x:v>8000</x:v>
      </x:c>
      <x:c r="H18" s="12" t="inlineStr">
        <x:is>
          <x:t xml:space="preserve">Τζιάκης Γιάννης</x:t>
        </x:is>
      </x:c>
      <x:c r="I18" s="12" t="inlineStr">
        <x:is>
          <x:t xml:space="preserve">Cash</x:t>
        </x:is>
      </x:c>
      <x:c r="J18" s="12" t="n"/>
      <x:c r="K18" s="12" t="inlineStr">
        <x:is>
          <x:t xml:space="preserve">Paid</x:t>
        </x:is>
      </x:c>
      <x:c r="L18" s="11" t="n">
        <x:v>45965</x:v>
      </x:c>
      <x:c r="M18" s="9" t="n">
        <x:v>235</x:v>
      </x:c>
      <x:c r="N18" s="12" t="inlineStr">
        <x:is>
          <x:t xml:space="preserve">NO_VAT</x:t>
        </x:is>
      </x:c>
      <x:c r="O18" s="6">
        <x:f>IF(N18="","",IFERROR(VLOOKUP(N18,Master_Data!$A$5:$C$8,3,FALSE),0))</x:f>
        <x:v>0</x:v>
      </x:c>
      <x:c r="P18" s="7">
        <x:f>IF(M18="","",M18*O18)</x:f>
        <x:v>0</x:v>
      </x:c>
      <x:c r="Q18" s="7">
        <x:f>IF(M18="","",M18+P18)</x:f>
        <x:v>235</x:v>
      </x:c>
      <x:c r="R18" s="7">
        <x:f>IF(K18&lt;&gt;"Paid",0,IF(C18="Income",Q18,-Q18))</x:f>
        <x:v>-235</x:v>
      </x:c>
      <x:c r="S18" s="14" t="str">
        <x:f>IF(A18="","",DATE(YEAR(A18),MONTH(A18),1))</x:f>
        <x:v>Error: #VALUE!</x:v>
      </x:c>
      <x:c r="T18" s="14" t="str">
        <x:f>IF(L18="","",DATE(YEAR(L18),MONTH(L18),1))</x:f>
        <x:v>Error: #VALUE!</x:v>
      </x:c>
    </x:row>
    <x:row r="19">
      <x:c r="A19" s="11" t="n">
        <x:v>45965</x:v>
      </x:c>
      <x:c r="B19" s="5" t="inlineStr">
        <x:is>
          <x:t xml:space="preserve">CF-000018</x:t>
        </x:is>
      </x:c>
      <x:c r="C19" s="12" t="inlineStr">
        <x:is>
          <x:t xml:space="preserve">Equity Distribution</x:t>
        </x:is>
      </x:c>
      <x:c r="D19" s="12" t="inlineStr">
        <x:is>
          <x:t xml:space="preserve">Μερισμα</x:t>
        </x:is>
      </x:c>
      <x:c r="E19" s="12" t="inlineStr">
        <x:is>
          <x:t xml:space="preserve">Μερισμα</x:t>
        </x:is>
      </x:c>
      <x:c r="F19" s="12" t="inlineStr">
        <x:is>
          <x:t xml:space="preserve">Μέρισμα</x:t>
        </x:is>
      </x:c>
      <x:c r="G19" s="13" t="str">
        <x:f>IF(F19="","",IFERROR(VLOOKUP(F19,Master_Data!$E$24:$G$33,2,FALSE),"9999"))</x:f>
        <x:v>8000</x:v>
      </x:c>
      <x:c r="H19" s="12" t="inlineStr">
        <x:is>
          <x:t xml:space="preserve">Καπετάνιος Χρήστος</x:t>
        </x:is>
      </x:c>
      <x:c r="I19" s="12" t="inlineStr">
        <x:is>
          <x:t xml:space="preserve">Cash</x:t>
        </x:is>
      </x:c>
      <x:c r="J19" s="12" t="n"/>
      <x:c r="K19" s="12" t="inlineStr">
        <x:is>
          <x:t xml:space="preserve">Paid</x:t>
        </x:is>
      </x:c>
      <x:c r="L19" s="11" t="n">
        <x:v>45965</x:v>
      </x:c>
      <x:c r="M19" s="9" t="n">
        <x:v>235</x:v>
      </x:c>
      <x:c r="N19" s="12" t="inlineStr">
        <x:is>
          <x:t xml:space="preserve">NO_VAT</x:t>
        </x:is>
      </x:c>
      <x:c r="O19" s="6">
        <x:f>IF(N19="","",IFERROR(VLOOKUP(N19,Master_Data!$A$5:$C$8,3,FALSE),0))</x:f>
        <x:v>0</x:v>
      </x:c>
      <x:c r="P19" s="7">
        <x:f>IF(M19="","",M19*O19)</x:f>
        <x:v>0</x:v>
      </x:c>
      <x:c r="Q19" s="7">
        <x:f>IF(M19="","",M19+P19)</x:f>
        <x:v>235</x:v>
      </x:c>
      <x:c r="R19" s="7">
        <x:f>IF(K19&lt;&gt;"Paid",0,IF(C19="Income",Q19,-Q19))</x:f>
        <x:v>-235</x:v>
      </x:c>
      <x:c r="S19" s="14" t="str">
        <x:f>IF(A19="","",DATE(YEAR(A19),MONTH(A19),1))</x:f>
        <x:v>Error: #VALUE!</x:v>
      </x:c>
      <x:c r="T19" s="14" t="str">
        <x:f>IF(L19="","",DATE(YEAR(L19),MONTH(L19),1))</x:f>
        <x:v>Error: #VALUE!</x:v>
      </x:c>
    </x:row>
    <x:row r="20">
      <x:c r="A20" s="11" t="n">
        <x:v>45966</x:v>
      </x:c>
      <x:c r="B20" s="5" t="inlineStr">
        <x:is>
          <x:t xml:space="preserve">CF-000019</x:t>
        </x:is>
      </x:c>
      <x:c r="C20" s="12" t="inlineStr">
        <x:is>
          <x:t xml:space="preserve">Expense</x:t>
        </x:is>
      </x:c>
      <x:c r="D20" s="12" t="inlineStr">
        <x:is>
          <x:t xml:space="preserve">ACS</x:t>
        </x:is>
      </x:c>
      <x:c r="E20" s="12" t="inlineStr">
        <x:is>
          <x:t xml:space="preserve">ACS</x:t>
        </x:is>
      </x:c>
      <x:c r="F20" s="12" t="inlineStr">
        <x:is>
          <x:t xml:space="preserve">Εναρξη εταιρειας</x:t>
        </x:is>
      </x:c>
      <x:c r="G20" s="13" t="str">
        <x:f>IF(F20="","",IFERROR(VLOOKUP(F20,Master_Data!$E$24:$G$33,2,FALSE),"9999"))</x:f>
        <x:v>6000</x:v>
      </x:c>
      <x:c r="H20" s="12" t="inlineStr">
        <x:is>
          <x:t xml:space="preserve">Αστρινάκης Γιάννης</x:t>
        </x:is>
      </x:c>
      <x:c r="I20" s="12" t="inlineStr">
        <x:is>
          <x:t xml:space="preserve">Cash</x:t>
        </x:is>
      </x:c>
      <x:c r="J20" s="12" t="n"/>
      <x:c r="K20" s="12" t="inlineStr">
        <x:is>
          <x:t xml:space="preserve">Paid</x:t>
        </x:is>
      </x:c>
      <x:c r="L20" s="11" t="n">
        <x:v>45966</x:v>
      </x:c>
      <x:c r="M20" s="9" t="n">
        <x:v>12</x:v>
      </x:c>
      <x:c r="N20" s="12" t="inlineStr">
        <x:is>
          <x:t xml:space="preserve">NO_VAT</x:t>
        </x:is>
      </x:c>
      <x:c r="O20" s="6">
        <x:f>IF(N20="","",IFERROR(VLOOKUP(N20,Master_Data!$A$5:$C$8,3,FALSE),0))</x:f>
        <x:v>0</x:v>
      </x:c>
      <x:c r="P20" s="7">
        <x:f>IF(M20="","",M20*O20)</x:f>
        <x:v>0</x:v>
      </x:c>
      <x:c r="Q20" s="7">
        <x:f>IF(M20="","",M20+P20)</x:f>
        <x:v>12</x:v>
      </x:c>
      <x:c r="R20" s="7">
        <x:f>IF(K20&lt;&gt;"Paid",0,IF(C20="Income",Q20,-Q20))</x:f>
        <x:v>-12</x:v>
      </x:c>
      <x:c r="S20" s="14" t="str">
        <x:f>IF(A20="","",DATE(YEAR(A20),MONTH(A20),1))</x:f>
        <x:v>Error: #VALUE!</x:v>
      </x:c>
      <x:c r="T20" s="14" t="str">
        <x:f>IF(L20="","",DATE(YEAR(L20),MONTH(L20),1))</x:f>
        <x:v>Error: #VALUE!</x:v>
      </x:c>
    </x:row>
    <x:row r="21">
      <x:c r="A21" s="11" t="n">
        <x:v>45966</x:v>
      </x:c>
      <x:c r="B21" s="5" t="inlineStr">
        <x:is>
          <x:t xml:space="preserve">CF-000020</x:t>
        </x:is>
      </x:c>
      <x:c r="C21" s="12" t="inlineStr">
        <x:is>
          <x:t xml:space="preserve">Income</x:t>
        </x:is>
      </x:c>
      <x:c r="D21" s="12" t="inlineStr">
        <x:is>
          <x:t xml:space="preserve">Λαδι 2</x:t>
        </x:is>
      </x:c>
      <x:c r="E21" s="12" t="inlineStr">
        <x:is>
          <x:t xml:space="preserve">Λαδι 2</x:t>
        </x:is>
      </x:c>
      <x:c r="F21" s="12" t="inlineStr">
        <x:is>
          <x:t xml:space="preserve">Προμήθειες</x:t>
        </x:is>
      </x:c>
      <x:c r="G21" s="13" t="str">
        <x:f>IF(F21="","",IFERROR(VLOOKUP(F21,Master_Data!$E$24:$G$33,2,FALSE),"9999"))</x:f>
        <x:v>5000</x:v>
      </x:c>
      <x:c r="H21" s="12" t="n"/>
      <x:c r="I21" s="12" t="inlineStr">
        <x:is>
          <x:t xml:space="preserve">Cash</x:t>
        </x:is>
      </x:c>
      <x:c r="J21" s="12" t="n"/>
      <x:c r="K21" s="12" t="inlineStr">
        <x:is>
          <x:t xml:space="preserve">Paid</x:t>
        </x:is>
      </x:c>
      <x:c r="L21" s="11" t="n">
        <x:v>45966</x:v>
      </x:c>
      <x:c r="M21" s="9" t="n">
        <x:v>460.8</x:v>
      </x:c>
      <x:c r="N21" s="12" t="inlineStr">
        <x:is>
          <x:t xml:space="preserve">NO_VAT</x:t>
        </x:is>
      </x:c>
      <x:c r="O21" s="6">
        <x:f>IF(N21="","",IFERROR(VLOOKUP(N21,Master_Data!$A$5:$C$8,3,FALSE),0))</x:f>
        <x:v>0</x:v>
      </x:c>
      <x:c r="P21" s="7">
        <x:f>IF(M21="","",M21*O21)</x:f>
        <x:v>0</x:v>
      </x:c>
      <x:c r="Q21" s="7">
        <x:f>IF(M21="","",M21+P21)</x:f>
        <x:v>460.8</x:v>
      </x:c>
      <x:c r="R21" s="7">
        <x:f>IF(K21&lt;&gt;"Paid",0,IF(C21="Income",Q21,-Q21))</x:f>
        <x:v>460.8</x:v>
      </x:c>
      <x:c r="S21" s="14" t="str">
        <x:f>IF(A21="","",DATE(YEAR(A21),MONTH(A21),1))</x:f>
        <x:v>Error: #VALUE!</x:v>
      </x:c>
      <x:c r="T21" s="14" t="str">
        <x:f>IF(L21="","",DATE(YEAR(L21),MONTH(L21),1))</x:f>
        <x:v>Error: #VALUE!</x:v>
      </x:c>
    </x:row>
    <x:row r="22">
      <x:c r="A22" s="11" t="n">
        <x:v>45968</x:v>
      </x:c>
      <x:c r="B22" s="5" t="inlineStr">
        <x:is>
          <x:t xml:space="preserve">CF-000021</x:t>
        </x:is>
      </x:c>
      <x:c r="C22" s="12" t="inlineStr">
        <x:is>
          <x:t xml:space="preserve">Income</x:t>
        </x:is>
      </x:c>
      <x:c r="D22" s="12" t="inlineStr">
        <x:is>
          <x:t xml:space="preserve">Καμπριανης Ηλίας</x:t>
        </x:is>
      </x:c>
      <x:c r="E22" s="12" t="inlineStr">
        <x:is>
          <x:t xml:space="preserve">Καμπριανης Ηλίας</x:t>
        </x:is>
      </x:c>
      <x:c r="F22" s="12" t="inlineStr">
        <x:is>
          <x:t xml:space="preserve">Προμήθειες</x:t>
        </x:is>
      </x:c>
      <x:c r="G22" s="13" t="str">
        <x:f>IF(F22="","",IFERROR(VLOOKUP(F22,Master_Data!$E$24:$G$33,2,FALSE),"9999"))</x:f>
        <x:v>5000</x:v>
      </x:c>
      <x:c r="H22" s="12" t="n"/>
      <x:c r="I22" s="12" t="inlineStr">
        <x:is>
          <x:t xml:space="preserve">Cash</x:t>
        </x:is>
      </x:c>
      <x:c r="J22" s="12" t="n"/>
      <x:c r="K22" s="12" t="inlineStr">
        <x:is>
          <x:t xml:space="preserve">Paid</x:t>
        </x:is>
      </x:c>
      <x:c r="L22" s="11" t="n">
        <x:v>45968</x:v>
      </x:c>
      <x:c r="M22" s="9" t="n">
        <x:v>1178.79</x:v>
      </x:c>
      <x:c r="N22" s="12" t="inlineStr">
        <x:is>
          <x:t xml:space="preserve">NO_VAT</x:t>
        </x:is>
      </x:c>
      <x:c r="O22" s="6">
        <x:f>IF(N22="","",IFERROR(VLOOKUP(N22,Master_Data!$A$5:$C$8,3,FALSE),0))</x:f>
        <x:v>0</x:v>
      </x:c>
      <x:c r="P22" s="7">
        <x:f>IF(M22="","",M22*O22)</x:f>
        <x:v>0</x:v>
      </x:c>
      <x:c r="Q22" s="7">
        <x:f>IF(M22="","",M22+P22)</x:f>
        <x:v>1178.79</x:v>
      </x:c>
      <x:c r="R22" s="7">
        <x:f>IF(K22&lt;&gt;"Paid",0,IF(C22="Income",Q22,-Q22))</x:f>
        <x:v>1178.79</x:v>
      </x:c>
      <x:c r="S22" s="14" t="str">
        <x:f>IF(A22="","",DATE(YEAR(A22),MONTH(A22),1))</x:f>
        <x:v>Error: #VALUE!</x:v>
      </x:c>
      <x:c r="T22" s="14" t="str">
        <x:f>IF(L22="","",DATE(YEAR(L22),MONTH(L22),1))</x:f>
        <x:v>Error: #VALUE!</x:v>
      </x:c>
    </x:row>
    <x:row r="23">
      <x:c r="A23" s="11" t="n">
        <x:v>45968</x:v>
      </x:c>
      <x:c r="B23" s="5" t="inlineStr">
        <x:is>
          <x:t xml:space="preserve">CF-000022</x:t>
        </x:is>
      </x:c>
      <x:c r="C23" s="12" t="inlineStr">
        <x:is>
          <x:t xml:space="preserve">Income</x:t>
        </x:is>
      </x:c>
      <x:c r="D23" s="12" t="inlineStr">
        <x:is>
          <x:t xml:space="preserve">Χαραλαμπακης</x:t>
        </x:is>
      </x:c>
      <x:c r="E23" s="12" t="inlineStr">
        <x:is>
          <x:t xml:space="preserve">Χαραλαμπακης</x:t>
        </x:is>
      </x:c>
      <x:c r="F23" s="12" t="inlineStr">
        <x:is>
          <x:t xml:space="preserve">Προμήθειες</x:t>
        </x:is>
      </x:c>
      <x:c r="G23" s="13" t="str">
        <x:f>IF(F23="","",IFERROR(VLOOKUP(F23,Master_Data!$E$24:$G$33,2,FALSE),"9999"))</x:f>
        <x:v>5000</x:v>
      </x:c>
      <x:c r="H23" s="12" t="n"/>
      <x:c r="I23" s="12" t="inlineStr">
        <x:is>
          <x:t xml:space="preserve">Cash</x:t>
        </x:is>
      </x:c>
      <x:c r="J23" s="12" t="n"/>
      <x:c r="K23" s="12" t="inlineStr">
        <x:is>
          <x:t xml:space="preserve">Paid</x:t>
        </x:is>
      </x:c>
      <x:c r="L23" s="11" t="n">
        <x:v>45968</x:v>
      </x:c>
      <x:c r="M23" s="9" t="n">
        <x:v>430.8</x:v>
      </x:c>
      <x:c r="N23" s="12" t="inlineStr">
        <x:is>
          <x:t xml:space="preserve">NO_VAT</x:t>
        </x:is>
      </x:c>
      <x:c r="O23" s="6">
        <x:f>IF(N23="","",IFERROR(VLOOKUP(N23,Master_Data!$A$5:$C$8,3,FALSE),0))</x:f>
        <x:v>0</x:v>
      </x:c>
      <x:c r="P23" s="7">
        <x:f>IF(M23="","",M23*O23)</x:f>
        <x:v>0</x:v>
      </x:c>
      <x:c r="Q23" s="7">
        <x:f>IF(M23="","",M23+P23)</x:f>
        <x:v>430.8</x:v>
      </x:c>
      <x:c r="R23" s="7">
        <x:f>IF(K23&lt;&gt;"Paid",0,IF(C23="Income",Q23,-Q23))</x:f>
        <x:v>430.8</x:v>
      </x:c>
      <x:c r="S23" s="14" t="str">
        <x:f>IF(A23="","",DATE(YEAR(A23),MONTH(A23),1))</x:f>
        <x:v>Error: #VALUE!</x:v>
      </x:c>
      <x:c r="T23" s="14" t="str">
        <x:f>IF(L23="","",DATE(YEAR(L23),MONTH(L23),1))</x:f>
        <x:v>Error: #VALUE!</x:v>
      </x:c>
    </x:row>
    <x:row r="24">
      <x:c r="A24" s="11" t="n">
        <x:v>45968</x:v>
      </x:c>
      <x:c r="B24" s="5" t="inlineStr">
        <x:is>
          <x:t xml:space="preserve">CF-000023</x:t>
        </x:is>
      </x:c>
      <x:c r="C24" s="12" t="inlineStr">
        <x:is>
          <x:t xml:space="preserve">Income</x:t>
        </x:is>
      </x:c>
      <x:c r="D24" s="12" t="inlineStr">
        <x:is>
          <x:t xml:space="preserve">Αγγελάκης Νίκος</x:t>
        </x:is>
      </x:c>
      <x:c r="E24" s="12" t="inlineStr">
        <x:is>
          <x:t xml:space="preserve">Αγγελάκης Νίκος</x:t>
        </x:is>
      </x:c>
      <x:c r="F24" s="12" t="inlineStr">
        <x:is>
          <x:t xml:space="preserve">Προμήθειες</x:t>
        </x:is>
      </x:c>
      <x:c r="G24" s="13" t="str">
        <x:f>IF(F24="","",IFERROR(VLOOKUP(F24,Master_Data!$E$24:$G$33,2,FALSE),"9999"))</x:f>
        <x:v>5000</x:v>
      </x:c>
      <x:c r="H24" s="12" t="n"/>
      <x:c r="I24" s="12" t="inlineStr">
        <x:is>
          <x:t xml:space="preserve">Τράπεζα</x:t>
        </x:is>
      </x:c>
      <x:c r="J24" s="12" t="n"/>
      <x:c r="K24" s="12" t="inlineStr">
        <x:is>
          <x:t xml:space="preserve">Paid</x:t>
        </x:is>
      </x:c>
      <x:c r="L24" s="11" t="n">
        <x:v>45968</x:v>
      </x:c>
      <x:c r="M24" s="9" t="n">
        <x:v>300</x:v>
      </x:c>
      <x:c r="N24" s="12" t="inlineStr">
        <x:is>
          <x:t xml:space="preserve">NO_VAT</x:t>
        </x:is>
      </x:c>
      <x:c r="O24" s="6">
        <x:f>IF(N24="","",IFERROR(VLOOKUP(N24,Master_Data!$A$5:$C$8,3,FALSE),0))</x:f>
        <x:v>0</x:v>
      </x:c>
      <x:c r="P24" s="7">
        <x:f>IF(M24="","",M24*O24)</x:f>
        <x:v>0</x:v>
      </x:c>
      <x:c r="Q24" s="7">
        <x:f>IF(M24="","",M24+P24)</x:f>
        <x:v>300</x:v>
      </x:c>
      <x:c r="R24" s="7">
        <x:f>IF(K24&lt;&gt;"Paid",0,IF(C24="Income",Q24,-Q24))</x:f>
        <x:v>300</x:v>
      </x:c>
      <x:c r="S24" s="14" t="str">
        <x:f>IF(A24="","",DATE(YEAR(A24),MONTH(A24),1))</x:f>
        <x:v>Error: #VALUE!</x:v>
      </x:c>
      <x:c r="T24" s="14" t="str">
        <x:f>IF(L24="","",DATE(YEAR(L24),MONTH(L24),1))</x:f>
        <x:v>Error: #VALUE!</x:v>
      </x:c>
    </x:row>
    <x:row r="25">
      <x:c r="A25" s="11" t="n">
        <x:v>45968</x:v>
      </x:c>
      <x:c r="B25" s="5" t="inlineStr">
        <x:is>
          <x:t xml:space="preserve">CF-000024</x:t>
        </x:is>
      </x:c>
      <x:c r="C25" s="12" t="inlineStr">
        <x:is>
          <x:t xml:space="preserve">Equity Distribution</x:t>
        </x:is>
      </x:c>
      <x:c r="D25" s="12" t="inlineStr">
        <x:is>
          <x:t xml:space="preserve">Μερισμα</x:t>
        </x:is>
      </x:c>
      <x:c r="E25" s="12" t="inlineStr">
        <x:is>
          <x:t xml:space="preserve">Μερισμα</x:t>
        </x:is>
      </x:c>
      <x:c r="F25" s="12" t="inlineStr">
        <x:is>
          <x:t xml:space="preserve">Μέρισμα</x:t>
        </x:is>
      </x:c>
      <x:c r="G25" s="13" t="str">
        <x:f>IF(F25="","",IFERROR(VLOOKUP(F25,Master_Data!$E$24:$G$33,2,FALSE),"9999"))</x:f>
        <x:v>8000</x:v>
      </x:c>
      <x:c r="H25" s="12" t="inlineStr">
        <x:is>
          <x:t xml:space="preserve">Αστρινάκης Γιάννης</x:t>
        </x:is>
      </x:c>
      <x:c r="I25" s="12" t="inlineStr">
        <x:is>
          <x:t xml:space="preserve">Cash</x:t>
        </x:is>
      </x:c>
      <x:c r="J25" s="12" t="n"/>
      <x:c r="K25" s="12" t="inlineStr">
        <x:is>
          <x:t xml:space="preserve">Paid</x:t>
        </x:is>
      </x:c>
      <x:c r="L25" s="11" t="n">
        <x:v>45968</x:v>
      </x:c>
      <x:c r="M25" s="9" t="n">
        <x:v>294.7</x:v>
      </x:c>
      <x:c r="N25" s="12" t="inlineStr">
        <x:is>
          <x:t xml:space="preserve">NO_VAT</x:t>
        </x:is>
      </x:c>
      <x:c r="O25" s="6">
        <x:f>IF(N25="","",IFERROR(VLOOKUP(N25,Master_Data!$A$5:$C$8,3,FALSE),0))</x:f>
        <x:v>0</x:v>
      </x:c>
      <x:c r="P25" s="7">
        <x:f>IF(M25="","",M25*O25)</x:f>
        <x:v>0</x:v>
      </x:c>
      <x:c r="Q25" s="7">
        <x:f>IF(M25="","",M25+P25)</x:f>
        <x:v>294.7</x:v>
      </x:c>
      <x:c r="R25" s="7">
        <x:f>IF(K25&lt;&gt;"Paid",0,IF(C25="Income",Q25,-Q25))</x:f>
        <x:v>-294.7</x:v>
      </x:c>
      <x:c r="S25" s="14" t="str">
        <x:f>IF(A25="","",DATE(YEAR(A25),MONTH(A25),1))</x:f>
        <x:v>Error: #VALUE!</x:v>
      </x:c>
      <x:c r="T25" s="14" t="str">
        <x:f>IF(L25="","",DATE(YEAR(L25),MONTH(L25),1))</x:f>
        <x:v>Error: #VALUE!</x:v>
      </x:c>
    </x:row>
    <x:row r="26">
      <x:c r="A26" s="11" t="n">
        <x:v>45968</x:v>
      </x:c>
      <x:c r="B26" s="5" t="inlineStr">
        <x:is>
          <x:t xml:space="preserve">CF-000025</x:t>
        </x:is>
      </x:c>
      <x:c r="C26" s="12" t="inlineStr">
        <x:is>
          <x:t xml:space="preserve">Equity Distribution</x:t>
        </x:is>
      </x:c>
      <x:c r="D26" s="12" t="inlineStr">
        <x:is>
          <x:t xml:space="preserve">Μερισμα</x:t>
        </x:is>
      </x:c>
      <x:c r="E26" s="12" t="inlineStr">
        <x:is>
          <x:t xml:space="preserve">Μερισμα</x:t>
        </x:is>
      </x:c>
      <x:c r="F26" s="12" t="inlineStr">
        <x:is>
          <x:t xml:space="preserve">Μέρισμα</x:t>
        </x:is>
      </x:c>
      <x:c r="G26" s="13" t="str">
        <x:f>IF(F26="","",IFERROR(VLOOKUP(F26,Master_Data!$E$24:$G$33,2,FALSE),"9999"))</x:f>
        <x:v>8000</x:v>
      </x:c>
      <x:c r="H26" s="12" t="inlineStr">
        <x:is>
          <x:t xml:space="preserve">Τζιάκης Γιάννης</x:t>
        </x:is>
      </x:c>
      <x:c r="I26" s="12" t="inlineStr">
        <x:is>
          <x:t xml:space="preserve">Cash</x:t>
        </x:is>
      </x:c>
      <x:c r="J26" s="12" t="n"/>
      <x:c r="K26" s="12" t="inlineStr">
        <x:is>
          <x:t xml:space="preserve">Paid</x:t>
        </x:is>
      </x:c>
      <x:c r="L26" s="11" t="n">
        <x:v>45968</x:v>
      </x:c>
      <x:c r="M26" s="9" t="n">
        <x:v>294.7</x:v>
      </x:c>
      <x:c r="N26" s="12" t="inlineStr">
        <x:is>
          <x:t xml:space="preserve">NO_VAT</x:t>
        </x:is>
      </x:c>
      <x:c r="O26" s="6">
        <x:f>IF(N26="","",IFERROR(VLOOKUP(N26,Master_Data!$A$5:$C$8,3,FALSE),0))</x:f>
        <x:v>0</x:v>
      </x:c>
      <x:c r="P26" s="7">
        <x:f>IF(M26="","",M26*O26)</x:f>
        <x:v>0</x:v>
      </x:c>
      <x:c r="Q26" s="7">
        <x:f>IF(M26="","",M26+P26)</x:f>
        <x:v>294.7</x:v>
      </x:c>
      <x:c r="R26" s="7">
        <x:f>IF(K26&lt;&gt;"Paid",0,IF(C26="Income",Q26,-Q26))</x:f>
        <x:v>-294.7</x:v>
      </x:c>
      <x:c r="S26" s="14" t="str">
        <x:f>IF(A26="","",DATE(YEAR(A26),MONTH(A26),1))</x:f>
        <x:v>Error: #VALUE!</x:v>
      </x:c>
      <x:c r="T26" s="14" t="str">
        <x:f>IF(L26="","",DATE(YEAR(L26),MONTH(L26),1))</x:f>
        <x:v>Error: #VALUE!</x:v>
      </x:c>
    </x:row>
    <x:row r="27">
      <x:c r="A27" s="11" t="n">
        <x:v>45968</x:v>
      </x:c>
      <x:c r="B27" s="5" t="inlineStr">
        <x:is>
          <x:t xml:space="preserve">CF-000026</x:t>
        </x:is>
      </x:c>
      <x:c r="C27" s="12" t="inlineStr">
        <x:is>
          <x:t xml:space="preserve">Equity Distribution</x:t>
        </x:is>
      </x:c>
      <x:c r="D27" s="12" t="inlineStr">
        <x:is>
          <x:t xml:space="preserve">Μερισμα</x:t>
        </x:is>
      </x:c>
      <x:c r="E27" s="12" t="inlineStr">
        <x:is>
          <x:t xml:space="preserve">Μερισμα</x:t>
        </x:is>
      </x:c>
      <x:c r="F27" s="12" t="inlineStr">
        <x:is>
          <x:t xml:space="preserve">Μέρισμα</x:t>
        </x:is>
      </x:c>
      <x:c r="G27" s="13" t="str">
        <x:f>IF(F27="","",IFERROR(VLOOKUP(F27,Master_Data!$E$24:$G$33,2,FALSE),"9999"))</x:f>
        <x:v>8000</x:v>
      </x:c>
      <x:c r="H27" s="12" t="inlineStr">
        <x:is>
          <x:t xml:space="preserve">Καπετάνιος Χρήστος</x:t>
        </x:is>
      </x:c>
      <x:c r="I27" s="12" t="inlineStr">
        <x:is>
          <x:t xml:space="preserve">Cash</x:t>
        </x:is>
      </x:c>
      <x:c r="J27" s="12" t="n"/>
      <x:c r="K27" s="12" t="inlineStr">
        <x:is>
          <x:t xml:space="preserve">Paid</x:t>
        </x:is>
      </x:c>
      <x:c r="L27" s="11" t="n">
        <x:v>45968</x:v>
      </x:c>
      <x:c r="M27" s="9" t="n">
        <x:v>294.7</x:v>
      </x:c>
      <x:c r="N27" s="12" t="inlineStr">
        <x:is>
          <x:t xml:space="preserve">NO_VAT</x:t>
        </x:is>
      </x:c>
      <x:c r="O27" s="6">
        <x:f>IF(N27="","",IFERROR(VLOOKUP(N27,Master_Data!$A$5:$C$8,3,FALSE),0))</x:f>
        <x:v>0</x:v>
      </x:c>
      <x:c r="P27" s="7">
        <x:f>IF(M27="","",M27*O27)</x:f>
        <x:v>0</x:v>
      </x:c>
      <x:c r="Q27" s="7">
        <x:f>IF(M27="","",M27+P27)</x:f>
        <x:v>294.7</x:v>
      </x:c>
      <x:c r="R27" s="7">
        <x:f>IF(K27&lt;&gt;"Paid",0,IF(C27="Income",Q27,-Q27))</x:f>
        <x:v>-294.7</x:v>
      </x:c>
      <x:c r="S27" s="14" t="str">
        <x:f>IF(A27="","",DATE(YEAR(A27),MONTH(A27),1))</x:f>
        <x:v>Error: #VALUE!</x:v>
      </x:c>
      <x:c r="T27" s="14" t="str">
        <x:f>IF(L27="","",DATE(YEAR(L27),MONTH(L27),1))</x:f>
        <x:v>Error: #VALUE!</x:v>
      </x:c>
    </x:row>
    <x:row r="28">
      <x:c r="A28" s="11" t="n">
        <x:v>45968</x:v>
      </x:c>
      <x:c r="B28" s="5" t="inlineStr">
        <x:is>
          <x:t xml:space="preserve">CF-000027</x:t>
        </x:is>
      </x:c>
      <x:c r="C28" s="12" t="inlineStr">
        <x:is>
          <x:t xml:space="preserve">Equity Distribution</x:t>
        </x:is>
      </x:c>
      <x:c r="D28" s="12" t="inlineStr">
        <x:is>
          <x:t xml:space="preserve">Μερισμα</x:t>
        </x:is>
      </x:c>
      <x:c r="E28" s="12" t="inlineStr">
        <x:is>
          <x:t xml:space="preserve">Μερισμα</x:t>
        </x:is>
      </x:c>
      <x:c r="F28" s="12" t="inlineStr">
        <x:is>
          <x:t xml:space="preserve">Μέρισμα</x:t>
        </x:is>
      </x:c>
      <x:c r="G28" s="13" t="str">
        <x:f>IF(F28="","",IFERROR(VLOOKUP(F28,Master_Data!$E$24:$G$33,2,FALSE),"9999"))</x:f>
        <x:v>8000</x:v>
      </x:c>
      <x:c r="H28" s="12" t="inlineStr">
        <x:is>
          <x:t xml:space="preserve">Μαραγκάκης Μανος</x:t>
        </x:is>
      </x:c>
      <x:c r="I28" s="12" t="inlineStr">
        <x:is>
          <x:t xml:space="preserve">Cash</x:t>
        </x:is>
      </x:c>
      <x:c r="J28" s="12" t="n"/>
      <x:c r="K28" s="12" t="inlineStr">
        <x:is>
          <x:t xml:space="preserve">Paid</x:t>
        </x:is>
      </x:c>
      <x:c r="L28" s="11" t="n">
        <x:v>45968</x:v>
      </x:c>
      <x:c r="M28" s="9" t="n">
        <x:v>294.7</x:v>
      </x:c>
      <x:c r="N28" s="12" t="inlineStr">
        <x:is>
          <x:t xml:space="preserve">NO_VAT</x:t>
        </x:is>
      </x:c>
      <x:c r="O28" s="6">
        <x:f>IF(N28="","",IFERROR(VLOOKUP(N28,Master_Data!$A$5:$C$8,3,FALSE),0))</x:f>
        <x:v>0</x:v>
      </x:c>
      <x:c r="P28" s="7">
        <x:f>IF(M28="","",M28*O28)</x:f>
        <x:v>0</x:v>
      </x:c>
      <x:c r="Q28" s="7">
        <x:f>IF(M28="","",M28+P28)</x:f>
        <x:v>294.7</x:v>
      </x:c>
      <x:c r="R28" s="7">
        <x:f>IF(K28&lt;&gt;"Paid",0,IF(C28="Income",Q28,-Q28))</x:f>
        <x:v>-294.7</x:v>
      </x:c>
      <x:c r="S28" s="14" t="str">
        <x:f>IF(A28="","",DATE(YEAR(A28),MONTH(A28),1))</x:f>
        <x:v>Error: #VALUE!</x:v>
      </x:c>
      <x:c r="T28" s="14" t="str">
        <x:f>IF(L28="","",DATE(YEAR(L28),MONTH(L28),1))</x:f>
        <x:v>Error: #VALUE!</x:v>
      </x:c>
    </x:row>
    <x:row r="29">
      <x:c r="A29" s="11" t="n">
        <x:v>45968</x:v>
      </x:c>
      <x:c r="B29" s="5" t="inlineStr">
        <x:is>
          <x:t xml:space="preserve">CF-000028</x:t>
        </x:is>
      </x:c>
      <x:c r="C29" s="12" t="inlineStr">
        <x:is>
          <x:t xml:space="preserve">Equity Distribution</x:t>
        </x:is>
      </x:c>
      <x:c r="D29" s="12" t="inlineStr">
        <x:is>
          <x:t xml:space="preserve">Μερισμα</x:t>
        </x:is>
      </x:c>
      <x:c r="E29" s="12" t="inlineStr">
        <x:is>
          <x:t xml:space="preserve">Μερισμα</x:t>
        </x:is>
      </x:c>
      <x:c r="F29" s="12" t="inlineStr">
        <x:is>
          <x:t xml:space="preserve">Μέρισμα</x:t>
        </x:is>
      </x:c>
      <x:c r="G29" s="13" t="str">
        <x:f>IF(F29="","",IFERROR(VLOOKUP(F29,Master_Data!$E$24:$G$33,2,FALSE),"9999"))</x:f>
        <x:v>8000</x:v>
      </x:c>
      <x:c r="H29" s="12" t="inlineStr">
        <x:is>
          <x:t xml:space="preserve">Αστρινάκης Γιάννης</x:t>
        </x:is>
      </x:c>
      <x:c r="I29" s="12" t="inlineStr">
        <x:is>
          <x:t xml:space="preserve">Cash</x:t>
        </x:is>
      </x:c>
      <x:c r="J29" s="12" t="n"/>
      <x:c r="K29" s="12" t="inlineStr">
        <x:is>
          <x:t xml:space="preserve">Paid</x:t>
        </x:is>
      </x:c>
      <x:c r="L29" s="11" t="n">
        <x:v>45968</x:v>
      </x:c>
      <x:c r="M29" s="9" t="n">
        <x:v>176.4</x:v>
      </x:c>
      <x:c r="N29" s="12" t="inlineStr">
        <x:is>
          <x:t xml:space="preserve">NO_VAT</x:t>
        </x:is>
      </x:c>
      <x:c r="O29" s="6">
        <x:f>IF(N29="","",IFERROR(VLOOKUP(N29,Master_Data!$A$5:$C$8,3,FALSE),0))</x:f>
        <x:v>0</x:v>
      </x:c>
      <x:c r="P29" s="7">
        <x:f>IF(M29="","",M29*O29)</x:f>
        <x:v>0</x:v>
      </x:c>
      <x:c r="Q29" s="7">
        <x:f>IF(M29="","",M29+P29)</x:f>
        <x:v>176.4</x:v>
      </x:c>
      <x:c r="R29" s="7">
        <x:f>IF(K29&lt;&gt;"Paid",0,IF(C29="Income",Q29,-Q29))</x:f>
        <x:v>-176.4</x:v>
      </x:c>
      <x:c r="S29" s="14" t="str">
        <x:f>IF(A29="","",DATE(YEAR(A29),MONTH(A29),1))</x:f>
        <x:v>Error: #VALUE!</x:v>
      </x:c>
      <x:c r="T29" s="14" t="str">
        <x:f>IF(L29="","",DATE(YEAR(L29),MONTH(L29),1))</x:f>
        <x:v>Error: #VALUE!</x:v>
      </x:c>
    </x:row>
    <x:row r="30">
      <x:c r="A30" s="11" t="n">
        <x:v>45968</x:v>
      </x:c>
      <x:c r="B30" s="5" t="inlineStr">
        <x:is>
          <x:t xml:space="preserve">CF-000029</x:t>
        </x:is>
      </x:c>
      <x:c r="C30" s="12" t="inlineStr">
        <x:is>
          <x:t xml:space="preserve">Equity Distribution</x:t>
        </x:is>
      </x:c>
      <x:c r="D30" s="12" t="inlineStr">
        <x:is>
          <x:t xml:space="preserve">Μερισμα</x:t>
        </x:is>
      </x:c>
      <x:c r="E30" s="12" t="inlineStr">
        <x:is>
          <x:t xml:space="preserve">Μερισμα</x:t>
        </x:is>
      </x:c>
      <x:c r="F30" s="12" t="inlineStr">
        <x:is>
          <x:t xml:space="preserve">Μέρισμα</x:t>
        </x:is>
      </x:c>
      <x:c r="G30" s="13" t="str">
        <x:f>IF(F30="","",IFERROR(VLOOKUP(F30,Master_Data!$E$24:$G$33,2,FALSE),"9999"))</x:f>
        <x:v>8000</x:v>
      </x:c>
      <x:c r="H30" s="12" t="inlineStr">
        <x:is>
          <x:t xml:space="preserve">Τζιάκης Γιάννης</x:t>
        </x:is>
      </x:c>
      <x:c r="I30" s="12" t="inlineStr">
        <x:is>
          <x:t xml:space="preserve">Cash</x:t>
        </x:is>
      </x:c>
      <x:c r="J30" s="12" t="n"/>
      <x:c r="K30" s="12" t="inlineStr">
        <x:is>
          <x:t xml:space="preserve">Paid</x:t>
        </x:is>
      </x:c>
      <x:c r="L30" s="11" t="n">
        <x:v>45968</x:v>
      </x:c>
      <x:c r="M30" s="9" t="n">
        <x:v>176.4</x:v>
      </x:c>
      <x:c r="N30" s="12" t="inlineStr">
        <x:is>
          <x:t xml:space="preserve">NO_VAT</x:t>
        </x:is>
      </x:c>
      <x:c r="O30" s="6">
        <x:f>IF(N30="","",IFERROR(VLOOKUP(N30,Master_Data!$A$5:$C$8,3,FALSE),0))</x:f>
        <x:v>0</x:v>
      </x:c>
      <x:c r="P30" s="7">
        <x:f>IF(M30="","",M30*O30)</x:f>
        <x:v>0</x:v>
      </x:c>
      <x:c r="Q30" s="7">
        <x:f>IF(M30="","",M30+P30)</x:f>
        <x:v>176.4</x:v>
      </x:c>
      <x:c r="R30" s="7">
        <x:f>IF(K30&lt;&gt;"Paid",0,IF(C30="Income",Q30,-Q30))</x:f>
        <x:v>-176.4</x:v>
      </x:c>
      <x:c r="S30" s="14" t="str">
        <x:f>IF(A30="","",DATE(YEAR(A30),MONTH(A30),1))</x:f>
        <x:v>Error: #VALUE!</x:v>
      </x:c>
      <x:c r="T30" s="14" t="str">
        <x:f>IF(L30="","",DATE(YEAR(L30),MONTH(L30),1))</x:f>
        <x:v>Error: #VALUE!</x:v>
      </x:c>
    </x:row>
    <x:row r="31">
      <x:c r="A31" s="11" t="n">
        <x:v>45968</x:v>
      </x:c>
      <x:c r="B31" s="5" t="inlineStr">
        <x:is>
          <x:t xml:space="preserve">CF-000030</x:t>
        </x:is>
      </x:c>
      <x:c r="C31" s="12" t="inlineStr">
        <x:is>
          <x:t xml:space="preserve">Equity Distribution</x:t>
        </x:is>
      </x:c>
      <x:c r="D31" s="12" t="inlineStr">
        <x:is>
          <x:t xml:space="preserve">Μερισμα</x:t>
        </x:is>
      </x:c>
      <x:c r="E31" s="12" t="inlineStr">
        <x:is>
          <x:t xml:space="preserve">Μερισμα</x:t>
        </x:is>
      </x:c>
      <x:c r="F31" s="12" t="inlineStr">
        <x:is>
          <x:t xml:space="preserve">Μέρισμα</x:t>
        </x:is>
      </x:c>
      <x:c r="G31" s="13" t="str">
        <x:f>IF(F31="","",IFERROR(VLOOKUP(F31,Master_Data!$E$24:$G$33,2,FALSE),"9999"))</x:f>
        <x:v>8000</x:v>
      </x:c>
      <x:c r="H31" s="12" t="inlineStr">
        <x:is>
          <x:t xml:space="preserve">Καπετάνιος Χρήστος</x:t>
        </x:is>
      </x:c>
      <x:c r="I31" s="12" t="inlineStr">
        <x:is>
          <x:t xml:space="preserve">Cash</x:t>
        </x:is>
      </x:c>
      <x:c r="J31" s="12" t="n"/>
      <x:c r="K31" s="12" t="inlineStr">
        <x:is>
          <x:t xml:space="preserve">Paid</x:t>
        </x:is>
      </x:c>
      <x:c r="L31" s="11" t="n">
        <x:v>45968</x:v>
      </x:c>
      <x:c r="M31" s="9" t="n">
        <x:v>176.4</x:v>
      </x:c>
      <x:c r="N31" s="12" t="inlineStr">
        <x:is>
          <x:t xml:space="preserve">NO_VAT</x:t>
        </x:is>
      </x:c>
      <x:c r="O31" s="6">
        <x:f>IF(N31="","",IFERROR(VLOOKUP(N31,Master_Data!$A$5:$C$8,3,FALSE),0))</x:f>
        <x:v>0</x:v>
      </x:c>
      <x:c r="P31" s="7">
        <x:f>IF(M31="","",M31*O31)</x:f>
        <x:v>0</x:v>
      </x:c>
      <x:c r="Q31" s="7">
        <x:f>IF(M31="","",M31+P31)</x:f>
        <x:v>176.4</x:v>
      </x:c>
      <x:c r="R31" s="7">
        <x:f>IF(K31&lt;&gt;"Paid",0,IF(C31="Income",Q31,-Q31))</x:f>
        <x:v>-176.4</x:v>
      </x:c>
      <x:c r="S31" s="14" t="str">
        <x:f>IF(A31="","",DATE(YEAR(A31),MONTH(A31),1))</x:f>
        <x:v>Error: #VALUE!</x:v>
      </x:c>
      <x:c r="T31" s="14" t="str">
        <x:f>IF(L31="","",DATE(YEAR(L31),MONTH(L31),1))</x:f>
        <x:v>Error: #VALUE!</x:v>
      </x:c>
    </x:row>
    <x:row r="32">
      <x:c r="A32" s="11" t="n">
        <x:v>45968</x:v>
      </x:c>
      <x:c r="B32" s="5" t="inlineStr">
        <x:is>
          <x:t xml:space="preserve">CF-000031</x:t>
        </x:is>
      </x:c>
      <x:c r="C32" s="12" t="inlineStr">
        <x:is>
          <x:t xml:space="preserve">Equity Distribution</x:t>
        </x:is>
      </x:c>
      <x:c r="D32" s="12" t="inlineStr">
        <x:is>
          <x:t xml:space="preserve">Μερισμα</x:t>
        </x:is>
      </x:c>
      <x:c r="E32" s="12" t="inlineStr">
        <x:is>
          <x:t xml:space="preserve">Μερισμα</x:t>
        </x:is>
      </x:c>
      <x:c r="F32" s="12" t="inlineStr">
        <x:is>
          <x:t xml:space="preserve">Μέρισμα</x:t>
        </x:is>
      </x:c>
      <x:c r="G32" s="13" t="str">
        <x:f>IF(F32="","",IFERROR(VLOOKUP(F32,Master_Data!$E$24:$G$33,2,FALSE),"9999"))</x:f>
        <x:v>8000</x:v>
      </x:c>
      <x:c r="H32" s="12" t="inlineStr">
        <x:is>
          <x:t xml:space="preserve">Μαραγκάκης Μανος</x:t>
        </x:is>
      </x:c>
      <x:c r="I32" s="12" t="inlineStr">
        <x:is>
          <x:t xml:space="preserve">Cash</x:t>
        </x:is>
      </x:c>
      <x:c r="J32" s="12" t="n"/>
      <x:c r="K32" s="12" t="inlineStr">
        <x:is>
          <x:t xml:space="preserve">Paid</x:t>
        </x:is>
      </x:c>
      <x:c r="L32" s="11" t="n">
        <x:v>45968</x:v>
      </x:c>
      <x:c r="M32" s="9" t="n">
        <x:v>176.4</x:v>
      </x:c>
      <x:c r="N32" s="12" t="inlineStr">
        <x:is>
          <x:t xml:space="preserve">NO_VAT</x:t>
        </x:is>
      </x:c>
      <x:c r="O32" s="6">
        <x:f>IF(N32="","",IFERROR(VLOOKUP(N32,Master_Data!$A$5:$C$8,3,FALSE),0))</x:f>
        <x:v>0</x:v>
      </x:c>
      <x:c r="P32" s="7">
        <x:f>IF(M32="","",M32*O32)</x:f>
        <x:v>0</x:v>
      </x:c>
      <x:c r="Q32" s="7">
        <x:f>IF(M32="","",M32+P32)</x:f>
        <x:v>176.4</x:v>
      </x:c>
      <x:c r="R32" s="7">
        <x:f>IF(K32&lt;&gt;"Paid",0,IF(C32="Income",Q32,-Q32))</x:f>
        <x:v>-176.4</x:v>
      </x:c>
      <x:c r="S32" s="14" t="str">
        <x:f>IF(A32="","",DATE(YEAR(A32),MONTH(A32),1))</x:f>
        <x:v>Error: #VALUE!</x:v>
      </x:c>
      <x:c r="T32" s="14" t="str">
        <x:f>IF(L32="","",DATE(YEAR(L32),MONTH(L32),1))</x:f>
        <x:v>Error: #VALUE!</x:v>
      </x:c>
    </x:row>
    <x:row r="33">
      <x:c r="A33" s="11" t="n">
        <x:v>45968</x:v>
      </x:c>
      <x:c r="B33" s="5" t="inlineStr">
        <x:is>
          <x:t xml:space="preserve">CF-000032</x:t>
        </x:is>
      </x:c>
      <x:c r="C33" s="12" t="inlineStr">
        <x:is>
          <x:t xml:space="preserve">Income</x:t>
        </x:is>
      </x:c>
      <x:c r="D33" s="12" t="inlineStr">
        <x:is>
          <x:t xml:space="preserve">Μπλίκας</x:t>
        </x:is>
      </x:c>
      <x:c r="E33" s="12" t="inlineStr">
        <x:is>
          <x:t xml:space="preserve">Μπλίκας</x:t>
        </x:is>
      </x:c>
      <x:c r="F33" s="12" t="inlineStr">
        <x:is>
          <x:t xml:space="preserve">Προμήθειες</x:t>
        </x:is>
      </x:c>
      <x:c r="G33" s="13" t="str">
        <x:f>IF(F33="","",IFERROR(VLOOKUP(F33,Master_Data!$E$24:$G$33,2,FALSE),"9999"))</x:f>
        <x:v>5000</x:v>
      </x:c>
      <x:c r="H33" s="12" t="n"/>
      <x:c r="I33" s="12" t="inlineStr">
        <x:is>
          <x:t xml:space="preserve">Τράπεζα</x:t>
        </x:is>
      </x:c>
      <x:c r="J33" s="12" t="n"/>
      <x:c r="K33" s="12" t="inlineStr">
        <x:is>
          <x:t xml:space="preserve">Paid</x:t>
        </x:is>
      </x:c>
      <x:c r="L33" s="11" t="n">
        <x:v>45968</x:v>
      </x:c>
      <x:c r="M33" s="9" t="n">
        <x:v>705.6</x:v>
      </x:c>
      <x:c r="N33" s="12" t="inlineStr">
        <x:is>
          <x:t xml:space="preserve">NO_VAT</x:t>
        </x:is>
      </x:c>
      <x:c r="O33" s="6">
        <x:f>IF(N33="","",IFERROR(VLOOKUP(N33,Master_Data!$A$5:$C$8,3,FALSE),0))</x:f>
        <x:v>0</x:v>
      </x:c>
      <x:c r="P33" s="7">
        <x:f>IF(M33="","",M33*O33)</x:f>
        <x:v>0</x:v>
      </x:c>
      <x:c r="Q33" s="7">
        <x:f>IF(M33="","",M33+P33)</x:f>
        <x:v>705.6</x:v>
      </x:c>
      <x:c r="R33" s="7">
        <x:f>IF(K33&lt;&gt;"Paid",0,IF(C33="Income",Q33,-Q33))</x:f>
        <x:v>705.6</x:v>
      </x:c>
      <x:c r="S33" s="14" t="str">
        <x:f>IF(A33="","",DATE(YEAR(A33),MONTH(A33),1))</x:f>
        <x:v>Error: #VALUE!</x:v>
      </x:c>
      <x:c r="T33" s="14" t="str">
        <x:f>IF(L33="","",DATE(YEAR(L33),MONTH(L33),1))</x:f>
        <x:v>Error: #VALUE!</x:v>
      </x:c>
    </x:row>
    <x:row r="34">
      <x:c r="A34" s="11" t="n">
        <x:v>45968</x:v>
      </x:c>
      <x:c r="B34" s="5" t="inlineStr">
        <x:is>
          <x:t xml:space="preserve">CF-000033</x:t>
        </x:is>
      </x:c>
      <x:c r="C34" s="12" t="inlineStr">
        <x:is>
          <x:t xml:space="preserve">Equity Distribution</x:t>
        </x:is>
      </x:c>
      <x:c r="D34" s="12" t="inlineStr">
        <x:is>
          <x:t xml:space="preserve">Μερισμα</x:t>
        </x:is>
      </x:c>
      <x:c r="E34" s="12" t="inlineStr">
        <x:is>
          <x:t xml:space="preserve">Μερισμα</x:t>
        </x:is>
      </x:c>
      <x:c r="F34" s="12" t="inlineStr">
        <x:is>
          <x:t xml:space="preserve">Μέρισμα</x:t>
        </x:is>
      </x:c>
      <x:c r="G34" s="13" t="str">
        <x:f>IF(F34="","",IFERROR(VLOOKUP(F34,Master_Data!$E$24:$G$33,2,FALSE),"9999"))</x:f>
        <x:v>8000</x:v>
      </x:c>
      <x:c r="H34" s="12" t="inlineStr">
        <x:is>
          <x:t xml:space="preserve">Αστρινάκης Γιάννης</x:t>
        </x:is>
      </x:c>
      <x:c r="I34" s="12" t="inlineStr">
        <x:is>
          <x:t xml:space="preserve">Cash</x:t>
        </x:is>
      </x:c>
      <x:c r="J34" s="12" t="n"/>
      <x:c r="K34" s="12" t="inlineStr">
        <x:is>
          <x:t xml:space="preserve">Paid</x:t>
        </x:is>
      </x:c>
      <x:c r="L34" s="11" t="n">
        <x:v>45968</x:v>
      </x:c>
      <x:c r="M34" s="9" t="n">
        <x:v>83.59999999999999</x:v>
      </x:c>
      <x:c r="N34" s="12" t="inlineStr">
        <x:is>
          <x:t xml:space="preserve">NO_VAT</x:t>
        </x:is>
      </x:c>
      <x:c r="O34" s="6">
        <x:f>IF(N34="","",IFERROR(VLOOKUP(N34,Master_Data!$A$5:$C$8,3,FALSE),0))</x:f>
        <x:v>0</x:v>
      </x:c>
      <x:c r="P34" s="7">
        <x:f>IF(M34="","",M34*O34)</x:f>
        <x:v>0</x:v>
      </x:c>
      <x:c r="Q34" s="7">
        <x:f>IF(M34="","",M34+P34)</x:f>
        <x:v>83.6</x:v>
      </x:c>
      <x:c r="R34" s="7">
        <x:f>IF(K34&lt;&gt;"Paid",0,IF(C34="Income",Q34,-Q34))</x:f>
        <x:v>-83.6</x:v>
      </x:c>
      <x:c r="S34" s="14" t="str">
        <x:f>IF(A34="","",DATE(YEAR(A34),MONTH(A34),1))</x:f>
        <x:v>Error: #VALUE!</x:v>
      </x:c>
      <x:c r="T34" s="14" t="str">
        <x:f>IF(L34="","",DATE(YEAR(L34),MONTH(L34),1))</x:f>
        <x:v>Error: #VALUE!</x:v>
      </x:c>
    </x:row>
    <x:row r="35">
      <x:c r="A35" s="11" t="n">
        <x:v>45968</x:v>
      </x:c>
      <x:c r="B35" s="5" t="inlineStr">
        <x:is>
          <x:t xml:space="preserve">CF-000034</x:t>
        </x:is>
      </x:c>
      <x:c r="C35" s="12" t="inlineStr">
        <x:is>
          <x:t xml:space="preserve">Equity Distribution</x:t>
        </x:is>
      </x:c>
      <x:c r="D35" s="12" t="inlineStr">
        <x:is>
          <x:t xml:space="preserve">Μερισμα</x:t>
        </x:is>
      </x:c>
      <x:c r="E35" s="12" t="inlineStr">
        <x:is>
          <x:t xml:space="preserve">Μερισμα</x:t>
        </x:is>
      </x:c>
      <x:c r="F35" s="12" t="inlineStr">
        <x:is>
          <x:t xml:space="preserve">Μέρισμα</x:t>
        </x:is>
      </x:c>
      <x:c r="G35" s="13" t="str">
        <x:f>IF(F35="","",IFERROR(VLOOKUP(F35,Master_Data!$E$24:$G$33,2,FALSE),"9999"))</x:f>
        <x:v>8000</x:v>
      </x:c>
      <x:c r="H35" s="12" t="inlineStr">
        <x:is>
          <x:t xml:space="preserve">Τζιάκης Γιάννης</x:t>
        </x:is>
      </x:c>
      <x:c r="I35" s="12" t="inlineStr">
        <x:is>
          <x:t xml:space="preserve">Cash</x:t>
        </x:is>
      </x:c>
      <x:c r="J35" s="12" t="n"/>
      <x:c r="K35" s="12" t="inlineStr">
        <x:is>
          <x:t xml:space="preserve">Paid</x:t>
        </x:is>
      </x:c>
      <x:c r="L35" s="11" t="n">
        <x:v>45968</x:v>
      </x:c>
      <x:c r="M35" s="9" t="n">
        <x:v>83.59999999999999</x:v>
      </x:c>
      <x:c r="N35" s="12" t="inlineStr">
        <x:is>
          <x:t xml:space="preserve">NO_VAT</x:t>
        </x:is>
      </x:c>
      <x:c r="O35" s="6">
        <x:f>IF(N35="","",IFERROR(VLOOKUP(N35,Master_Data!$A$5:$C$8,3,FALSE),0))</x:f>
        <x:v>0</x:v>
      </x:c>
      <x:c r="P35" s="7">
        <x:f>IF(M35="","",M35*O35)</x:f>
        <x:v>0</x:v>
      </x:c>
      <x:c r="Q35" s="7">
        <x:f>IF(M35="","",M35+P35)</x:f>
        <x:v>83.6</x:v>
      </x:c>
      <x:c r="R35" s="7">
        <x:f>IF(K35&lt;&gt;"Paid",0,IF(C35="Income",Q35,-Q35))</x:f>
        <x:v>-83.6</x:v>
      </x:c>
      <x:c r="S35" s="14" t="str">
        <x:f>IF(A35="","",DATE(YEAR(A35),MONTH(A35),1))</x:f>
        <x:v>Error: #VALUE!</x:v>
      </x:c>
      <x:c r="T35" s="14" t="str">
        <x:f>IF(L35="","",DATE(YEAR(L35),MONTH(L35),1))</x:f>
        <x:v>Error: #VALUE!</x:v>
      </x:c>
    </x:row>
    <x:row r="36">
      <x:c r="A36" s="11" t="n">
        <x:v>45968</x:v>
      </x:c>
      <x:c r="B36" s="5" t="inlineStr">
        <x:is>
          <x:t xml:space="preserve">CF-000035</x:t>
        </x:is>
      </x:c>
      <x:c r="C36" s="12" t="inlineStr">
        <x:is>
          <x:t xml:space="preserve">Equity Distribution</x:t>
        </x:is>
      </x:c>
      <x:c r="D36" s="12" t="inlineStr">
        <x:is>
          <x:t xml:space="preserve">Μερισμα</x:t>
        </x:is>
      </x:c>
      <x:c r="E36" s="12" t="inlineStr">
        <x:is>
          <x:t xml:space="preserve">Μερισμα</x:t>
        </x:is>
      </x:c>
      <x:c r="F36" s="12" t="inlineStr">
        <x:is>
          <x:t xml:space="preserve">Μέρισμα</x:t>
        </x:is>
      </x:c>
      <x:c r="G36" s="13" t="str">
        <x:f>IF(F36="","",IFERROR(VLOOKUP(F36,Master_Data!$E$24:$G$33,2,FALSE),"9999"))</x:f>
        <x:v>8000</x:v>
      </x:c>
      <x:c r="H36" s="12" t="inlineStr">
        <x:is>
          <x:t xml:space="preserve">Καπετάνιος Χρήστος</x:t>
        </x:is>
      </x:c>
      <x:c r="I36" s="12" t="inlineStr">
        <x:is>
          <x:t xml:space="preserve">Cash</x:t>
        </x:is>
      </x:c>
      <x:c r="J36" s="12" t="n"/>
      <x:c r="K36" s="12" t="inlineStr">
        <x:is>
          <x:t xml:space="preserve">Paid</x:t>
        </x:is>
      </x:c>
      <x:c r="L36" s="11" t="n">
        <x:v>45968</x:v>
      </x:c>
      <x:c r="M36" s="9" t="n">
        <x:v>83.59999999999999</x:v>
      </x:c>
      <x:c r="N36" s="12" t="inlineStr">
        <x:is>
          <x:t xml:space="preserve">NO_VAT</x:t>
        </x:is>
      </x:c>
      <x:c r="O36" s="6">
        <x:f>IF(N36="","",IFERROR(VLOOKUP(N36,Master_Data!$A$5:$C$8,3,FALSE),0))</x:f>
        <x:v>0</x:v>
      </x:c>
      <x:c r="P36" s="7">
        <x:f>IF(M36="","",M36*O36)</x:f>
        <x:v>0</x:v>
      </x:c>
      <x:c r="Q36" s="7">
        <x:f>IF(M36="","",M36+P36)</x:f>
        <x:v>83.6</x:v>
      </x:c>
      <x:c r="R36" s="7">
        <x:f>IF(K36&lt;&gt;"Paid",0,IF(C36="Income",Q36,-Q36))</x:f>
        <x:v>-83.6</x:v>
      </x:c>
      <x:c r="S36" s="14" t="str">
        <x:f>IF(A36="","",DATE(YEAR(A36),MONTH(A36),1))</x:f>
        <x:v>Error: #VALUE!</x:v>
      </x:c>
      <x:c r="T36" s="14" t="str">
        <x:f>IF(L36="","",DATE(YEAR(L36),MONTH(L36),1))</x:f>
        <x:v>Error: #VALUE!</x:v>
      </x:c>
    </x:row>
    <x:row r="37">
      <x:c r="A37" s="11" t="n">
        <x:v>45974</x:v>
      </x:c>
      <x:c r="B37" s="5" t="inlineStr">
        <x:is>
          <x:t xml:space="preserve">CF-000036</x:t>
        </x:is>
      </x:c>
      <x:c r="C37" s="12" t="inlineStr">
        <x:is>
          <x:t xml:space="preserve">Expense</x:t>
        </x:is>
      </x:c>
      <x:c r="D37" s="12" t="inlineStr">
        <x:is>
          <x:t xml:space="preserve">bixrupt</x:t>
        </x:is>
      </x:c>
      <x:c r="E37" s="12" t="inlineStr">
        <x:is>
          <x:t xml:space="preserve">bixrupt</x:t>
        </x:is>
      </x:c>
      <x:c r="F37" s="12" t="n"/>
      <x:c r="G37" s="13">
        <x:f>IF(F37="","",IFERROR(VLOOKUP(F37,Master_Data!$E$24:$G$33,2,FALSE),"9999"))</x:f>
      </x:c>
      <x:c r="H37" s="12" t="inlineStr">
        <x:is>
          <x:t xml:space="preserve">Αστρινάκης Γιάννης</x:t>
        </x:is>
      </x:c>
      <x:c r="I37" s="12" t="inlineStr">
        <x:is>
          <x:t xml:space="preserve">Cash</x:t>
        </x:is>
      </x:c>
      <x:c r="J37" s="12" t="n"/>
      <x:c r="K37" s="12" t="inlineStr">
        <x:is>
          <x:t xml:space="preserve">Paid</x:t>
        </x:is>
      </x:c>
      <x:c r="L37" s="11" t="n">
        <x:v>45974</x:v>
      </x:c>
      <x:c r="M37" s="9" t="n">
        <x:v>60</x:v>
      </x:c>
      <x:c r="N37" s="12" t="inlineStr">
        <x:is>
          <x:t xml:space="preserve">NO_VAT</x:t>
        </x:is>
      </x:c>
      <x:c r="O37" s="6">
        <x:f>IF(N37="","",IFERROR(VLOOKUP(N37,Master_Data!$A$5:$C$8,3,FALSE),0))</x:f>
        <x:v>0</x:v>
      </x:c>
      <x:c r="P37" s="7">
        <x:f>IF(M37="","",M37*O37)</x:f>
        <x:v>0</x:v>
      </x:c>
      <x:c r="Q37" s="7">
        <x:f>IF(M37="","",M37+P37)</x:f>
        <x:v>60</x:v>
      </x:c>
      <x:c r="R37" s="7">
        <x:f>IF(K37&lt;&gt;"Paid",0,IF(C37="Income",Q37,-Q37))</x:f>
        <x:v>-60</x:v>
      </x:c>
      <x:c r="S37" s="14" t="str">
        <x:f>IF(A37="","",DATE(YEAR(A37),MONTH(A37),1))</x:f>
        <x:v>Error: #VALUE!</x:v>
      </x:c>
      <x:c r="T37" s="14" t="str">
        <x:f>IF(L37="","",DATE(YEAR(L37),MONTH(L37),1))</x:f>
        <x:v>Error: #VALUE!</x:v>
      </x:c>
    </x:row>
    <x:row r="38">
      <x:c r="A38" s="11" t="n">
        <x:v>45974</x:v>
      </x:c>
      <x:c r="B38" s="5" t="inlineStr">
        <x:is>
          <x:t xml:space="preserve">CF-000037</x:t>
        </x:is>
      </x:c>
      <x:c r="C38" s="12" t="inlineStr">
        <x:is>
          <x:t xml:space="preserve">Expense</x:t>
        </x:is>
      </x:c>
      <x:c r="D38" s="12" t="inlineStr">
        <x:is>
          <x:t xml:space="preserve">bixrupt</x:t>
        </x:is>
      </x:c>
      <x:c r="E38" s="12" t="inlineStr">
        <x:is>
          <x:t xml:space="preserve">bixrupt</x:t>
        </x:is>
      </x:c>
      <x:c r="F38" s="12" t="n"/>
      <x:c r="G38" s="13">
        <x:f>IF(F38="","",IFERROR(VLOOKUP(F38,Master_Data!$E$24:$G$33,2,FALSE),"9999"))</x:f>
      </x:c>
      <x:c r="H38" s="12" t="inlineStr">
        <x:is>
          <x:t xml:space="preserve">Καπετάνιος Χρήστος</x:t>
        </x:is>
      </x:c>
      <x:c r="I38" s="12" t="inlineStr">
        <x:is>
          <x:t xml:space="preserve">Cash</x:t>
        </x:is>
      </x:c>
      <x:c r="J38" s="12" t="n"/>
      <x:c r="K38" s="12" t="inlineStr">
        <x:is>
          <x:t xml:space="preserve">Paid</x:t>
        </x:is>
      </x:c>
      <x:c r="L38" s="11" t="n">
        <x:v>45974</x:v>
      </x:c>
      <x:c r="M38" s="9" t="n">
        <x:v>60</x:v>
      </x:c>
      <x:c r="N38" s="12" t="inlineStr">
        <x:is>
          <x:t xml:space="preserve">NO_VAT</x:t>
        </x:is>
      </x:c>
      <x:c r="O38" s="6">
        <x:f>IF(N38="","",IFERROR(VLOOKUP(N38,Master_Data!$A$5:$C$8,3,FALSE),0))</x:f>
        <x:v>0</x:v>
      </x:c>
      <x:c r="P38" s="7">
        <x:f>IF(M38="","",M38*O38)</x:f>
        <x:v>0</x:v>
      </x:c>
      <x:c r="Q38" s="7">
        <x:f>IF(M38="","",M38+P38)</x:f>
        <x:v>60</x:v>
      </x:c>
      <x:c r="R38" s="7">
        <x:f>IF(K38&lt;&gt;"Paid",0,IF(C38="Income",Q38,-Q38))</x:f>
        <x:v>-60</x:v>
      </x:c>
      <x:c r="S38" s="14" t="str">
        <x:f>IF(A38="","",DATE(YEAR(A38),MONTH(A38),1))</x:f>
        <x:v>Error: #VALUE!</x:v>
      </x:c>
      <x:c r="T38" s="14" t="str">
        <x:f>IF(L38="","",DATE(YEAR(L38),MONTH(L38),1))</x:f>
        <x:v>Error: #VALUE!</x:v>
      </x:c>
    </x:row>
    <x:row r="39">
      <x:c r="A39" s="11" t="n">
        <x:v>45974</x:v>
      </x:c>
      <x:c r="B39" s="5" t="inlineStr">
        <x:is>
          <x:t xml:space="preserve">CF-000038</x:t>
        </x:is>
      </x:c>
      <x:c r="C39" s="12" t="inlineStr">
        <x:is>
          <x:t xml:space="preserve">Expense</x:t>
        </x:is>
      </x:c>
      <x:c r="D39" s="12" t="inlineStr">
        <x:is>
          <x:t xml:space="preserve">bixrupt</x:t>
        </x:is>
      </x:c>
      <x:c r="E39" s="12" t="inlineStr">
        <x:is>
          <x:t xml:space="preserve">bixrupt</x:t>
        </x:is>
      </x:c>
      <x:c r="F39" s="12" t="n"/>
      <x:c r="G39" s="13">
        <x:f>IF(F39="","",IFERROR(VLOOKUP(F39,Master_Data!$E$24:$G$33,2,FALSE),"9999"))</x:f>
      </x:c>
      <x:c r="H39" s="12" t="inlineStr">
        <x:is>
          <x:t xml:space="preserve">Τζιάκης Γιάννης</x:t>
        </x:is>
      </x:c>
      <x:c r="I39" s="12" t="inlineStr">
        <x:is>
          <x:t xml:space="preserve">Cash</x:t>
        </x:is>
      </x:c>
      <x:c r="J39" s="12" t="n"/>
      <x:c r="K39" s="12" t="inlineStr">
        <x:is>
          <x:t xml:space="preserve">Paid</x:t>
        </x:is>
      </x:c>
      <x:c r="L39" s="11" t="n">
        <x:v>45974</x:v>
      </x:c>
      <x:c r="M39" s="9" t="n">
        <x:v>60</x:v>
      </x:c>
      <x:c r="N39" s="12" t="inlineStr">
        <x:is>
          <x:t xml:space="preserve">NO_VAT</x:t>
        </x:is>
      </x:c>
      <x:c r="O39" s="6">
        <x:f>IF(N39="","",IFERROR(VLOOKUP(N39,Master_Data!$A$5:$C$8,3,FALSE),0))</x:f>
        <x:v>0</x:v>
      </x:c>
      <x:c r="P39" s="7">
        <x:f>IF(M39="","",M39*O39)</x:f>
        <x:v>0</x:v>
      </x:c>
      <x:c r="Q39" s="7">
        <x:f>IF(M39="","",M39+P39)</x:f>
        <x:v>60</x:v>
      </x:c>
      <x:c r="R39" s="7">
        <x:f>IF(K39&lt;&gt;"Paid",0,IF(C39="Income",Q39,-Q39))</x:f>
        <x:v>-60</x:v>
      </x:c>
      <x:c r="S39" s="14" t="str">
        <x:f>IF(A39="","",DATE(YEAR(A39),MONTH(A39),1))</x:f>
        <x:v>Error: #VALUE!</x:v>
      </x:c>
      <x:c r="T39" s="14" t="str">
        <x:f>IF(L39="","",DATE(YEAR(L39),MONTH(L39),1))</x:f>
        <x:v>Error: #VALUE!</x:v>
      </x:c>
    </x:row>
    <x:row r="40">
      <x:c r="A40" s="11" t="n">
        <x:v>46004</x:v>
      </x:c>
      <x:c r="B40" s="5" t="inlineStr">
        <x:is>
          <x:t xml:space="preserve">CF-000039</x:t>
        </x:is>
      </x:c>
      <x:c r="C40" s="12" t="inlineStr">
        <x:is>
          <x:t xml:space="preserve">Expense</x:t>
        </x:is>
      </x:c>
      <x:c r="D40" s="12" t="inlineStr">
        <x:is>
          <x:t xml:space="preserve">ΚΥΒΟΣ</x:t>
        </x:is>
      </x:c>
      <x:c r="E40" s="12" t="inlineStr">
        <x:is>
          <x:t xml:space="preserve">ΚΥΒΟΣ</x:t>
        </x:is>
      </x:c>
      <x:c r="F40" s="12" t="inlineStr">
        <x:is>
          <x:t xml:space="preserve">Έξοδα</x:t>
        </x:is>
      </x:c>
      <x:c r="G40" s="13" t="str">
        <x:f>IF(F40="","",IFERROR(VLOOKUP(F40,Master_Data!$E$24:$G$33,2,FALSE),"9999"))</x:f>
        <x:v>6000</x:v>
      </x:c>
      <x:c r="H40" s="12" t="inlineStr">
        <x:is>
          <x:t xml:space="preserve">Αστρινάκης Γιάννης</x:t>
        </x:is>
      </x:c>
      <x:c r="I40" s="12" t="inlineStr">
        <x:is>
          <x:t xml:space="preserve">Cash</x:t>
        </x:is>
      </x:c>
      <x:c r="J40" s="12" t="n"/>
      <x:c r="K40" s="12" t="inlineStr">
        <x:is>
          <x:t xml:space="preserve">Paid</x:t>
        </x:is>
      </x:c>
      <x:c r="L40" s="11" t="n">
        <x:v>46004</x:v>
      </x:c>
      <x:c r="M40" s="9" t="n">
        <x:v>38</x:v>
      </x:c>
      <x:c r="N40" s="12" t="inlineStr">
        <x:is>
          <x:t xml:space="preserve">NO_VAT</x:t>
        </x:is>
      </x:c>
      <x:c r="O40" s="6">
        <x:f>IF(N40="","",IFERROR(VLOOKUP(N40,Master_Data!$A$5:$C$8,3,FALSE),0))</x:f>
        <x:v>0</x:v>
      </x:c>
      <x:c r="P40" s="7">
        <x:f>IF(M40="","",M40*O40)</x:f>
        <x:v>0</x:v>
      </x:c>
      <x:c r="Q40" s="7">
        <x:f>IF(M40="","",M40+P40)</x:f>
        <x:v>38</x:v>
      </x:c>
      <x:c r="R40" s="7">
        <x:f>IF(K40&lt;&gt;"Paid",0,IF(C40="Income",Q40,-Q40))</x:f>
        <x:v>-38</x:v>
      </x:c>
      <x:c r="S40" s="14" t="str">
        <x:f>IF(A40="","",DATE(YEAR(A40),MONTH(A40),1))</x:f>
        <x:v>Error: #VALUE!</x:v>
      </x:c>
      <x:c r="T40" s="14" t="str">
        <x:f>IF(L40="","",DATE(YEAR(L40),MONTH(L40),1))</x:f>
        <x:v>Error: #VALUE!</x:v>
      </x:c>
    </x:row>
    <x:row r="41">
      <x:c r="A41" s="11" t="n">
        <x:v>46021</x:v>
      </x:c>
      <x:c r="B41" s="5" t="inlineStr">
        <x:is>
          <x:t xml:space="preserve">CF-000040</x:t>
        </x:is>
      </x:c>
      <x:c r="C41" s="12" t="inlineStr">
        <x:is>
          <x:t xml:space="preserve">Expense</x:t>
        </x:is>
      </x:c>
      <x:c r="D41" s="12" t="inlineStr">
        <x:is>
          <x:t xml:space="preserve">Tzoker</x:t>
        </x:is>
      </x:c>
      <x:c r="E41" s="12" t="inlineStr">
        <x:is>
          <x:t xml:space="preserve">Tzoker</x:t>
        </x:is>
      </x:c>
      <x:c r="F41" s="12" t="inlineStr">
        <x:is>
          <x:t xml:space="preserve">Έξοδα</x:t>
        </x:is>
      </x:c>
      <x:c r="G41" s="13" t="str">
        <x:f>IF(F41="","",IFERROR(VLOOKUP(F41,Master_Data!$E$24:$G$33,2,FALSE),"9999"))</x:f>
        <x:v>6000</x:v>
      </x:c>
      <x:c r="H41" s="12" t="inlineStr">
        <x:is>
          <x:t xml:space="preserve">Αστρινάκης Γιάννης</x:t>
        </x:is>
      </x:c>
      <x:c r="I41" s="12" t="inlineStr">
        <x:is>
          <x:t xml:space="preserve">Cash</x:t>
        </x:is>
      </x:c>
      <x:c r="J41" s="12" t="n"/>
      <x:c r="K41" s="12" t="inlineStr">
        <x:is>
          <x:t xml:space="preserve">Paid</x:t>
        </x:is>
      </x:c>
      <x:c r="L41" s="11" t="n">
        <x:v>46021</x:v>
      </x:c>
      <x:c r="M41" s="9" t="n">
        <x:v>20</x:v>
      </x:c>
      <x:c r="N41" s="12" t="inlineStr">
        <x:is>
          <x:t xml:space="preserve">NO_VAT</x:t>
        </x:is>
      </x:c>
      <x:c r="O41" s="6">
        <x:f>IF(N41="","",IFERROR(VLOOKUP(N41,Master_Data!$A$5:$C$8,3,FALSE),0))</x:f>
        <x:v>0</x:v>
      </x:c>
      <x:c r="P41" s="7">
        <x:f>IF(M41="","",M41*O41)</x:f>
        <x:v>0</x:v>
      </x:c>
      <x:c r="Q41" s="7">
        <x:f>IF(M41="","",M41+P41)</x:f>
        <x:v>20</x:v>
      </x:c>
      <x:c r="R41" s="7">
        <x:f>IF(K41&lt;&gt;"Paid",0,IF(C41="Income",Q41,-Q41))</x:f>
        <x:v>-20</x:v>
      </x:c>
      <x:c r="S41" s="14" t="str">
        <x:f>IF(A41="","",DATE(YEAR(A41),MONTH(A41),1))</x:f>
        <x:v>Error: #VALUE!</x:v>
      </x:c>
      <x:c r="T41" s="14" t="str">
        <x:f>IF(L41="","",DATE(YEAR(L41),MONTH(L41),1))</x:f>
        <x:v>Error: #VALUE!</x:v>
      </x:c>
    </x:row>
    <x:row r="42">
      <x:c r="A42" s="11" t="n">
        <x:v>46023</x:v>
      </x:c>
      <x:c r="B42" s="5" t="inlineStr">
        <x:is>
          <x:t xml:space="preserve">CF-000041</x:t>
        </x:is>
      </x:c>
      <x:c r="C42" s="12" t="inlineStr">
        <x:is>
          <x:t xml:space="preserve">Expense</x:t>
        </x:is>
      </x:c>
      <x:c r="D42" s="12" t="inlineStr">
        <x:is>
          <x:t xml:space="preserve">Λογιστής</x:t>
        </x:is>
      </x:c>
      <x:c r="E42" s="12" t="inlineStr">
        <x:is>
          <x:t xml:space="preserve">Λογιστής</x:t>
        </x:is>
      </x:c>
      <x:c r="F42" s="12" t="inlineStr">
        <x:is>
          <x:t xml:space="preserve">Έξοδα</x:t>
        </x:is>
      </x:c>
      <x:c r="G42" s="13" t="str">
        <x:f>IF(F42="","",IFERROR(VLOOKUP(F42,Master_Data!$E$24:$G$33,2,FALSE),"9999"))</x:f>
        <x:v>6000</x:v>
      </x:c>
      <x:c r="H42" s="12" t="inlineStr">
        <x:is>
          <x:t xml:space="preserve">Τζιάκης Γιάννης</x:t>
        </x:is>
      </x:c>
      <x:c r="I42" s="12" t="inlineStr">
        <x:is>
          <x:t xml:space="preserve">Cash</x:t>
        </x:is>
      </x:c>
      <x:c r="J42" s="12" t="n"/>
      <x:c r="K42" s="12" t="inlineStr">
        <x:is>
          <x:t xml:space="preserve">Paid</x:t>
        </x:is>
      </x:c>
      <x:c r="L42" s="11" t="n">
        <x:v>46023</x:v>
      </x:c>
      <x:c r="M42" s="9" t="n">
        <x:v>80</x:v>
      </x:c>
      <x:c r="N42" s="12" t="inlineStr">
        <x:is>
          <x:t xml:space="preserve">NO_VAT</x:t>
        </x:is>
      </x:c>
      <x:c r="O42" s="6">
        <x:f>IF(N42="","",IFERROR(VLOOKUP(N42,Master_Data!$A$5:$C$8,3,FALSE),0))</x:f>
        <x:v>0</x:v>
      </x:c>
      <x:c r="P42" s="7">
        <x:f>IF(M42="","",M42*O42)</x:f>
        <x:v>0</x:v>
      </x:c>
      <x:c r="Q42" s="7">
        <x:f>IF(M42="","",M42+P42)</x:f>
        <x:v>80</x:v>
      </x:c>
      <x:c r="R42" s="7">
        <x:f>IF(K42&lt;&gt;"Paid",0,IF(C42="Income",Q42,-Q42))</x:f>
        <x:v>-80</x:v>
      </x:c>
      <x:c r="S42" s="14" t="str">
        <x:f>IF(A42="","",DATE(YEAR(A42),MONTH(A42),1))</x:f>
        <x:v>Error: #VALUE!</x:v>
      </x:c>
      <x:c r="T42" s="14" t="str">
        <x:f>IF(L42="","",DATE(YEAR(L42),MONTH(L42),1))</x:f>
        <x:v>Error: #VALUE!</x:v>
      </x:c>
    </x:row>
    <x:row r="43">
      <x:c r="A43" s="11" t="n">
        <x:v>46027</x:v>
      </x:c>
      <x:c r="B43" s="5" t="inlineStr">
        <x:is>
          <x:t xml:space="preserve">CF-000042</x:t>
        </x:is>
      </x:c>
      <x:c r="C43" s="12" t="inlineStr">
        <x:is>
          <x:t xml:space="preserve">Expense</x:t>
        </x:is>
      </x:c>
      <x:c r="D43" s="12" t="inlineStr">
        <x:is>
          <x:t xml:space="preserve">papaki</x:t>
        </x:is>
      </x:c>
      <x:c r="E43" s="12" t="inlineStr">
        <x:is>
          <x:t xml:space="preserve">papaki</x:t>
        </x:is>
      </x:c>
      <x:c r="F43" s="12" t="inlineStr">
        <x:is>
          <x:t xml:space="preserve">Έξοδα</x:t>
        </x:is>
      </x:c>
      <x:c r="G43" s="13" t="str">
        <x:f>IF(F43="","",IFERROR(VLOOKUP(F43,Master_Data!$E$24:$G$33,2,FALSE),"9999"))</x:f>
        <x:v>6000</x:v>
      </x:c>
      <x:c r="H43" s="12" t="inlineStr">
        <x:is>
          <x:t xml:space="preserve">Τζιάκης Γιάννης</x:t>
        </x:is>
      </x:c>
      <x:c r="I43" s="12" t="inlineStr">
        <x:is>
          <x:t xml:space="preserve">Bank Transfer</x:t>
        </x:is>
      </x:c>
      <x:c r="J43" s="12" t="n"/>
      <x:c r="K43" s="12" t="inlineStr">
        <x:is>
          <x:t xml:space="preserve">Paid</x:t>
        </x:is>
      </x:c>
      <x:c r="L43" s="11" t="n">
        <x:v>46027</x:v>
      </x:c>
      <x:c r="M43" s="9" t="n">
        <x:v>17.36</x:v>
      </x:c>
      <x:c r="N43" s="12" t="inlineStr">
        <x:is>
          <x:t xml:space="preserve">NO_VAT</x:t>
        </x:is>
      </x:c>
      <x:c r="O43" s="6">
        <x:f>IF(N43="","",IFERROR(VLOOKUP(N43,Master_Data!$A$5:$C$8,3,FALSE),0))</x:f>
        <x:v>0</x:v>
      </x:c>
      <x:c r="P43" s="7">
        <x:f>IF(M43="","",M43*O43)</x:f>
        <x:v>0</x:v>
      </x:c>
      <x:c r="Q43" s="7">
        <x:f>IF(M43="","",M43+P43)</x:f>
        <x:v>17.36</x:v>
      </x:c>
      <x:c r="R43" s="7">
        <x:f>IF(K43&lt;&gt;"Paid",0,IF(C43="Income",Q43,-Q43))</x:f>
        <x:v>-17.36</x:v>
      </x:c>
      <x:c r="S43" s="14" t="str">
        <x:f>IF(A43="","",DATE(YEAR(A43),MONTH(A43),1))</x:f>
        <x:v>Error: #VALUE!</x:v>
      </x:c>
      <x:c r="T43" s="14" t="str">
        <x:f>IF(L43="","",DATE(YEAR(L43),MONTH(L43),1))</x:f>
        <x:v>Error: #VALUE!</x:v>
      </x:c>
    </x:row>
    <x:row r="44">
      <x:c r="A44" s="11" t="n">
        <x:v>46027</x:v>
      </x:c>
      <x:c r="B44" s="5" t="inlineStr">
        <x:is>
          <x:t xml:space="preserve">CF-000043</x:t>
        </x:is>
      </x:c>
      <x:c r="C44" s="12" t="inlineStr">
        <x:is>
          <x:t xml:space="preserve">Expense</x:t>
        </x:is>
      </x:c>
      <x:c r="D44" s="12" t="inlineStr">
        <x:is>
          <x:t xml:space="preserve">aegean</x:t>
        </x:is>
      </x:c>
      <x:c r="E44" s="12" t="inlineStr">
        <x:is>
          <x:t xml:space="preserve">aegean</x:t>
        </x:is>
      </x:c>
      <x:c r="F44" s="12" t="inlineStr">
        <x:is>
          <x:t xml:space="preserve">Μεταφορικά</x:t>
        </x:is>
      </x:c>
      <x:c r="G44" s="13" t="str">
        <x:f>IF(F44="","",IFERROR(VLOOKUP(F44,Master_Data!$E$24:$G$33,2,FALSE),"9999"))</x:f>
        <x:v>6000</x:v>
      </x:c>
      <x:c r="H44" s="12" t="inlineStr">
        <x:is>
          <x:t xml:space="preserve">Αστρινάκης Γιάννης</x:t>
        </x:is>
      </x:c>
      <x:c r="I44" s="12" t="inlineStr">
        <x:is>
          <x:t xml:space="preserve">Cash</x:t>
        </x:is>
      </x:c>
      <x:c r="J44" s="12" t="n"/>
      <x:c r="K44" s="12" t="inlineStr">
        <x:is>
          <x:t xml:space="preserve">Paid</x:t>
        </x:is>
      </x:c>
      <x:c r="L44" s="11" t="n">
        <x:v>46027</x:v>
      </x:c>
      <x:c r="M44" s="9" t="n">
        <x:v>362.01</x:v>
      </x:c>
      <x:c r="N44" s="12" t="inlineStr">
        <x:is>
          <x:t xml:space="preserve">NO_VAT</x:t>
        </x:is>
      </x:c>
      <x:c r="O44" s="6">
        <x:f>IF(N44="","",IFERROR(VLOOKUP(N44,Master_Data!$A$5:$C$8,3,FALSE),0))</x:f>
        <x:v>0</x:v>
      </x:c>
      <x:c r="P44" s="7">
        <x:f>IF(M44="","",M44*O44)</x:f>
        <x:v>0</x:v>
      </x:c>
      <x:c r="Q44" s="7">
        <x:f>IF(M44="","",M44+P44)</x:f>
        <x:v>362.01</x:v>
      </x:c>
      <x:c r="R44" s="7">
        <x:f>IF(K44&lt;&gt;"Paid",0,IF(C44="Income",Q44,-Q44))</x:f>
        <x:v>-362.01</x:v>
      </x:c>
      <x:c r="S44" s="14" t="str">
        <x:f>IF(A44="","",DATE(YEAR(A44),MONTH(A44),1))</x:f>
        <x:v>Error: #VALUE!</x:v>
      </x:c>
      <x:c r="T44" s="14" t="str">
        <x:f>IF(L44="","",DATE(YEAR(L44),MONTH(L44),1))</x:f>
        <x:v>Error: #VALUE!</x:v>
      </x:c>
    </x:row>
    <x:row r="45">
      <x:c r="A45" s="11" t="n">
        <x:v>46030</x:v>
      </x:c>
      <x:c r="B45" s="5" t="inlineStr">
        <x:is>
          <x:t xml:space="preserve">CF-000044</x:t>
        </x:is>
      </x:c>
      <x:c r="C45" s="12" t="inlineStr">
        <x:is>
          <x:t xml:space="preserve">Expense</x:t>
        </x:is>
      </x:c>
      <x:c r="D45" s="12" t="inlineStr">
        <x:is>
          <x:t xml:space="preserve">make</x:t>
        </x:is>
      </x:c>
      <x:c r="E45" s="12" t="inlineStr">
        <x:is>
          <x:t xml:space="preserve">make</x:t>
        </x:is>
      </x:c>
      <x:c r="F45" s="12" t="inlineStr">
        <x:is>
          <x:t xml:space="preserve">Έξοδα</x:t>
        </x:is>
      </x:c>
      <x:c r="G45" s="13" t="str">
        <x:f>IF(F45="","",IFERROR(VLOOKUP(F45,Master_Data!$E$24:$G$33,2,FALSE),"9999"))</x:f>
        <x:v>6000</x:v>
      </x:c>
      <x:c r="H45" s="12" t="inlineStr">
        <x:is>
          <x:t xml:space="preserve">Αστρινάκης Γιάννης</x:t>
        </x:is>
      </x:c>
      <x:c r="I45" s="12" t="inlineStr">
        <x:is>
          <x:t xml:space="preserve">Cash</x:t>
        </x:is>
      </x:c>
      <x:c r="J45" s="12" t="n"/>
      <x:c r="K45" s="12" t="inlineStr">
        <x:is>
          <x:t xml:space="preserve">Paid</x:t>
        </x:is>
      </x:c>
      <x:c r="L45" s="11" t="n">
        <x:v>46030</x:v>
      </x:c>
      <x:c r="M45" s="9" t="n">
        <x:v>100</x:v>
      </x:c>
      <x:c r="N45" s="12" t="inlineStr">
        <x:is>
          <x:t xml:space="preserve">NO_VAT</x:t>
        </x:is>
      </x:c>
      <x:c r="O45" s="6">
        <x:f>IF(N45="","",IFERROR(VLOOKUP(N45,Master_Data!$A$5:$C$8,3,FALSE),0))</x:f>
        <x:v>0</x:v>
      </x:c>
      <x:c r="P45" s="7">
        <x:f>IF(M45="","",M45*O45)</x:f>
        <x:v>0</x:v>
      </x:c>
      <x:c r="Q45" s="7">
        <x:f>IF(M45="","",M45+P45)</x:f>
        <x:v>100</x:v>
      </x:c>
      <x:c r="R45" s="7">
        <x:f>IF(K45&lt;&gt;"Paid",0,IF(C45="Income",Q45,-Q45))</x:f>
        <x:v>-100</x:v>
      </x:c>
      <x:c r="S45" s="14" t="str">
        <x:f>IF(A45="","",DATE(YEAR(A45),MONTH(A45),1))</x:f>
        <x:v>Error: #VALUE!</x:v>
      </x:c>
      <x:c r="T45" s="14" t="str">
        <x:f>IF(L45="","",DATE(YEAR(L45),MONTH(L45),1))</x:f>
        <x:v>Error: #VALUE!</x:v>
      </x:c>
    </x:row>
    <x:row r="46">
      <x:c r="A46" s="11" t="n">
        <x:v>46035</x:v>
      </x:c>
      <x:c r="B46" s="5" t="inlineStr">
        <x:is>
          <x:t xml:space="preserve">CF-000045</x:t>
        </x:is>
      </x:c>
      <x:c r="C46" s="12" t="inlineStr">
        <x:is>
          <x:t xml:space="preserve">Income</x:t>
        </x:is>
      </x:c>
      <x:c r="D46" s="12" t="inlineStr">
        <x:is>
          <x:t xml:space="preserve">Λαδι 2</x:t>
        </x:is>
      </x:c>
      <x:c r="E46" s="12" t="inlineStr">
        <x:is>
          <x:t xml:space="preserve">Λαδι 2</x:t>
        </x:is>
      </x:c>
      <x:c r="F46" s="12" t="inlineStr">
        <x:is>
          <x:t xml:space="preserve">Προμήθειες</x:t>
        </x:is>
      </x:c>
      <x:c r="G46" s="13" t="str">
        <x:f>IF(F46="","",IFERROR(VLOOKUP(F46,Master_Data!$E$24:$G$33,2,FALSE),"9999"))</x:f>
        <x:v>5000</x:v>
      </x:c>
      <x:c r="H46" s="12" t="n"/>
      <x:c r="I46" s="12" t="inlineStr">
        <x:is>
          <x:t xml:space="preserve">Cash</x:t>
        </x:is>
      </x:c>
      <x:c r="J46" s="12" t="n"/>
      <x:c r="K46" s="12" t="inlineStr">
        <x:is>
          <x:t xml:space="preserve">Paid</x:t>
        </x:is>
      </x:c>
      <x:c r="L46" s="11" t="n">
        <x:v>46035</x:v>
      </x:c>
      <x:c r="M46" s="9" t="n">
        <x:v>614.4</x:v>
      </x:c>
      <x:c r="N46" s="12" t="inlineStr">
        <x:is>
          <x:t xml:space="preserve">NO_VAT</x:t>
        </x:is>
      </x:c>
      <x:c r="O46" s="6">
        <x:f>IF(N46="","",IFERROR(VLOOKUP(N46,Master_Data!$A$5:$C$8,3,FALSE),0))</x:f>
        <x:v>0</x:v>
      </x:c>
      <x:c r="P46" s="7">
        <x:f>IF(M46="","",M46*O46)</x:f>
        <x:v>0</x:v>
      </x:c>
      <x:c r="Q46" s="7">
        <x:f>IF(M46="","",M46+P46)</x:f>
        <x:v>614.4</x:v>
      </x:c>
      <x:c r="R46" s="7">
        <x:f>IF(K46&lt;&gt;"Paid",0,IF(C46="Income",Q46,-Q46))</x:f>
        <x:v>614.4</x:v>
      </x:c>
      <x:c r="S46" s="14" t="str">
        <x:f>IF(A46="","",DATE(YEAR(A46),MONTH(A46),1))</x:f>
        <x:v>Error: #VALUE!</x:v>
      </x:c>
      <x:c r="T46" s="14" t="str">
        <x:f>IF(L46="","",DATE(YEAR(L46),MONTH(L46),1))</x:f>
        <x:v>Error: #VALUE!</x:v>
      </x:c>
    </x:row>
    <x:row r="47">
      <x:c r="A47" s="11" t="n">
        <x:v>46035</x:v>
      </x:c>
      <x:c r="B47" s="5" t="inlineStr">
        <x:is>
          <x:t xml:space="preserve">CF-000046</x:t>
        </x:is>
      </x:c>
      <x:c r="C47" s="12" t="inlineStr">
        <x:is>
          <x:t xml:space="preserve">Equity Distribution</x:t>
        </x:is>
      </x:c>
      <x:c r="D47" s="12" t="inlineStr">
        <x:is>
          <x:t xml:space="preserve">Μερισμα</x:t>
        </x:is>
      </x:c>
      <x:c r="E47" s="12" t="inlineStr">
        <x:is>
          <x:t xml:space="preserve">Μερισμα</x:t>
        </x:is>
      </x:c>
      <x:c r="F47" s="12" t="inlineStr">
        <x:is>
          <x:t xml:space="preserve">Μέρισμα</x:t>
        </x:is>
      </x:c>
      <x:c r="G47" s="13" t="str">
        <x:f>IF(F47="","",IFERROR(VLOOKUP(F47,Master_Data!$E$24:$G$33,2,FALSE),"9999"))</x:f>
        <x:v>8000</x:v>
      </x:c>
      <x:c r="H47" s="12" t="inlineStr">
        <x:is>
          <x:t xml:space="preserve">Αστρινάκης Γιάννης</x:t>
        </x:is>
      </x:c>
      <x:c r="I47" s="12" t="inlineStr">
        <x:is>
          <x:t xml:space="preserve">Cash</x:t>
        </x:is>
      </x:c>
      <x:c r="J47" s="12" t="n"/>
      <x:c r="K47" s="12" t="inlineStr">
        <x:is>
          <x:t xml:space="preserve">Unpaid</x:t>
        </x:is>
      </x:c>
      <x:c r="L47" s="11" t="n"/>
      <x:c r="M47" s="9" t="n">
        <x:v>204.8</x:v>
      </x:c>
      <x:c r="N47" s="12" t="inlineStr">
        <x:is>
          <x:t xml:space="preserve">NO_VAT</x:t>
        </x:is>
      </x:c>
      <x:c r="O47" s="6">
        <x:f>IF(N47="","",IFERROR(VLOOKUP(N47,Master_Data!$A$5:$C$8,3,FALSE),0))</x:f>
        <x:v>0</x:v>
      </x:c>
      <x:c r="P47" s="7">
        <x:f>IF(M47="","",M47*O47)</x:f>
        <x:v>0</x:v>
      </x:c>
      <x:c r="Q47" s="7">
        <x:f>IF(M47="","",M47+P47)</x:f>
        <x:v>204.8</x:v>
      </x:c>
      <x:c r="R47" s="7">
        <x:f>IF(K47&lt;&gt;"Paid",0,IF(C47="Income",Q47,-Q47))</x:f>
        <x:v>0</x:v>
      </x:c>
      <x:c r="S47" s="14" t="str">
        <x:f>IF(A47="","",DATE(YEAR(A47),MONTH(A47),1))</x:f>
        <x:v>Error: #VALUE!</x:v>
      </x:c>
      <x:c r="T47" s="14">
        <x:f>IF(L47="","",DATE(YEAR(L47),MONTH(L47),1))</x:f>
      </x:c>
    </x:row>
    <x:row r="48">
      <x:c r="A48" s="11" t="n">
        <x:v>46035</x:v>
      </x:c>
      <x:c r="B48" s="5" t="inlineStr">
        <x:is>
          <x:t xml:space="preserve">CF-000047</x:t>
        </x:is>
      </x:c>
      <x:c r="C48" s="12" t="inlineStr">
        <x:is>
          <x:t xml:space="preserve">Equity Distribution</x:t>
        </x:is>
      </x:c>
      <x:c r="D48" s="12" t="inlineStr">
        <x:is>
          <x:t xml:space="preserve">Μερισμα</x:t>
        </x:is>
      </x:c>
      <x:c r="E48" s="12" t="inlineStr">
        <x:is>
          <x:t xml:space="preserve">Μερισμα</x:t>
        </x:is>
      </x:c>
      <x:c r="F48" s="12" t="inlineStr">
        <x:is>
          <x:t xml:space="preserve">Μέρισμα</x:t>
        </x:is>
      </x:c>
      <x:c r="G48" s="13" t="str">
        <x:f>IF(F48="","",IFERROR(VLOOKUP(F48,Master_Data!$E$24:$G$33,2,FALSE),"9999"))</x:f>
        <x:v>8000</x:v>
      </x:c>
      <x:c r="H48" s="12" t="inlineStr">
        <x:is>
          <x:t xml:space="preserve">Τζιάκης Γιάννης</x:t>
        </x:is>
      </x:c>
      <x:c r="I48" s="12" t="inlineStr">
        <x:is>
          <x:t xml:space="preserve">Cash</x:t>
        </x:is>
      </x:c>
      <x:c r="J48" s="12" t="n"/>
      <x:c r="K48" s="12" t="inlineStr">
        <x:is>
          <x:t xml:space="preserve">Unpaid</x:t>
        </x:is>
      </x:c>
      <x:c r="L48" s="11" t="n"/>
      <x:c r="M48" s="9" t="n">
        <x:v>204.8</x:v>
      </x:c>
      <x:c r="N48" s="12" t="inlineStr">
        <x:is>
          <x:t xml:space="preserve">NO_VAT</x:t>
        </x:is>
      </x:c>
      <x:c r="O48" s="6">
        <x:f>IF(N48="","",IFERROR(VLOOKUP(N48,Master_Data!$A$5:$C$8,3,FALSE),0))</x:f>
        <x:v>0</x:v>
      </x:c>
      <x:c r="P48" s="7">
        <x:f>IF(M48="","",M48*O48)</x:f>
        <x:v>0</x:v>
      </x:c>
      <x:c r="Q48" s="7">
        <x:f>IF(M48="","",M48+P48)</x:f>
        <x:v>204.8</x:v>
      </x:c>
      <x:c r="R48" s="7">
        <x:f>IF(K48&lt;&gt;"Paid",0,IF(C48="Income",Q48,-Q48))</x:f>
        <x:v>0</x:v>
      </x:c>
      <x:c r="S48" s="14" t="str">
        <x:f>IF(A48="","",DATE(YEAR(A48),MONTH(A48),1))</x:f>
        <x:v>Error: #VALUE!</x:v>
      </x:c>
      <x:c r="T48" s="14">
        <x:f>IF(L48="","",DATE(YEAR(L48),MONTH(L48),1))</x:f>
      </x:c>
    </x:row>
    <x:row r="49">
      <x:c r="A49" s="11" t="n">
        <x:v>46035</x:v>
      </x:c>
      <x:c r="B49" s="5" t="inlineStr">
        <x:is>
          <x:t xml:space="preserve">CF-000048</x:t>
        </x:is>
      </x:c>
      <x:c r="C49" s="12" t="inlineStr">
        <x:is>
          <x:t xml:space="preserve">Equity Distribution</x:t>
        </x:is>
      </x:c>
      <x:c r="D49" s="12" t="inlineStr">
        <x:is>
          <x:t xml:space="preserve">Μερισμα</x:t>
        </x:is>
      </x:c>
      <x:c r="E49" s="12" t="inlineStr">
        <x:is>
          <x:t xml:space="preserve">Μερισμα</x:t>
        </x:is>
      </x:c>
      <x:c r="F49" s="12" t="inlineStr">
        <x:is>
          <x:t xml:space="preserve">Μέρισμα</x:t>
        </x:is>
      </x:c>
      <x:c r="G49" s="13" t="str">
        <x:f>IF(F49="","",IFERROR(VLOOKUP(F49,Master_Data!$E$24:$G$33,2,FALSE),"9999"))</x:f>
        <x:v>8000</x:v>
      </x:c>
      <x:c r="H49" s="12" t="inlineStr">
        <x:is>
          <x:t xml:space="preserve">Καπετάνιος Χρήστος</x:t>
        </x:is>
      </x:c>
      <x:c r="I49" s="12" t="inlineStr">
        <x:is>
          <x:t xml:space="preserve">Cash</x:t>
        </x:is>
      </x:c>
      <x:c r="J49" s="12" t="n"/>
      <x:c r="K49" s="12" t="inlineStr">
        <x:is>
          <x:t xml:space="preserve">Unpaid</x:t>
        </x:is>
      </x:c>
      <x:c r="L49" s="11" t="n"/>
      <x:c r="M49" s="9" t="n">
        <x:v>204.8</x:v>
      </x:c>
      <x:c r="N49" s="12" t="inlineStr">
        <x:is>
          <x:t xml:space="preserve">NO_VAT</x:t>
        </x:is>
      </x:c>
      <x:c r="O49" s="6">
        <x:f>IF(N49="","",IFERROR(VLOOKUP(N49,Master_Data!$A$5:$C$8,3,FALSE),0))</x:f>
        <x:v>0</x:v>
      </x:c>
      <x:c r="P49" s="7">
        <x:f>IF(M49="","",M49*O49)</x:f>
        <x:v>0</x:v>
      </x:c>
      <x:c r="Q49" s="7">
        <x:f>IF(M49="","",M49+P49)</x:f>
        <x:v>204.8</x:v>
      </x:c>
      <x:c r="R49" s="7">
        <x:f>IF(K49&lt;&gt;"Paid",0,IF(C49="Income",Q49,-Q49))</x:f>
        <x:v>0</x:v>
      </x:c>
      <x:c r="S49" s="14" t="str">
        <x:f>IF(A49="","",DATE(YEAR(A49),MONTH(A49),1))</x:f>
        <x:v>Error: #VALUE!</x:v>
      </x:c>
      <x:c r="T49" s="14">
        <x:f>IF(L49="","",DATE(YEAR(L49),MONTH(L49),1))</x:f>
      </x:c>
    </x:row>
    <x:row r="50">
      <x:c r="A50" s="11" t="n">
        <x:v>46036</x:v>
      </x:c>
      <x:c r="B50" s="5" t="inlineStr">
        <x:is>
          <x:t xml:space="preserve">CF-000049</x:t>
        </x:is>
      </x:c>
      <x:c r="C50" s="12" t="inlineStr">
        <x:is>
          <x:t xml:space="preserve">Expense</x:t>
        </x:is>
      </x:c>
      <x:c r="D50" s="12" t="inlineStr">
        <x:is>
          <x:t xml:space="preserve">make </x:t>
        </x:is>
      </x:c>
      <x:c r="E50" s="12" t="inlineStr">
        <x:is>
          <x:t xml:space="preserve">make </x:t>
        </x:is>
      </x:c>
      <x:c r="F50" s="12" t="inlineStr">
        <x:is>
          <x:t xml:space="preserve">Έξοδα</x:t>
        </x:is>
      </x:c>
      <x:c r="G50" s="13" t="str">
        <x:f>IF(F50="","",IFERROR(VLOOKUP(F50,Master_Data!$E$24:$G$33,2,FALSE),"9999"))</x:f>
        <x:v>6000</x:v>
      </x:c>
      <x:c r="H50" s="12" t="inlineStr">
        <x:is>
          <x:t xml:space="preserve">Αστρινάκης Γιάννης</x:t>
        </x:is>
      </x:c>
      <x:c r="I50" s="12" t="inlineStr">
        <x:is>
          <x:t xml:space="preserve">Cash</x:t>
        </x:is>
      </x:c>
      <x:c r="J50" s="12" t="n"/>
      <x:c r="K50" s="12" t="inlineStr">
        <x:is>
          <x:t xml:space="preserve">Paid</x:t>
        </x:is>
      </x:c>
      <x:c r="L50" s="11" t="n">
        <x:v>46036</x:v>
      </x:c>
      <x:c r="M50" s="9" t="n">
        <x:v>80</x:v>
      </x:c>
      <x:c r="N50" s="12" t="inlineStr">
        <x:is>
          <x:t xml:space="preserve">NO_VAT</x:t>
        </x:is>
      </x:c>
      <x:c r="O50" s="6">
        <x:f>IF(N50="","",IFERROR(VLOOKUP(N50,Master_Data!$A$5:$C$8,3,FALSE),0))</x:f>
        <x:v>0</x:v>
      </x:c>
      <x:c r="P50" s="7">
        <x:f>IF(M50="","",M50*O50)</x:f>
        <x:v>0</x:v>
      </x:c>
      <x:c r="Q50" s="7">
        <x:f>IF(M50="","",M50+P50)</x:f>
        <x:v>80</x:v>
      </x:c>
      <x:c r="R50" s="7">
        <x:f>IF(K50&lt;&gt;"Paid",0,IF(C50="Income",Q50,-Q50))</x:f>
        <x:v>-80</x:v>
      </x:c>
      <x:c r="S50" s="14" t="str">
        <x:f>IF(A50="","",DATE(YEAR(A50),MONTH(A50),1))</x:f>
        <x:v>Error: #VALUE!</x:v>
      </x:c>
      <x:c r="T50" s="14" t="str">
        <x:f>IF(L50="","",DATE(YEAR(L50),MONTH(L50),1))</x:f>
        <x:v>Error: #VALUE!</x:v>
      </x:c>
    </x:row>
    <x:row r="51">
      <x:c r="A51" s="11" t="n">
        <x:v>46036</x:v>
      </x:c>
      <x:c r="B51" s="5" t="inlineStr">
        <x:is>
          <x:t xml:space="preserve">CF-000050</x:t>
        </x:is>
      </x:c>
      <x:c r="C51" s="12" t="inlineStr">
        <x:is>
          <x:t xml:space="preserve">Equity Distribution</x:t>
        </x:is>
      </x:c>
      <x:c r="D51" s="12" t="inlineStr">
        <x:is>
          <x:t xml:space="preserve">Μερισμα</x:t>
        </x:is>
      </x:c>
      <x:c r="E51" s="12" t="inlineStr">
        <x:is>
          <x:t xml:space="preserve">Μερισμα</x:t>
        </x:is>
      </x:c>
      <x:c r="F51" s="12" t="inlineStr">
        <x:is>
          <x:t xml:space="preserve">Μέρισμα</x:t>
        </x:is>
      </x:c>
      <x:c r="G51" s="13">
        <x:f>IF(F51="","",IFERROR(VLOOKUP(F51,Master_Data!$E$24:$G$33,2,FALSE),"9999"))</x:f>
      </x:c>
      <x:c r="H51" s="12" t="inlineStr">
        <x:is>
          <x:t xml:space="preserve">Καπετάνιος Χρήστος</x:t>
        </x:is>
      </x:c>
      <x:c r="I51" s="12" t="inlineStr">
        <x:is>
          <x:t xml:space="preserve">Cash</x:t>
        </x:is>
      </x:c>
      <x:c r="J51" s="12" t="n"/>
      <x:c r="K51" s="12" t="inlineStr">
        <x:is>
          <x:t xml:space="preserve">Unpaid</x:t>
        </x:is>
      </x:c>
      <x:c r="L51" s="11" t="n"/>
      <x:c r="M51" s="9" t="n">
        <x:v>24</x:v>
      </x:c>
      <x:c r="N51" s="12" t="inlineStr">
        <x:is>
          <x:t xml:space="preserve">NO_VAT</x:t>
        </x:is>
      </x:c>
      <x:c r="O51" s="6">
        <x:f>IF(N51="","",IFERROR(VLOOKUP(N51,Master_Data!$A$5:$C$8,3,FALSE),0))</x:f>
      </x:c>
      <x:c r="P51" s="7">
        <x:f>IF(M51="","",M51*O51)</x:f>
      </x:c>
      <x:c r="Q51" s="7">
        <x:f>IF(M51="","",M51+P51)</x:f>
      </x:c>
      <x:c r="R51" s="7">
        <x:f>IF(K51&lt;&gt;"Paid",0,IF(C51="Income",Q51,-Q51))</x:f>
      </x:c>
      <x:c r="S51" s="14">
        <x:f>IF(A51="","",DATE(YEAR(A51),MONTH(A51),1))</x:f>
      </x:c>
      <x:c r="T51" s="14">
        <x:f>IF(L51="","",DATE(YEAR(L51),MONTH(L51),1))</x:f>
      </x:c>
    </x:row>
    <x:row r="52">
      <x:c r="A52" s="11" t="n">
        <x:v>46036</x:v>
      </x:c>
      <x:c r="B52" s="5" t="inlineStr">
        <x:is>
          <x:t xml:space="preserve">CF-000051</x:t>
        </x:is>
      </x:c>
      <x:c r="C52" s="12" t="inlineStr">
        <x:is>
          <x:t xml:space="preserve">Equity Distribution</x:t>
        </x:is>
      </x:c>
      <x:c r="D52" s="12" t="inlineStr">
        <x:is>
          <x:t xml:space="preserve">Μερισμα</x:t>
        </x:is>
      </x:c>
      <x:c r="E52" s="12" t="inlineStr">
        <x:is>
          <x:t xml:space="preserve">Μερισμα</x:t>
        </x:is>
      </x:c>
      <x:c r="F52" s="12" t="inlineStr">
        <x:is>
          <x:t xml:space="preserve">Μέρισμα</x:t>
        </x:is>
      </x:c>
      <x:c r="G52" s="13">
        <x:f>IF(F52="","",IFERROR(VLOOKUP(F52,Master_Data!$E$24:$G$33,2,FALSE),"9999"))</x:f>
      </x:c>
      <x:c r="H52" s="12" t="inlineStr">
        <x:is>
          <x:t xml:space="preserve">Αστρινάκης Γιάννης</x:t>
        </x:is>
      </x:c>
      <x:c r="I52" s="12" t="inlineStr">
        <x:is>
          <x:t xml:space="preserve">Cash</x:t>
        </x:is>
      </x:c>
      <x:c r="J52" s="12" t="n"/>
      <x:c r="K52" s="12" t="inlineStr">
        <x:is>
          <x:t xml:space="preserve">Unpaid</x:t>
        </x:is>
      </x:c>
      <x:c r="L52" s="11" t="n"/>
      <x:c r="M52" s="9" t="n">
        <x:v>24</x:v>
      </x:c>
      <x:c r="N52" s="12" t="inlineStr">
        <x:is>
          <x:t xml:space="preserve">NO_VAT</x:t>
        </x:is>
      </x:c>
      <x:c r="O52" s="6">
        <x:f>IF(N52="","",IFERROR(VLOOKUP(N52,Master_Data!$A$5:$C$8,3,FALSE),0))</x:f>
      </x:c>
      <x:c r="P52" s="7">
        <x:f>IF(M52="","",M52*O52)</x:f>
      </x:c>
      <x:c r="Q52" s="7">
        <x:f>IF(M52="","",M52+P52)</x:f>
      </x:c>
      <x:c r="R52" s="7">
        <x:f>IF(K52&lt;&gt;"Paid",0,IF(C52="Income",Q52,-Q52))</x:f>
      </x:c>
      <x:c r="S52" s="14">
        <x:f>IF(A52="","",DATE(YEAR(A52),MONTH(A52),1))</x:f>
      </x:c>
      <x:c r="T52" s="14">
        <x:f>IF(L52="","",DATE(YEAR(L52),MONTH(L52),1))</x:f>
      </x:c>
    </x:row>
    <x:row r="53">
      <x:c r="A53" s="11" t="n">
        <x:v>46036</x:v>
      </x:c>
      <x:c r="B53" s="5" t="inlineStr">
        <x:is>
          <x:t xml:space="preserve">CF-000052</x:t>
        </x:is>
      </x:c>
      <x:c r="C53" s="12" t="inlineStr">
        <x:is>
          <x:t xml:space="preserve">Equity Distribution</x:t>
        </x:is>
      </x:c>
      <x:c r="D53" s="12" t="inlineStr">
        <x:is>
          <x:t xml:space="preserve">Μερισμα</x:t>
        </x:is>
      </x:c>
      <x:c r="E53" s="12" t="inlineStr">
        <x:is>
          <x:t xml:space="preserve">Μερισμα</x:t>
        </x:is>
      </x:c>
      <x:c r="F53" s="12" t="inlineStr">
        <x:is>
          <x:t xml:space="preserve">Μέρισμα</x:t>
        </x:is>
      </x:c>
      <x:c r="G53" s="13">
        <x:f>IF(F53="","",IFERROR(VLOOKUP(F53,Master_Data!$E$24:$G$33,2,FALSE),"9999"))</x:f>
      </x:c>
      <x:c r="H53" s="12" t="inlineStr">
        <x:is>
          <x:t xml:space="preserve">Μαραγκάκης Μανος</x:t>
        </x:is>
      </x:c>
      <x:c r="I53" s="12" t="inlineStr">
        <x:is>
          <x:t xml:space="preserve">Cash</x:t>
        </x:is>
      </x:c>
      <x:c r="J53" s="12" t="n"/>
      <x:c r="K53" s="12" t="inlineStr">
        <x:is>
          <x:t xml:space="preserve">Unpaid</x:t>
        </x:is>
      </x:c>
      <x:c r="L53" s="11" t="n"/>
      <x:c r="M53" s="9" t="n">
        <x:v>72</x:v>
      </x:c>
      <x:c r="N53" s="12" t="inlineStr">
        <x:is>
          <x:t xml:space="preserve">NO_VAT</x:t>
        </x:is>
      </x:c>
      <x:c r="O53" s="6">
        <x:f>IF(N53="","",IFERROR(VLOOKUP(N53,Master_Data!$A$5:$C$8,3,FALSE),0))</x:f>
      </x:c>
      <x:c r="P53" s="7">
        <x:f>IF(M53="","",M53*O53)</x:f>
      </x:c>
      <x:c r="Q53" s="7">
        <x:f>IF(M53="","",M53+P53)</x:f>
      </x:c>
      <x:c r="R53" s="7">
        <x:f>IF(K53&lt;&gt;"Paid",0,IF(C53="Income",Q53,-Q53))</x:f>
      </x:c>
      <x:c r="S53" s="14">
        <x:f>IF(A53="","",DATE(YEAR(A53),MONTH(A53),1))</x:f>
      </x:c>
      <x:c r="T53" s="14">
        <x:f>IF(L53="","",DATE(YEAR(L53),MONTH(L53),1))</x:f>
      </x:c>
    </x:row>
    <x:row r="54">
      <x:c r="A54" s="11" t="n">
        <x:v>46038</x:v>
      </x:c>
      <x:c r="B54" s="5" t="inlineStr">
        <x:is>
          <x:t xml:space="preserve">CF-000053</x:t>
        </x:is>
      </x:c>
      <x:c r="C54" s="12" t="inlineStr">
        <x:is>
          <x:t xml:space="preserve">Expense</x:t>
        </x:is>
      </x:c>
      <x:c r="D54" s="12" t="inlineStr">
        <x:is>
          <x:t xml:space="preserve">make </x:t>
        </x:is>
      </x:c>
      <x:c r="E54" s="12" t="inlineStr">
        <x:is>
          <x:t xml:space="preserve">make </x:t>
        </x:is>
      </x:c>
      <x:c r="F54" s="12" t="inlineStr">
        <x:is>
          <x:t xml:space="preserve">Έξοδα</x:t>
        </x:is>
      </x:c>
      <x:c r="G54" s="13">
        <x:f>IF(F54="","",IFERROR(VLOOKUP(F54,Master_Data!$E$24:$G$33,2,FALSE),"9999"))</x:f>
      </x:c>
      <x:c r="H54" s="12" t="inlineStr">
        <x:is>
          <x:t xml:space="preserve">Αστρινάκης Γιάννης</x:t>
        </x:is>
      </x:c>
      <x:c r="I54" s="12" t="inlineStr">
        <x:is>
          <x:t xml:space="preserve">Cash</x:t>
        </x:is>
      </x:c>
      <x:c r="J54" s="12" t="n"/>
      <x:c r="K54" s="12" t="inlineStr">
        <x:is>
          <x:t xml:space="preserve">Paid</x:t>
        </x:is>
      </x:c>
      <x:c r="L54" s="11" t="n">
        <x:v>46038</x:v>
      </x:c>
      <x:c r="M54" s="9" t="n">
        <x:v>100</x:v>
      </x:c>
      <x:c r="N54" s="12" t="inlineStr">
        <x:is>
          <x:t xml:space="preserve">NO_VAT</x:t>
        </x:is>
      </x:c>
      <x:c r="O54" s="6">
        <x:f>IF(N54="","",IFERROR(VLOOKUP(N54,Master_Data!$A$5:$C$8,3,FALSE),0))</x:f>
      </x:c>
      <x:c r="P54" s="7">
        <x:f>IF(M54="","",M54*O54)</x:f>
      </x:c>
      <x:c r="Q54" s="7">
        <x:f>IF(M54="","",M54+P54)</x:f>
      </x:c>
      <x:c r="R54" s="7">
        <x:f>IF(K54&lt;&gt;"Paid",0,IF(C54="Income",Q54,-Q54))</x:f>
      </x:c>
      <x:c r="S54" s="14">
        <x:f>IF(A54="","",DATE(YEAR(A54),MONTH(A54),1))</x:f>
      </x:c>
      <x:c r="T54" s="14">
        <x:f>IF(L54="","",DATE(YEAR(L54),MONTH(L54),1))</x:f>
      </x:c>
    </x:row>
    <x:row r="55">
      <x:c r="A55" s="11" t="n">
        <x:v>46041</x:v>
      </x:c>
      <x:c r="B55" s="5" t="inlineStr">
        <x:is>
          <x:t xml:space="preserve">CF-000054</x:t>
        </x:is>
      </x:c>
      <x:c r="C55" s="12" t="inlineStr">
        <x:is>
          <x:t xml:space="preserve">Expense</x:t>
        </x:is>
      </x:c>
      <x:c r="D55" s="12" t="inlineStr">
        <x:is>
          <x:t xml:space="preserve">make </x:t>
        </x:is>
      </x:c>
      <x:c r="E55" s="12" t="inlineStr">
        <x:is>
          <x:t xml:space="preserve">make </x:t>
        </x:is>
      </x:c>
      <x:c r="F55" s="12" t="inlineStr">
        <x:is>
          <x:t xml:space="preserve">Έξοδα</x:t>
        </x:is>
      </x:c>
      <x:c r="G55" s="13">
        <x:f>IF(F55="","",IFERROR(VLOOKUP(F55,Master_Data!$E$24:$G$33,2,FALSE),"9999"))</x:f>
      </x:c>
      <x:c r="H55" s="12" t="inlineStr">
        <x:is>
          <x:t xml:space="preserve">Αστρινάκης Γιάννης</x:t>
        </x:is>
      </x:c>
      <x:c r="I55" s="12" t="inlineStr">
        <x:is>
          <x:t xml:space="preserve">Cash</x:t>
        </x:is>
      </x:c>
      <x:c r="J55" s="12" t="n"/>
      <x:c r="K55" s="12" t="inlineStr">
        <x:is>
          <x:t xml:space="preserve">Paid</x:t>
        </x:is>
      </x:c>
      <x:c r="L55" s="11" t="n">
        <x:v>46041</x:v>
      </x:c>
      <x:c r="M55" s="9" t="n">
        <x:v>220</x:v>
      </x:c>
      <x:c r="N55" s="12" t="inlineStr">
        <x:is>
          <x:t xml:space="preserve">NO_VAT</x:t>
        </x:is>
      </x:c>
      <x:c r="O55" s="6">
        <x:f>IF(N55="","",IFERROR(VLOOKUP(N55,Master_Data!$A$5:$C$8,3,FALSE),0))</x:f>
      </x:c>
      <x:c r="P55" s="7">
        <x:f>IF(M55="","",M55*O55)</x:f>
      </x:c>
      <x:c r="Q55" s="7">
        <x:f>IF(M55="","",M55+P55)</x:f>
      </x:c>
      <x:c r="R55" s="7">
        <x:f>IF(K55&lt;&gt;"Paid",0,IF(C55="Income",Q55,-Q55))</x:f>
      </x:c>
      <x:c r="S55" s="14">
        <x:f>IF(A55="","",DATE(YEAR(A55),MONTH(A55),1))</x:f>
      </x:c>
      <x:c r="T55" s="14">
        <x:f>IF(L55="","",DATE(YEAR(L55),MONTH(L55),1))</x:f>
      </x:c>
    </x:row>
    <x:row r="56">
      <x:c r="A56" s="11" t="n"/>
      <x:c r="B56" s="5" t="n"/>
      <x:c r="C56" s="12" t="n"/>
      <x:c r="D56" s="12" t="n"/>
      <x:c r="E56" s="12" t="n"/>
      <x:c r="F56" s="12" t="n"/>
      <x:c r="G56" s="13">
        <x:f>IF(F56="","",IFERROR(VLOOKUP(F56,Master_Data!$E$24:$G$33,2,FALSE),"9999"))</x:f>
      </x:c>
      <x:c r="H56" s="12" t="n"/>
      <x:c r="I56" s="12" t="n"/>
      <x:c r="J56" s="12" t="n"/>
      <x:c r="K56" s="12" t="n"/>
      <x:c r="L56" s="11" t="n"/>
      <x:c r="M56" s="9" t="n"/>
      <x:c r="N56" s="12" t="n"/>
      <x:c r="O56" s="6">
        <x:f>IF(N56="","",IFERROR(VLOOKUP(N56,Master_Data!$A$5:$C$8,3,FALSE),0))</x:f>
      </x:c>
      <x:c r="P56" s="7">
        <x:f>IF(M56="","",M56*O56)</x:f>
      </x:c>
      <x:c r="Q56" s="7">
        <x:f>IF(M56="","",M56+P56)</x:f>
      </x:c>
      <x:c r="R56" s="7">
        <x:f>IF(K56&lt;&gt;"Paid",0,IF(C56="Income",Q56,-Q56))</x:f>
      </x:c>
      <x:c r="S56" s="14">
        <x:f>IF(A56="","",DATE(YEAR(A56),MONTH(A56),1))</x:f>
      </x:c>
      <x:c r="T56" s="14">
        <x:f>IF(L56="","",DATE(YEAR(L56),MONTH(L56),1))</x:f>
      </x:c>
    </x:row>
    <x:row r="57">
      <x:c r="A57" s="11" t="n"/>
      <x:c r="B57" s="5" t="n"/>
      <x:c r="C57" s="12" t="n"/>
      <x:c r="D57" s="12" t="n"/>
      <x:c r="E57" s="12" t="n"/>
      <x:c r="F57" s="12" t="n"/>
      <x:c r="G57" s="13">
        <x:f>IF(F57="","",IFERROR(VLOOKUP(F57,Master_Data!$E$24:$G$33,2,FALSE),"9999"))</x:f>
      </x:c>
      <x:c r="H57" s="12" t="n"/>
      <x:c r="I57" s="12" t="n"/>
      <x:c r="J57" s="12" t="n"/>
      <x:c r="K57" s="12" t="n"/>
      <x:c r="L57" s="11" t="n"/>
      <x:c r="M57" s="9" t="n"/>
      <x:c r="N57" s="12" t="n"/>
      <x:c r="O57" s="6">
        <x:f>IF(N57="","",IFERROR(VLOOKUP(N57,Master_Data!$A$5:$C$8,3,FALSE),0))</x:f>
      </x:c>
      <x:c r="P57" s="7">
        <x:f>IF(M57="","",M57*O57)</x:f>
      </x:c>
      <x:c r="Q57" s="7">
        <x:f>IF(M57="","",M57+P57)</x:f>
      </x:c>
      <x:c r="R57" s="7">
        <x:f>IF(K57&lt;&gt;"Paid",0,IF(C57="Income",Q57,-Q57))</x:f>
      </x:c>
      <x:c r="S57" s="14">
        <x:f>IF(A57="","",DATE(YEAR(A57),MONTH(A57),1))</x:f>
      </x:c>
      <x:c r="T57" s="14">
        <x:f>IF(L57="","",DATE(YEAR(L57),MONTH(L57),1))</x:f>
      </x:c>
    </x:row>
    <x:row r="58">
      <x:c r="A58" s="11" t="n"/>
      <x:c r="B58" s="5" t="n"/>
      <x:c r="C58" s="12" t="n"/>
      <x:c r="D58" s="12" t="n"/>
      <x:c r="E58" s="12" t="n"/>
      <x:c r="F58" s="12" t="n"/>
      <x:c r="G58" s="13">
        <x:f>IF(F58="","",IFERROR(VLOOKUP(F58,Master_Data!$E$24:$G$33,2,FALSE),"9999"))</x:f>
      </x:c>
      <x:c r="H58" s="12" t="n"/>
      <x:c r="I58" s="12" t="n"/>
      <x:c r="J58" s="12" t="n"/>
      <x:c r="K58" s="12" t="n"/>
      <x:c r="L58" s="11" t="n"/>
      <x:c r="M58" s="9" t="n"/>
      <x:c r="N58" s="12" t="n"/>
      <x:c r="O58" s="6">
        <x:f>IF(N58="","",IFERROR(VLOOKUP(N58,Master_Data!$A$5:$C$8,3,FALSE),0))</x:f>
      </x:c>
      <x:c r="P58" s="7">
        <x:f>IF(M58="","",M58*O58)</x:f>
      </x:c>
      <x:c r="Q58" s="7">
        <x:f>IF(M58="","",M58+P58)</x:f>
      </x:c>
      <x:c r="R58" s="7">
        <x:f>IF(K58&lt;&gt;"Paid",0,IF(C58="Income",Q58,-Q58))</x:f>
      </x:c>
      <x:c r="S58" s="14">
        <x:f>IF(A58="","",DATE(YEAR(A58),MONTH(A58),1))</x:f>
      </x:c>
      <x:c r="T58" s="14">
        <x:f>IF(L58="","",DATE(YEAR(L58),MONTH(L58),1))</x:f>
      </x:c>
    </x:row>
    <x:row r="59">
      <x:c r="A59" s="11" t="n"/>
      <x:c r="B59" s="5" t="n"/>
      <x:c r="C59" s="12" t="n"/>
      <x:c r="D59" s="12" t="n"/>
      <x:c r="E59" s="12" t="n"/>
      <x:c r="F59" s="12" t="n"/>
      <x:c r="G59" s="13">
        <x:f>IF(F59="","",IFERROR(VLOOKUP(F59,Master_Data!$E$24:$G$33,2,FALSE),"9999"))</x:f>
      </x:c>
      <x:c r="H59" s="12" t="n"/>
      <x:c r="I59" s="12" t="n"/>
      <x:c r="J59" s="12" t="n"/>
      <x:c r="K59" s="12" t="n"/>
      <x:c r="L59" s="11" t="n"/>
      <x:c r="M59" s="9" t="n"/>
      <x:c r="N59" s="12" t="n"/>
      <x:c r="O59" s="6">
        <x:f>IF(N59="","",IFERROR(VLOOKUP(N59,Master_Data!$A$5:$C$8,3,FALSE),0))</x:f>
      </x:c>
      <x:c r="P59" s="7">
        <x:f>IF(M59="","",M59*O59)</x:f>
      </x:c>
      <x:c r="Q59" s="7">
        <x:f>IF(M59="","",M59+P59)</x:f>
      </x:c>
      <x:c r="R59" s="7">
        <x:f>IF(K59&lt;&gt;"Paid",0,IF(C59="Income",Q59,-Q59))</x:f>
      </x:c>
      <x:c r="S59" s="14">
        <x:f>IF(A59="","",DATE(YEAR(A59),MONTH(A59),1))</x:f>
      </x:c>
      <x:c r="T59" s="14">
        <x:f>IF(L59="","",DATE(YEAR(L59),MONTH(L59),1))</x:f>
      </x:c>
    </x:row>
    <x:row r="60">
      <x:c r="A60" s="11" t="n"/>
      <x:c r="B60" s="5" t="n"/>
      <x:c r="C60" s="12" t="n"/>
      <x:c r="D60" s="12" t="n"/>
      <x:c r="E60" s="12" t="n"/>
      <x:c r="F60" s="12" t="n"/>
      <x:c r="G60" s="13">
        <x:f>IF(F60="","",IFERROR(VLOOKUP(F60,Master_Data!$E$24:$G$33,2,FALSE),"9999"))</x:f>
      </x:c>
      <x:c r="H60" s="12" t="n"/>
      <x:c r="I60" s="12" t="n"/>
      <x:c r="J60" s="12" t="n"/>
      <x:c r="K60" s="12" t="n"/>
      <x:c r="L60" s="11" t="n"/>
      <x:c r="M60" s="9" t="n"/>
      <x:c r="N60" s="12" t="n"/>
      <x:c r="O60" s="6">
        <x:f>IF(N60="","",IFERROR(VLOOKUP(N60,Master_Data!$A$5:$C$8,3,FALSE),0))</x:f>
      </x:c>
      <x:c r="P60" s="7">
        <x:f>IF(M60="","",M60*O60)</x:f>
      </x:c>
      <x:c r="Q60" s="7">
        <x:f>IF(M60="","",M60+P60)</x:f>
      </x:c>
      <x:c r="R60" s="7">
        <x:f>IF(K60&lt;&gt;"Paid",0,IF(C60="Income",Q60,-Q60))</x:f>
      </x:c>
      <x:c r="S60" s="14">
        <x:f>IF(A60="","",DATE(YEAR(A60),MONTH(A60),1))</x:f>
      </x:c>
      <x:c r="T60" s="14">
        <x:f>IF(L60="","",DATE(YEAR(L60),MONTH(L60),1))</x:f>
      </x:c>
    </x:row>
    <x:row r="61">
      <x:c r="A61" s="11" t="n"/>
      <x:c r="B61" s="5" t="n"/>
      <x:c r="C61" s="12" t="n"/>
      <x:c r="D61" s="12" t="n"/>
      <x:c r="E61" s="12" t="n"/>
      <x:c r="F61" s="12" t="n"/>
      <x:c r="G61" s="13">
        <x:f>IF(F61="","",IFERROR(VLOOKUP(F61,Master_Data!$E$24:$G$33,2,FALSE),"9999"))</x:f>
      </x:c>
      <x:c r="H61" s="12" t="n"/>
      <x:c r="I61" s="12" t="n"/>
      <x:c r="J61" s="12" t="n"/>
      <x:c r="K61" s="12" t="n"/>
      <x:c r="L61" s="11" t="n"/>
      <x:c r="M61" s="9" t="n"/>
      <x:c r="N61" s="12" t="n"/>
      <x:c r="O61" s="6">
        <x:f>IF(N61="","",IFERROR(VLOOKUP(N61,Master_Data!$A$5:$C$8,3,FALSE),0))</x:f>
      </x:c>
      <x:c r="P61" s="7">
        <x:f>IF(M61="","",M61*O61)</x:f>
      </x:c>
      <x:c r="Q61" s="7">
        <x:f>IF(M61="","",M61+P61)</x:f>
      </x:c>
      <x:c r="R61" s="7">
        <x:f>IF(K61&lt;&gt;"Paid",0,IF(C61="Income",Q61,-Q61))</x:f>
      </x:c>
      <x:c r="S61" s="14">
        <x:f>IF(A61="","",DATE(YEAR(A61),MONTH(A61),1))</x:f>
      </x:c>
      <x:c r="T61" s="14">
        <x:f>IF(L61="","",DATE(YEAR(L61),MONTH(L61),1))</x:f>
      </x:c>
    </x:row>
    <x:row r="62">
      <x:c r="A62" s="11" t="n"/>
      <x:c r="B62" s="5" t="n"/>
      <x:c r="C62" s="12" t="n"/>
      <x:c r="D62" s="12" t="n"/>
      <x:c r="E62" s="12" t="n"/>
      <x:c r="F62" s="12" t="n"/>
      <x:c r="G62" s="13">
        <x:f>IF(F62="","",IFERROR(VLOOKUP(F62,Master_Data!$E$24:$G$33,2,FALSE),"9999"))</x:f>
      </x:c>
      <x:c r="H62" s="12" t="n"/>
      <x:c r="I62" s="12" t="n"/>
      <x:c r="J62" s="12" t="n"/>
      <x:c r="K62" s="12" t="n"/>
      <x:c r="L62" s="11" t="n"/>
      <x:c r="M62" s="9" t="n"/>
      <x:c r="N62" s="12" t="n"/>
      <x:c r="O62" s="6">
        <x:f>IF(N62="","",IFERROR(VLOOKUP(N62,Master_Data!$A$5:$C$8,3,FALSE),0))</x:f>
      </x:c>
      <x:c r="P62" s="7">
        <x:f>IF(M62="","",M62*O62)</x:f>
      </x:c>
      <x:c r="Q62" s="7">
        <x:f>IF(M62="","",M62+P62)</x:f>
      </x:c>
      <x:c r="R62" s="7">
        <x:f>IF(K62&lt;&gt;"Paid",0,IF(C62="Income",Q62,-Q62))</x:f>
      </x:c>
      <x:c r="S62" s="14">
        <x:f>IF(A62="","",DATE(YEAR(A62),MONTH(A62),1))</x:f>
      </x:c>
      <x:c r="T62" s="14">
        <x:f>IF(L62="","",DATE(YEAR(L62),MONTH(L62),1))</x:f>
      </x:c>
    </x:row>
    <x:row r="63">
      <x:c r="A63" s="11" t="n"/>
      <x:c r="B63" s="5" t="n"/>
      <x:c r="C63" s="12" t="n"/>
      <x:c r="D63" s="12" t="n"/>
      <x:c r="E63" s="12" t="n"/>
      <x:c r="F63" s="12" t="n"/>
      <x:c r="G63" s="13">
        <x:f>IF(F63="","",IFERROR(VLOOKUP(F63,Master_Data!$E$24:$G$33,2,FALSE),"9999"))</x:f>
      </x:c>
      <x:c r="H63" s="12" t="n"/>
      <x:c r="I63" s="12" t="n"/>
      <x:c r="J63" s="12" t="n"/>
      <x:c r="K63" s="12" t="n"/>
      <x:c r="L63" s="11" t="n"/>
      <x:c r="M63" s="9" t="n"/>
      <x:c r="N63" s="12" t="n"/>
      <x:c r="O63" s="6">
        <x:f>IF(N63="","",IFERROR(VLOOKUP(N63,Master_Data!$A$5:$C$8,3,FALSE),0))</x:f>
      </x:c>
      <x:c r="P63" s="7">
        <x:f>IF(M63="","",M63*O63)</x:f>
      </x:c>
      <x:c r="Q63" s="7">
        <x:f>IF(M63="","",M63+P63)</x:f>
      </x:c>
      <x:c r="R63" s="7">
        <x:f>IF(K63&lt;&gt;"Paid",0,IF(C63="Income",Q63,-Q63))</x:f>
      </x:c>
      <x:c r="S63" s="14">
        <x:f>IF(A63="","",DATE(YEAR(A63),MONTH(A63),1))</x:f>
      </x:c>
      <x:c r="T63" s="14">
        <x:f>IF(L63="","",DATE(YEAR(L63),MONTH(L63),1))</x:f>
      </x:c>
    </x:row>
    <x:row r="64">
      <x:c r="A64" s="11" t="n"/>
      <x:c r="B64" s="5" t="n"/>
      <x:c r="C64" s="12" t="n"/>
      <x:c r="D64" s="12" t="n"/>
      <x:c r="E64" s="12" t="n"/>
      <x:c r="F64" s="12" t="n"/>
      <x:c r="G64" s="13">
        <x:f>IF(F64="","",IFERROR(VLOOKUP(F64,Master_Data!$E$24:$G$33,2,FALSE),"9999"))</x:f>
      </x:c>
      <x:c r="H64" s="12" t="n"/>
      <x:c r="I64" s="12" t="n"/>
      <x:c r="J64" s="12" t="n"/>
      <x:c r="K64" s="12" t="n"/>
      <x:c r="L64" s="11" t="n"/>
      <x:c r="M64" s="9" t="n"/>
      <x:c r="N64" s="12" t="n"/>
      <x:c r="O64" s="6">
        <x:f>IF(N64="","",IFERROR(VLOOKUP(N64,Master_Data!$A$5:$C$8,3,FALSE),0))</x:f>
      </x:c>
      <x:c r="P64" s="7">
        <x:f>IF(M64="","",M64*O64)</x:f>
      </x:c>
      <x:c r="Q64" s="7">
        <x:f>IF(M64="","",M64+P64)</x:f>
      </x:c>
      <x:c r="R64" s="7">
        <x:f>IF(K64&lt;&gt;"Paid",0,IF(C64="Income",Q64,-Q64))</x:f>
      </x:c>
      <x:c r="S64" s="14">
        <x:f>IF(A64="","",DATE(YEAR(A64),MONTH(A64),1))</x:f>
      </x:c>
      <x:c r="T64" s="14">
        <x:f>IF(L64="","",DATE(YEAR(L64),MONTH(L64),1))</x:f>
      </x:c>
    </x:row>
    <x:row r="65">
      <x:c r="A65" s="11" t="n"/>
      <x:c r="B65" s="5" t="n"/>
      <x:c r="C65" s="12" t="n"/>
      <x:c r="D65" s="12" t="n"/>
      <x:c r="E65" s="12" t="n"/>
      <x:c r="F65" s="12" t="n"/>
      <x:c r="G65" s="13">
        <x:f>IF(F65="","",IFERROR(VLOOKUP(F65,Master_Data!$E$24:$G$33,2,FALSE),"9999"))</x:f>
      </x:c>
      <x:c r="H65" s="12" t="n"/>
      <x:c r="I65" s="12" t="n"/>
      <x:c r="J65" s="12" t="n"/>
      <x:c r="K65" s="12" t="n"/>
      <x:c r="L65" s="11" t="n"/>
      <x:c r="M65" s="9" t="n"/>
      <x:c r="N65" s="12" t="n"/>
      <x:c r="O65" s="6">
        <x:f>IF(N65="","",IFERROR(VLOOKUP(N65,Master_Data!$A$5:$C$8,3,FALSE),0))</x:f>
      </x:c>
      <x:c r="P65" s="7">
        <x:f>IF(M65="","",M65*O65)</x:f>
      </x:c>
      <x:c r="Q65" s="7">
        <x:f>IF(M65="","",M65+P65)</x:f>
      </x:c>
      <x:c r="R65" s="7">
        <x:f>IF(K65&lt;&gt;"Paid",0,IF(C65="Income",Q65,-Q65))</x:f>
      </x:c>
      <x:c r="S65" s="14">
        <x:f>IF(A65="","",DATE(YEAR(A65),MONTH(A65),1))</x:f>
      </x:c>
      <x:c r="T65" s="14">
        <x:f>IF(L65="","",DATE(YEAR(L65),MONTH(L65),1))</x:f>
      </x:c>
    </x:row>
    <x:row r="66">
      <x:c r="A66" s="11" t="n"/>
      <x:c r="B66" s="5" t="n"/>
      <x:c r="C66" s="12" t="n"/>
      <x:c r="D66" s="12" t="n"/>
      <x:c r="E66" s="12" t="n"/>
      <x:c r="F66" s="12" t="n"/>
      <x:c r="G66" s="13">
        <x:f>IF(F66="","",IFERROR(VLOOKUP(F66,Master_Data!$E$24:$G$33,2,FALSE),"9999"))</x:f>
      </x:c>
      <x:c r="H66" s="12" t="n"/>
      <x:c r="I66" s="12" t="n"/>
      <x:c r="J66" s="12" t="n"/>
      <x:c r="K66" s="12" t="n"/>
      <x:c r="L66" s="11" t="n"/>
      <x:c r="M66" s="9" t="n"/>
      <x:c r="N66" s="12" t="n"/>
      <x:c r="O66" s="6">
        <x:f>IF(N66="","",IFERROR(VLOOKUP(N66,Master_Data!$A$5:$C$8,3,FALSE),0))</x:f>
      </x:c>
      <x:c r="P66" s="7">
        <x:f>IF(M66="","",M66*O66)</x:f>
      </x:c>
      <x:c r="Q66" s="7">
        <x:f>IF(M66="","",M66+P66)</x:f>
      </x:c>
      <x:c r="R66" s="7">
        <x:f>IF(K66&lt;&gt;"Paid",0,IF(C66="Income",Q66,-Q66))</x:f>
      </x:c>
      <x:c r="S66" s="14">
        <x:f>IF(A66="","",DATE(YEAR(A66),MONTH(A66),1))</x:f>
      </x:c>
      <x:c r="T66" s="14">
        <x:f>IF(L66="","",DATE(YEAR(L66),MONTH(L66),1))</x:f>
      </x:c>
    </x:row>
    <x:row r="67">
      <x:c r="A67" s="11" t="n"/>
      <x:c r="B67" s="5" t="n"/>
      <x:c r="C67" s="12" t="n"/>
      <x:c r="D67" s="12" t="n"/>
      <x:c r="E67" s="12" t="n"/>
      <x:c r="F67" s="12" t="n"/>
      <x:c r="G67" s="13">
        <x:f>IF(F67="","",IFERROR(VLOOKUP(F67,Master_Data!$E$24:$G$33,2,FALSE),"9999"))</x:f>
      </x:c>
      <x:c r="H67" s="12" t="n"/>
      <x:c r="I67" s="12" t="n"/>
      <x:c r="J67" s="12" t="n"/>
      <x:c r="K67" s="12" t="n"/>
      <x:c r="L67" s="11" t="n"/>
      <x:c r="M67" s="9" t="n"/>
      <x:c r="N67" s="12" t="n"/>
      <x:c r="O67" s="6">
        <x:f>IF(N67="","",IFERROR(VLOOKUP(N67,Master_Data!$A$5:$C$8,3,FALSE),0))</x:f>
      </x:c>
      <x:c r="P67" s="7">
        <x:f>IF(M67="","",M67*O67)</x:f>
      </x:c>
      <x:c r="Q67" s="7">
        <x:f>IF(M67="","",M67+P67)</x:f>
      </x:c>
      <x:c r="R67" s="7">
        <x:f>IF(K67&lt;&gt;"Paid",0,IF(C67="Income",Q67,-Q67))</x:f>
      </x:c>
      <x:c r="S67" s="14">
        <x:f>IF(A67="","",DATE(YEAR(A67),MONTH(A67),1))</x:f>
      </x:c>
      <x:c r="T67" s="14">
        <x:f>IF(L67="","",DATE(YEAR(L67),MONTH(L67),1))</x:f>
      </x:c>
    </x:row>
    <x:row r="68">
      <x:c r="A68" s="11" t="n"/>
      <x:c r="B68" s="5" t="n"/>
      <x:c r="C68" s="12" t="n"/>
      <x:c r="D68" s="12" t="n"/>
      <x:c r="E68" s="12" t="n"/>
      <x:c r="F68" s="12" t="n"/>
      <x:c r="G68" s="13">
        <x:f>IF(F68="","",IFERROR(VLOOKUP(F68,Master_Data!$E$24:$G$33,2,FALSE),"9999"))</x:f>
      </x:c>
      <x:c r="H68" s="12" t="n"/>
      <x:c r="I68" s="12" t="n"/>
      <x:c r="J68" s="12" t="n"/>
      <x:c r="K68" s="12" t="n"/>
      <x:c r="L68" s="11" t="n"/>
      <x:c r="M68" s="9" t="n"/>
      <x:c r="N68" s="12" t="n"/>
      <x:c r="O68" s="6">
        <x:f>IF(N68="","",IFERROR(VLOOKUP(N68,Master_Data!$A$5:$C$8,3,FALSE),0))</x:f>
      </x:c>
      <x:c r="P68" s="7">
        <x:f>IF(M68="","",M68*O68)</x:f>
      </x:c>
      <x:c r="Q68" s="7">
        <x:f>IF(M68="","",M68+P68)</x:f>
      </x:c>
      <x:c r="R68" s="7">
        <x:f>IF(K68&lt;&gt;"Paid",0,IF(C68="Income",Q68,-Q68))</x:f>
      </x:c>
      <x:c r="S68" s="14">
        <x:f>IF(A68="","",DATE(YEAR(A68),MONTH(A68),1))</x:f>
      </x:c>
      <x:c r="T68" s="14">
        <x:f>IF(L68="","",DATE(YEAR(L68),MONTH(L68),1))</x:f>
      </x:c>
    </x:row>
    <x:row r="69">
      <x:c r="A69" s="11" t="n"/>
      <x:c r="B69" s="5" t="n"/>
      <x:c r="C69" s="12" t="n"/>
      <x:c r="D69" s="12" t="n"/>
      <x:c r="E69" s="12" t="n"/>
      <x:c r="F69" s="12" t="n"/>
      <x:c r="G69" s="13">
        <x:f>IF(F69="","",IFERROR(VLOOKUP(F69,Master_Data!$E$24:$G$33,2,FALSE),"9999"))</x:f>
      </x:c>
      <x:c r="H69" s="12" t="n"/>
      <x:c r="I69" s="12" t="n"/>
      <x:c r="J69" s="12" t="n"/>
      <x:c r="K69" s="12" t="n"/>
      <x:c r="L69" s="11" t="n"/>
      <x:c r="M69" s="9" t="n"/>
      <x:c r="N69" s="12" t="n"/>
      <x:c r="O69" s="6">
        <x:f>IF(N69="","",IFERROR(VLOOKUP(N69,Master_Data!$A$5:$C$8,3,FALSE),0))</x:f>
      </x:c>
      <x:c r="P69" s="7">
        <x:f>IF(M69="","",M69*O69)</x:f>
      </x:c>
      <x:c r="Q69" s="7">
        <x:f>IF(M69="","",M69+P69)</x:f>
      </x:c>
      <x:c r="R69" s="7">
        <x:f>IF(K69&lt;&gt;"Paid",0,IF(C69="Income",Q69,-Q69))</x:f>
      </x:c>
      <x:c r="S69" s="14">
        <x:f>IF(A69="","",DATE(YEAR(A69),MONTH(A69),1))</x:f>
      </x:c>
      <x:c r="T69" s="14">
        <x:f>IF(L69="","",DATE(YEAR(L69),MONTH(L69),1))</x:f>
      </x:c>
    </x:row>
    <x:row r="70">
      <x:c r="A70" s="11" t="n"/>
      <x:c r="B70" s="5" t="n"/>
      <x:c r="C70" s="12" t="n"/>
      <x:c r="D70" s="12" t="n"/>
      <x:c r="E70" s="12" t="n"/>
      <x:c r="F70" s="12" t="n"/>
      <x:c r="G70" s="13">
        <x:f>IF(F70="","",IFERROR(VLOOKUP(F70,Master_Data!$E$24:$G$33,2,FALSE),"9999"))</x:f>
      </x:c>
      <x:c r="H70" s="12" t="n"/>
      <x:c r="I70" s="12" t="n"/>
      <x:c r="J70" s="12" t="n"/>
      <x:c r="K70" s="12" t="n"/>
      <x:c r="L70" s="11" t="n"/>
      <x:c r="M70" s="9" t="n"/>
      <x:c r="N70" s="12" t="n"/>
      <x:c r="O70" s="6">
        <x:f>IF(N70="","",IFERROR(VLOOKUP(N70,Master_Data!$A$5:$C$8,3,FALSE),0))</x:f>
      </x:c>
      <x:c r="P70" s="7">
        <x:f>IF(M70="","",M70*O70)</x:f>
      </x:c>
      <x:c r="Q70" s="7">
        <x:f>IF(M70="","",M70+P70)</x:f>
      </x:c>
      <x:c r="R70" s="7">
        <x:f>IF(K70&lt;&gt;"Paid",0,IF(C70="Income",Q70,-Q70))</x:f>
      </x:c>
      <x:c r="S70" s="14">
        <x:f>IF(A70="","",DATE(YEAR(A70),MONTH(A70),1))</x:f>
      </x:c>
      <x:c r="T70" s="14">
        <x:f>IF(L70="","",DATE(YEAR(L70),MONTH(L70),1))</x:f>
      </x:c>
    </x:row>
    <x:row r="71">
      <x:c r="A71" s="11" t="n"/>
      <x:c r="B71" s="5" t="n"/>
      <x:c r="C71" s="12" t="n"/>
      <x:c r="D71" s="12" t="n"/>
      <x:c r="E71" s="12" t="n"/>
      <x:c r="F71" s="12" t="n"/>
      <x:c r="G71" s="13">
        <x:f>IF(F71="","",IFERROR(VLOOKUP(F71,Master_Data!$E$24:$G$33,2,FALSE),"9999"))</x:f>
      </x:c>
      <x:c r="H71" s="12" t="n"/>
      <x:c r="I71" s="12" t="n"/>
      <x:c r="J71" s="12" t="n"/>
      <x:c r="K71" s="12" t="n"/>
      <x:c r="L71" s="11" t="n"/>
      <x:c r="M71" s="9" t="n"/>
      <x:c r="N71" s="12" t="n"/>
      <x:c r="O71" s="6">
        <x:f>IF(N71="","",IFERROR(VLOOKUP(N71,Master_Data!$A$5:$C$8,3,FALSE),0))</x:f>
      </x:c>
      <x:c r="P71" s="7">
        <x:f>IF(M71="","",M71*O71)</x:f>
      </x:c>
      <x:c r="Q71" s="7">
        <x:f>IF(M71="","",M71+P71)</x:f>
      </x:c>
      <x:c r="R71" s="7">
        <x:f>IF(K71&lt;&gt;"Paid",0,IF(C71="Income",Q71,-Q71))</x:f>
      </x:c>
      <x:c r="S71" s="14">
        <x:f>IF(A71="","",DATE(YEAR(A71),MONTH(A71),1))</x:f>
      </x:c>
      <x:c r="T71" s="14">
        <x:f>IF(L71="","",DATE(YEAR(L71),MONTH(L71),1))</x:f>
      </x:c>
    </x:row>
    <x:row r="72">
      <x:c r="A72" s="11" t="n"/>
      <x:c r="B72" s="5" t="n"/>
      <x:c r="C72" s="12" t="n"/>
      <x:c r="D72" s="12" t="n"/>
      <x:c r="E72" s="12" t="n"/>
      <x:c r="F72" s="12" t="n"/>
      <x:c r="G72" s="13">
        <x:f>IF(F72="","",IFERROR(VLOOKUP(F72,Master_Data!$E$24:$G$33,2,FALSE),"9999"))</x:f>
      </x:c>
      <x:c r="H72" s="12" t="n"/>
      <x:c r="I72" s="12" t="n"/>
      <x:c r="J72" s="12" t="n"/>
      <x:c r="K72" s="12" t="n"/>
      <x:c r="L72" s="11" t="n"/>
      <x:c r="M72" s="9" t="n"/>
      <x:c r="N72" s="12" t="n"/>
      <x:c r="O72" s="6">
        <x:f>IF(N72="","",IFERROR(VLOOKUP(N72,Master_Data!$A$5:$C$8,3,FALSE),0))</x:f>
      </x:c>
      <x:c r="P72" s="7">
        <x:f>IF(M72="","",M72*O72)</x:f>
      </x:c>
      <x:c r="Q72" s="7">
        <x:f>IF(M72="","",M72+P72)</x:f>
      </x:c>
      <x:c r="R72" s="7">
        <x:f>IF(K72&lt;&gt;"Paid",0,IF(C72="Income",Q72,-Q72))</x:f>
      </x:c>
      <x:c r="S72" s="14">
        <x:f>IF(A72="","",DATE(YEAR(A72),MONTH(A72),1))</x:f>
      </x:c>
      <x:c r="T72" s="14">
        <x:f>IF(L72="","",DATE(YEAR(L72),MONTH(L72),1))</x:f>
      </x:c>
    </x:row>
    <x:row r="73">
      <x:c r="A73" s="11" t="n"/>
      <x:c r="B73" s="5" t="n"/>
      <x:c r="C73" s="12" t="n"/>
      <x:c r="D73" s="12" t="n"/>
      <x:c r="E73" s="12" t="n"/>
      <x:c r="F73" s="12" t="n"/>
      <x:c r="G73" s="13">
        <x:f>IF(F73="","",IFERROR(VLOOKUP(F73,Master_Data!$E$24:$G$33,2,FALSE),"9999"))</x:f>
      </x:c>
      <x:c r="H73" s="12" t="n"/>
      <x:c r="I73" s="12" t="n"/>
      <x:c r="J73" s="12" t="n"/>
      <x:c r="K73" s="12" t="n"/>
      <x:c r="L73" s="11" t="n"/>
      <x:c r="M73" s="9" t="n"/>
      <x:c r="N73" s="12" t="n"/>
      <x:c r="O73" s="6">
        <x:f>IF(N73="","",IFERROR(VLOOKUP(N73,Master_Data!$A$5:$C$8,3,FALSE),0))</x:f>
      </x:c>
      <x:c r="P73" s="7">
        <x:f>IF(M73="","",M73*O73)</x:f>
      </x:c>
      <x:c r="Q73" s="7">
        <x:f>IF(M73="","",M73+P73)</x:f>
      </x:c>
      <x:c r="R73" s="7">
        <x:f>IF(K73&lt;&gt;"Paid",0,IF(C73="Income",Q73,-Q73))</x:f>
      </x:c>
      <x:c r="S73" s="14">
        <x:f>IF(A73="","",DATE(YEAR(A73),MONTH(A73),1))</x:f>
      </x:c>
      <x:c r="T73" s="14">
        <x:f>IF(L73="","",DATE(YEAR(L73),MONTH(L73),1))</x:f>
      </x:c>
    </x:row>
    <x:row r="74">
      <x:c r="A74" s="11" t="n"/>
      <x:c r="B74" s="5" t="n"/>
      <x:c r="C74" s="12" t="n"/>
      <x:c r="D74" s="12" t="n"/>
      <x:c r="E74" s="12" t="n"/>
      <x:c r="F74" s="12" t="n"/>
      <x:c r="G74" s="13">
        <x:f>IF(F74="","",IFERROR(VLOOKUP(F74,Master_Data!$E$24:$G$33,2,FALSE),"9999"))</x:f>
      </x:c>
      <x:c r="H74" s="12" t="n"/>
      <x:c r="I74" s="12" t="n"/>
      <x:c r="J74" s="12" t="n"/>
      <x:c r="K74" s="12" t="n"/>
      <x:c r="L74" s="11" t="n"/>
      <x:c r="M74" s="9" t="n"/>
      <x:c r="N74" s="12" t="n"/>
      <x:c r="O74" s="6">
        <x:f>IF(N74="","",IFERROR(VLOOKUP(N74,Master_Data!$A$5:$C$8,3,FALSE),0))</x:f>
      </x:c>
      <x:c r="P74" s="7">
        <x:f>IF(M74="","",M74*O74)</x:f>
      </x:c>
      <x:c r="Q74" s="7">
        <x:f>IF(M74="","",M74+P74)</x:f>
      </x:c>
      <x:c r="R74" s="7">
        <x:f>IF(K74&lt;&gt;"Paid",0,IF(C74="Income",Q74,-Q74))</x:f>
      </x:c>
      <x:c r="S74" s="14">
        <x:f>IF(A74="","",DATE(YEAR(A74),MONTH(A74),1))</x:f>
      </x:c>
      <x:c r="T74" s="14">
        <x:f>IF(L74="","",DATE(YEAR(L74),MONTH(L74),1))</x:f>
      </x:c>
    </x:row>
    <x:row r="75">
      <x:c r="A75" s="11" t="n"/>
      <x:c r="B75" s="5" t="n"/>
      <x:c r="C75" s="12" t="n"/>
      <x:c r="D75" s="12" t="n"/>
      <x:c r="E75" s="12" t="n"/>
      <x:c r="F75" s="12" t="n"/>
      <x:c r="G75" s="13">
        <x:f>IF(F75="","",IFERROR(VLOOKUP(F75,Master_Data!$E$24:$G$33,2,FALSE),"9999"))</x:f>
      </x:c>
      <x:c r="H75" s="12" t="n"/>
      <x:c r="I75" s="12" t="n"/>
      <x:c r="J75" s="12" t="n"/>
      <x:c r="K75" s="12" t="n"/>
      <x:c r="L75" s="11" t="n"/>
      <x:c r="M75" s="9" t="n"/>
      <x:c r="N75" s="12" t="n"/>
      <x:c r="O75" s="6">
        <x:f>IF(N75="","",IFERROR(VLOOKUP(N75,Master_Data!$A$5:$C$8,3,FALSE),0))</x:f>
      </x:c>
      <x:c r="P75" s="7">
        <x:f>IF(M75="","",M75*O75)</x:f>
      </x:c>
      <x:c r="Q75" s="7">
        <x:f>IF(M75="","",M75+P75)</x:f>
      </x:c>
      <x:c r="R75" s="7">
        <x:f>IF(K75&lt;&gt;"Paid",0,IF(C75="Income",Q75,-Q75))</x:f>
      </x:c>
      <x:c r="S75" s="14">
        <x:f>IF(A75="","",DATE(YEAR(A75),MONTH(A75),1))</x:f>
      </x:c>
      <x:c r="T75" s="14">
        <x:f>IF(L75="","",DATE(YEAR(L75),MONTH(L75),1))</x:f>
      </x:c>
    </x:row>
    <x:row r="76">
      <x:c r="A76" s="11" t="n"/>
      <x:c r="B76" s="5" t="n"/>
      <x:c r="C76" s="12" t="n"/>
      <x:c r="D76" s="12" t="n"/>
      <x:c r="E76" s="12" t="n"/>
      <x:c r="F76" s="12" t="n"/>
      <x:c r="G76" s="13">
        <x:f>IF(F76="","",IFERROR(VLOOKUP(F76,Master_Data!$E$24:$G$33,2,FALSE),"9999"))</x:f>
      </x:c>
      <x:c r="H76" s="12" t="n"/>
      <x:c r="I76" s="12" t="n"/>
      <x:c r="J76" s="12" t="n"/>
      <x:c r="K76" s="12" t="n"/>
      <x:c r="L76" s="11" t="n"/>
      <x:c r="M76" s="9" t="n"/>
      <x:c r="N76" s="12" t="n"/>
      <x:c r="O76" s="6">
        <x:f>IF(N76="","",IFERROR(VLOOKUP(N76,Master_Data!$A$5:$C$8,3,FALSE),0))</x:f>
      </x:c>
      <x:c r="P76" s="7">
        <x:f>IF(M76="","",M76*O76)</x:f>
      </x:c>
      <x:c r="Q76" s="7">
        <x:f>IF(M76="","",M76+P76)</x:f>
      </x:c>
      <x:c r="R76" s="7">
        <x:f>IF(K76&lt;&gt;"Paid",0,IF(C76="Income",Q76,-Q76))</x:f>
      </x:c>
      <x:c r="S76" s="14">
        <x:f>IF(A76="","",DATE(YEAR(A76),MONTH(A76),1))</x:f>
      </x:c>
      <x:c r="T76" s="14">
        <x:f>IF(L76="","",DATE(YEAR(L76),MONTH(L76),1))</x:f>
      </x:c>
    </x:row>
    <x:row r="77">
      <x:c r="A77" s="11" t="n"/>
      <x:c r="B77" s="5" t="n"/>
      <x:c r="C77" s="12" t="n"/>
      <x:c r="D77" s="12" t="n"/>
      <x:c r="E77" s="12" t="n"/>
      <x:c r="F77" s="12" t="n"/>
      <x:c r="G77" s="13">
        <x:f>IF(F77="","",IFERROR(VLOOKUP(F77,Master_Data!$E$24:$G$33,2,FALSE),"9999"))</x:f>
      </x:c>
      <x:c r="H77" s="12" t="n"/>
      <x:c r="I77" s="12" t="n"/>
      <x:c r="J77" s="12" t="n"/>
      <x:c r="K77" s="12" t="n"/>
      <x:c r="L77" s="11" t="n"/>
      <x:c r="M77" s="9" t="n"/>
      <x:c r="N77" s="12" t="n"/>
      <x:c r="O77" s="6">
        <x:f>IF(N77="","",IFERROR(VLOOKUP(N77,Master_Data!$A$5:$C$8,3,FALSE),0))</x:f>
      </x:c>
      <x:c r="P77" s="7">
        <x:f>IF(M77="","",M77*O77)</x:f>
      </x:c>
      <x:c r="Q77" s="7">
        <x:f>IF(M77="","",M77+P77)</x:f>
      </x:c>
      <x:c r="R77" s="7">
        <x:f>IF(K77&lt;&gt;"Paid",0,IF(C77="Income",Q77,-Q77))</x:f>
      </x:c>
      <x:c r="S77" s="14">
        <x:f>IF(A77="","",DATE(YEAR(A77),MONTH(A77),1))</x:f>
      </x:c>
      <x:c r="T77" s="14">
        <x:f>IF(L77="","",DATE(YEAR(L77),MONTH(L77),1))</x:f>
      </x:c>
    </x:row>
    <x:row r="78">
      <x:c r="A78" s="11" t="n"/>
      <x:c r="B78" s="5" t="n"/>
      <x:c r="C78" s="12" t="n"/>
      <x:c r="D78" s="12" t="n"/>
      <x:c r="E78" s="12" t="n"/>
      <x:c r="F78" s="12" t="n"/>
      <x:c r="G78" s="13">
        <x:f>IF(F78="","",IFERROR(VLOOKUP(F78,Master_Data!$E$24:$G$33,2,FALSE),"9999"))</x:f>
      </x:c>
      <x:c r="H78" s="12" t="n"/>
      <x:c r="I78" s="12" t="n"/>
      <x:c r="J78" s="12" t="n"/>
      <x:c r="K78" s="12" t="n"/>
      <x:c r="L78" s="11" t="n"/>
      <x:c r="M78" s="9" t="n"/>
      <x:c r="N78" s="12" t="n"/>
      <x:c r="O78" s="6">
        <x:f>IF(N78="","",IFERROR(VLOOKUP(N78,Master_Data!$A$5:$C$8,3,FALSE),0))</x:f>
      </x:c>
      <x:c r="P78" s="7">
        <x:f>IF(M78="","",M78*O78)</x:f>
      </x:c>
      <x:c r="Q78" s="7">
        <x:f>IF(M78="","",M78+P78)</x:f>
      </x:c>
      <x:c r="R78" s="7">
        <x:f>IF(K78&lt;&gt;"Paid",0,IF(C78="Income",Q78,-Q78))</x:f>
      </x:c>
      <x:c r="S78" s="14">
        <x:f>IF(A78="","",DATE(YEAR(A78),MONTH(A78),1))</x:f>
      </x:c>
      <x:c r="T78" s="14">
        <x:f>IF(L78="","",DATE(YEAR(L78),MONTH(L78),1))</x:f>
      </x:c>
    </x:row>
    <x:row r="79">
      <x:c r="A79" s="11" t="n"/>
      <x:c r="B79" s="5" t="n"/>
      <x:c r="C79" s="12" t="n"/>
      <x:c r="D79" s="12" t="n"/>
      <x:c r="E79" s="12" t="n"/>
      <x:c r="F79" s="12" t="n"/>
      <x:c r="G79" s="13">
        <x:f>IF(F79="","",IFERROR(VLOOKUP(F79,Master_Data!$E$24:$G$33,2,FALSE),"9999"))</x:f>
      </x:c>
      <x:c r="H79" s="12" t="n"/>
      <x:c r="I79" s="12" t="n"/>
      <x:c r="J79" s="12" t="n"/>
      <x:c r="K79" s="12" t="n"/>
      <x:c r="L79" s="11" t="n"/>
      <x:c r="M79" s="9" t="n"/>
      <x:c r="N79" s="12" t="n"/>
      <x:c r="O79" s="6">
        <x:f>IF(N79="","",IFERROR(VLOOKUP(N79,Master_Data!$A$5:$C$8,3,FALSE),0))</x:f>
      </x:c>
      <x:c r="P79" s="7">
        <x:f>IF(M79="","",M79*O79)</x:f>
      </x:c>
      <x:c r="Q79" s="7">
        <x:f>IF(M79="","",M79+P79)</x:f>
      </x:c>
      <x:c r="R79" s="7">
        <x:f>IF(K79&lt;&gt;"Paid",0,IF(C79="Income",Q79,-Q79))</x:f>
      </x:c>
      <x:c r="S79" s="14">
        <x:f>IF(A79="","",DATE(YEAR(A79),MONTH(A79),1))</x:f>
      </x:c>
      <x:c r="T79" s="14">
        <x:f>IF(L79="","",DATE(YEAR(L79),MONTH(L79),1))</x:f>
      </x:c>
    </x:row>
    <x:row r="80">
      <x:c r="A80" s="11" t="n"/>
      <x:c r="B80" s="5" t="n"/>
      <x:c r="C80" s="12" t="n"/>
      <x:c r="D80" s="12" t="n"/>
      <x:c r="E80" s="12" t="n"/>
      <x:c r="F80" s="12" t="n"/>
      <x:c r="G80" s="13">
        <x:f>IF(F80="","",IFERROR(VLOOKUP(F80,Master_Data!$E$24:$G$33,2,FALSE),"9999"))</x:f>
      </x:c>
      <x:c r="H80" s="12" t="n"/>
      <x:c r="I80" s="12" t="n"/>
      <x:c r="J80" s="12" t="n"/>
      <x:c r="K80" s="12" t="n"/>
      <x:c r="L80" s="11" t="n"/>
      <x:c r="M80" s="9" t="n"/>
      <x:c r="N80" s="12" t="n"/>
      <x:c r="O80" s="6">
        <x:f>IF(N80="","",IFERROR(VLOOKUP(N80,Master_Data!$A$5:$C$8,3,FALSE),0))</x:f>
      </x:c>
      <x:c r="P80" s="7">
        <x:f>IF(M80="","",M80*O80)</x:f>
      </x:c>
      <x:c r="Q80" s="7">
        <x:f>IF(M80="","",M80+P80)</x:f>
      </x:c>
      <x:c r="R80" s="7">
        <x:f>IF(K80&lt;&gt;"Paid",0,IF(C80="Income",Q80,-Q80))</x:f>
      </x:c>
      <x:c r="S80" s="14">
        <x:f>IF(A80="","",DATE(YEAR(A80),MONTH(A80),1))</x:f>
      </x:c>
      <x:c r="T80" s="14">
        <x:f>IF(L80="","",DATE(YEAR(L80),MONTH(L80),1))</x:f>
      </x:c>
    </x:row>
    <x:row r="81">
      <x:c r="A81" s="11" t="n"/>
      <x:c r="B81" s="5" t="n"/>
      <x:c r="C81" s="12" t="n"/>
      <x:c r="D81" s="12" t="n"/>
      <x:c r="E81" s="12" t="n"/>
      <x:c r="F81" s="12" t="n"/>
      <x:c r="G81" s="13">
        <x:f>IF(F81="","",IFERROR(VLOOKUP(F81,Master_Data!$E$24:$G$33,2,FALSE),"9999"))</x:f>
      </x:c>
      <x:c r="H81" s="12" t="n"/>
      <x:c r="I81" s="12" t="n"/>
      <x:c r="J81" s="12" t="n"/>
      <x:c r="K81" s="12" t="n"/>
      <x:c r="L81" s="11" t="n"/>
      <x:c r="M81" s="9" t="n"/>
      <x:c r="N81" s="12" t="n"/>
      <x:c r="O81" s="6">
        <x:f>IF(N81="","",IFERROR(VLOOKUP(N81,Master_Data!$A$5:$C$8,3,FALSE),0))</x:f>
      </x:c>
      <x:c r="P81" s="7">
        <x:f>IF(M81="","",M81*O81)</x:f>
      </x:c>
      <x:c r="Q81" s="7">
        <x:f>IF(M81="","",M81+P81)</x:f>
      </x:c>
      <x:c r="R81" s="7">
        <x:f>IF(K81&lt;&gt;"Paid",0,IF(C81="Income",Q81,-Q81))</x:f>
      </x:c>
      <x:c r="S81" s="14">
        <x:f>IF(A81="","",DATE(YEAR(A81),MONTH(A81),1))</x:f>
      </x:c>
      <x:c r="T81" s="14">
        <x:f>IF(L81="","",DATE(YEAR(L81),MONTH(L81),1))</x:f>
      </x:c>
    </x:row>
    <x:row r="82">
      <x:c r="A82" s="11" t="n"/>
      <x:c r="B82" s="5" t="n"/>
      <x:c r="C82" s="12" t="n"/>
      <x:c r="D82" s="12" t="n"/>
      <x:c r="E82" s="12" t="n"/>
      <x:c r="F82" s="12" t="n"/>
      <x:c r="G82" s="13">
        <x:f>IF(F82="","",IFERROR(VLOOKUP(F82,Master_Data!$E$24:$G$33,2,FALSE),"9999"))</x:f>
      </x:c>
      <x:c r="H82" s="12" t="n"/>
      <x:c r="I82" s="12" t="n"/>
      <x:c r="J82" s="12" t="n"/>
      <x:c r="K82" s="12" t="n"/>
      <x:c r="L82" s="11" t="n"/>
      <x:c r="M82" s="9" t="n"/>
      <x:c r="N82" s="12" t="n"/>
      <x:c r="O82" s="6">
        <x:f>IF(N82="","",IFERROR(VLOOKUP(N82,Master_Data!$A$5:$C$8,3,FALSE),0))</x:f>
      </x:c>
      <x:c r="P82" s="7">
        <x:f>IF(M82="","",M82*O82)</x:f>
      </x:c>
      <x:c r="Q82" s="7">
        <x:f>IF(M82="","",M82+P82)</x:f>
      </x:c>
      <x:c r="R82" s="7">
        <x:f>IF(K82&lt;&gt;"Paid",0,IF(C82="Income",Q82,-Q82))</x:f>
      </x:c>
      <x:c r="S82" s="14">
        <x:f>IF(A82="","",DATE(YEAR(A82),MONTH(A82),1))</x:f>
      </x:c>
      <x:c r="T82" s="14">
        <x:f>IF(L82="","",DATE(YEAR(L82),MONTH(L82),1))</x:f>
      </x:c>
    </x:row>
    <x:row r="83">
      <x:c r="A83" s="11" t="n"/>
      <x:c r="B83" s="5" t="n"/>
      <x:c r="C83" s="12" t="n"/>
      <x:c r="D83" s="12" t="n"/>
      <x:c r="E83" s="12" t="n"/>
      <x:c r="F83" s="12" t="n"/>
      <x:c r="G83" s="13">
        <x:f>IF(F83="","",IFERROR(VLOOKUP(F83,Master_Data!$E$24:$G$33,2,FALSE),"9999"))</x:f>
      </x:c>
      <x:c r="H83" s="12" t="n"/>
      <x:c r="I83" s="12" t="n"/>
      <x:c r="J83" s="12" t="n"/>
      <x:c r="K83" s="12" t="n"/>
      <x:c r="L83" s="11" t="n"/>
      <x:c r="M83" s="9" t="n"/>
      <x:c r="N83" s="12" t="n"/>
      <x:c r="O83" s="6">
        <x:f>IF(N83="","",IFERROR(VLOOKUP(N83,Master_Data!$A$5:$C$8,3,FALSE),0))</x:f>
      </x:c>
      <x:c r="P83" s="7">
        <x:f>IF(M83="","",M83*O83)</x:f>
      </x:c>
      <x:c r="Q83" s="7">
        <x:f>IF(M83="","",M83+P83)</x:f>
      </x:c>
      <x:c r="R83" s="7">
        <x:f>IF(K83&lt;&gt;"Paid",0,IF(C83="Income",Q83,-Q83))</x:f>
      </x:c>
      <x:c r="S83" s="14">
        <x:f>IF(A83="","",DATE(YEAR(A83),MONTH(A83),1))</x:f>
      </x:c>
      <x:c r="T83" s="14">
        <x:f>IF(L83="","",DATE(YEAR(L83),MONTH(L83),1))</x:f>
      </x:c>
    </x:row>
    <x:row r="84">
      <x:c r="A84" s="11" t="n"/>
      <x:c r="B84" s="5" t="n"/>
      <x:c r="C84" s="12" t="n"/>
      <x:c r="D84" s="12" t="n"/>
      <x:c r="E84" s="12" t="n"/>
      <x:c r="F84" s="12" t="n"/>
      <x:c r="G84" s="13">
        <x:f>IF(F84="","",IFERROR(VLOOKUP(F84,Master_Data!$E$24:$G$33,2,FALSE),"9999"))</x:f>
      </x:c>
      <x:c r="H84" s="12" t="n"/>
      <x:c r="I84" s="12" t="n"/>
      <x:c r="J84" s="12" t="n"/>
      <x:c r="K84" s="12" t="n"/>
      <x:c r="L84" s="11" t="n"/>
      <x:c r="M84" s="9" t="n"/>
      <x:c r="N84" s="12" t="n"/>
      <x:c r="O84" s="6">
        <x:f>IF(N84="","",IFERROR(VLOOKUP(N84,Master_Data!$A$5:$C$8,3,FALSE),0))</x:f>
      </x:c>
      <x:c r="P84" s="7">
        <x:f>IF(M84="","",M84*O84)</x:f>
      </x:c>
      <x:c r="Q84" s="7">
        <x:f>IF(M84="","",M84+P84)</x:f>
      </x:c>
      <x:c r="R84" s="7">
        <x:f>IF(K84&lt;&gt;"Paid",0,IF(C84="Income",Q84,-Q84))</x:f>
      </x:c>
      <x:c r="S84" s="14">
        <x:f>IF(A84="","",DATE(YEAR(A84),MONTH(A84),1))</x:f>
      </x:c>
      <x:c r="T84" s="14">
        <x:f>IF(L84="","",DATE(YEAR(L84),MONTH(L84),1))</x:f>
      </x:c>
    </x:row>
    <x:row r="85">
      <x:c r="A85" s="11" t="n"/>
      <x:c r="B85" s="5" t="n"/>
      <x:c r="C85" s="12" t="n"/>
      <x:c r="D85" s="12" t="n"/>
      <x:c r="E85" s="12" t="n"/>
      <x:c r="F85" s="12" t="n"/>
      <x:c r="G85" s="13">
        <x:f>IF(F85="","",IFERROR(VLOOKUP(F85,Master_Data!$E$24:$G$33,2,FALSE),"9999"))</x:f>
      </x:c>
      <x:c r="H85" s="12" t="n"/>
      <x:c r="I85" s="12" t="n"/>
      <x:c r="J85" s="12" t="n"/>
      <x:c r="K85" s="12" t="n"/>
      <x:c r="L85" s="11" t="n"/>
      <x:c r="M85" s="9" t="n"/>
      <x:c r="N85" s="12" t="n"/>
      <x:c r="O85" s="6">
        <x:f>IF(N85="","",IFERROR(VLOOKUP(N85,Master_Data!$A$5:$C$8,3,FALSE),0))</x:f>
      </x:c>
      <x:c r="P85" s="7">
        <x:f>IF(M85="","",M85*O85)</x:f>
      </x:c>
      <x:c r="Q85" s="7">
        <x:f>IF(M85="","",M85+P85)</x:f>
      </x:c>
      <x:c r="R85" s="7">
        <x:f>IF(K85&lt;&gt;"Paid",0,IF(C85="Income",Q85,-Q85))</x:f>
      </x:c>
      <x:c r="S85" s="14">
        <x:f>IF(A85="","",DATE(YEAR(A85),MONTH(A85),1))</x:f>
      </x:c>
      <x:c r="T85" s="14">
        <x:f>IF(L85="","",DATE(YEAR(L85),MONTH(L85),1))</x:f>
      </x:c>
    </x:row>
    <x:row r="86">
      <x:c r="A86" s="11" t="n"/>
      <x:c r="B86" s="5" t="n"/>
      <x:c r="C86" s="12" t="n"/>
      <x:c r="D86" s="12" t="n"/>
      <x:c r="E86" s="12" t="n"/>
      <x:c r="F86" s="12" t="n"/>
      <x:c r="G86" s="13">
        <x:f>IF(F86="","",IFERROR(VLOOKUP(F86,Master_Data!$E$24:$G$33,2,FALSE),"9999"))</x:f>
      </x:c>
      <x:c r="H86" s="12" t="n"/>
      <x:c r="I86" s="12" t="n"/>
      <x:c r="J86" s="12" t="n"/>
      <x:c r="K86" s="12" t="n"/>
      <x:c r="L86" s="11" t="n"/>
      <x:c r="M86" s="9" t="n"/>
      <x:c r="N86" s="12" t="n"/>
      <x:c r="O86" s="6">
        <x:f>IF(N86="","",IFERROR(VLOOKUP(N86,Master_Data!$A$5:$C$8,3,FALSE),0))</x:f>
      </x:c>
      <x:c r="P86" s="7">
        <x:f>IF(M86="","",M86*O86)</x:f>
      </x:c>
      <x:c r="Q86" s="7">
        <x:f>IF(M86="","",M86+P86)</x:f>
      </x:c>
      <x:c r="R86" s="7">
        <x:f>IF(K86&lt;&gt;"Paid",0,IF(C86="Income",Q86,-Q86))</x:f>
      </x:c>
      <x:c r="S86" s="14">
        <x:f>IF(A86="","",DATE(YEAR(A86),MONTH(A86),1))</x:f>
      </x:c>
      <x:c r="T86" s="14">
        <x:f>IF(L86="","",DATE(YEAR(L86),MONTH(L86),1))</x:f>
      </x:c>
    </x:row>
    <x:row r="87">
      <x:c r="A87" s="11" t="n"/>
      <x:c r="B87" s="5" t="n"/>
      <x:c r="C87" s="12" t="n"/>
      <x:c r="D87" s="12" t="n"/>
      <x:c r="E87" s="12" t="n"/>
      <x:c r="F87" s="12" t="n"/>
      <x:c r="G87" s="13">
        <x:f>IF(F87="","",IFERROR(VLOOKUP(F87,Master_Data!$E$24:$G$33,2,FALSE),"9999"))</x:f>
      </x:c>
      <x:c r="H87" s="12" t="n"/>
      <x:c r="I87" s="12" t="n"/>
      <x:c r="J87" s="12" t="n"/>
      <x:c r="K87" s="12" t="n"/>
      <x:c r="L87" s="11" t="n"/>
      <x:c r="M87" s="9" t="n"/>
      <x:c r="N87" s="12" t="n"/>
      <x:c r="O87" s="6">
        <x:f>IF(N87="","",IFERROR(VLOOKUP(N87,Master_Data!$A$5:$C$8,3,FALSE),0))</x:f>
      </x:c>
      <x:c r="P87" s="7">
        <x:f>IF(M87="","",M87*O87)</x:f>
      </x:c>
      <x:c r="Q87" s="7">
        <x:f>IF(M87="","",M87+P87)</x:f>
      </x:c>
      <x:c r="R87" s="7">
        <x:f>IF(K87&lt;&gt;"Paid",0,IF(C87="Income",Q87,-Q87))</x:f>
      </x:c>
      <x:c r="S87" s="14">
        <x:f>IF(A87="","",DATE(YEAR(A87),MONTH(A87),1))</x:f>
      </x:c>
      <x:c r="T87" s="14">
        <x:f>IF(L87="","",DATE(YEAR(L87),MONTH(L87),1))</x:f>
      </x:c>
    </x:row>
    <x:row r="88">
      <x:c r="A88" s="11" t="n"/>
      <x:c r="B88" s="5" t="n"/>
      <x:c r="C88" s="12" t="n"/>
      <x:c r="D88" s="12" t="n"/>
      <x:c r="E88" s="12" t="n"/>
      <x:c r="F88" s="12" t="n"/>
      <x:c r="G88" s="13">
        <x:f>IF(F88="","",IFERROR(VLOOKUP(F88,Master_Data!$E$24:$G$33,2,FALSE),"9999"))</x:f>
      </x:c>
      <x:c r="H88" s="12" t="n"/>
      <x:c r="I88" s="12" t="n"/>
      <x:c r="J88" s="12" t="n"/>
      <x:c r="K88" s="12" t="n"/>
      <x:c r="L88" s="11" t="n"/>
      <x:c r="M88" s="9" t="n"/>
      <x:c r="N88" s="12" t="n"/>
      <x:c r="O88" s="6">
        <x:f>IF(N88="","",IFERROR(VLOOKUP(N88,Master_Data!$A$5:$C$8,3,FALSE),0))</x:f>
      </x:c>
      <x:c r="P88" s="7">
        <x:f>IF(M88="","",M88*O88)</x:f>
      </x:c>
      <x:c r="Q88" s="7">
        <x:f>IF(M88="","",M88+P88)</x:f>
      </x:c>
      <x:c r="R88" s="7">
        <x:f>IF(K88&lt;&gt;"Paid",0,IF(C88="Income",Q88,-Q88))</x:f>
      </x:c>
      <x:c r="S88" s="14">
        <x:f>IF(A88="","",DATE(YEAR(A88),MONTH(A88),1))</x:f>
      </x:c>
      <x:c r="T88" s="14">
        <x:f>IF(L88="","",DATE(YEAR(L88),MONTH(L88),1))</x:f>
      </x:c>
    </x:row>
    <x:row r="89">
      <x:c r="A89" s="11" t="n"/>
      <x:c r="B89" s="5" t="n"/>
      <x:c r="C89" s="12" t="n"/>
      <x:c r="D89" s="12" t="n"/>
      <x:c r="E89" s="12" t="n"/>
      <x:c r="F89" s="12" t="n"/>
      <x:c r="G89" s="13">
        <x:f>IF(F89="","",IFERROR(VLOOKUP(F89,Master_Data!$E$24:$G$33,2,FALSE),"9999"))</x:f>
      </x:c>
      <x:c r="H89" s="12" t="n"/>
      <x:c r="I89" s="12" t="n"/>
      <x:c r="J89" s="12" t="n"/>
      <x:c r="K89" s="12" t="n"/>
      <x:c r="L89" s="11" t="n"/>
      <x:c r="M89" s="9" t="n"/>
      <x:c r="N89" s="12" t="n"/>
      <x:c r="O89" s="6">
        <x:f>IF(N89="","",IFERROR(VLOOKUP(N89,Master_Data!$A$5:$C$8,3,FALSE),0))</x:f>
      </x:c>
      <x:c r="P89" s="7">
        <x:f>IF(M89="","",M89*O89)</x:f>
      </x:c>
      <x:c r="Q89" s="7">
        <x:f>IF(M89="","",M89+P89)</x:f>
      </x:c>
      <x:c r="R89" s="7">
        <x:f>IF(K89&lt;&gt;"Paid",0,IF(C89="Income",Q89,-Q89))</x:f>
      </x:c>
      <x:c r="S89" s="14">
        <x:f>IF(A89="","",DATE(YEAR(A89),MONTH(A89),1))</x:f>
      </x:c>
      <x:c r="T89" s="14">
        <x:f>IF(L89="","",DATE(YEAR(L89),MONTH(L89),1))</x:f>
      </x:c>
    </x:row>
    <x:row r="90">
      <x:c r="A90" s="11" t="n"/>
      <x:c r="B90" s="5" t="n"/>
      <x:c r="C90" s="12" t="n"/>
      <x:c r="D90" s="12" t="n"/>
      <x:c r="E90" s="12" t="n"/>
      <x:c r="F90" s="12" t="n"/>
      <x:c r="G90" s="13">
        <x:f>IF(F90="","",IFERROR(VLOOKUP(F90,Master_Data!$E$24:$G$33,2,FALSE),"9999"))</x:f>
      </x:c>
      <x:c r="H90" s="12" t="n"/>
      <x:c r="I90" s="12" t="n"/>
      <x:c r="J90" s="12" t="n"/>
      <x:c r="K90" s="12" t="n"/>
      <x:c r="L90" s="11" t="n"/>
      <x:c r="M90" s="9" t="n"/>
      <x:c r="N90" s="12" t="n"/>
      <x:c r="O90" s="6">
        <x:f>IF(N90="","",IFERROR(VLOOKUP(N90,Master_Data!$A$5:$C$8,3,FALSE),0))</x:f>
      </x:c>
      <x:c r="P90" s="7">
        <x:f>IF(M90="","",M90*O90)</x:f>
      </x:c>
      <x:c r="Q90" s="7">
        <x:f>IF(M90="","",M90+P90)</x:f>
      </x:c>
      <x:c r="R90" s="7">
        <x:f>IF(K90&lt;&gt;"Paid",0,IF(C90="Income",Q90,-Q90))</x:f>
      </x:c>
      <x:c r="S90" s="14">
        <x:f>IF(A90="","",DATE(YEAR(A90),MONTH(A90),1))</x:f>
      </x:c>
      <x:c r="T90" s="14">
        <x:f>IF(L90="","",DATE(YEAR(L90),MONTH(L90),1))</x:f>
      </x:c>
    </x:row>
    <x:row r="91">
      <x:c r="A91" s="11" t="n"/>
      <x:c r="B91" s="5" t="n"/>
      <x:c r="C91" s="12" t="n"/>
      <x:c r="D91" s="12" t="n"/>
      <x:c r="E91" s="12" t="n"/>
      <x:c r="F91" s="12" t="n"/>
      <x:c r="G91" s="13">
        <x:f>IF(F91="","",IFERROR(VLOOKUP(F91,Master_Data!$E$24:$G$33,2,FALSE),"9999"))</x:f>
      </x:c>
      <x:c r="H91" s="12" t="n"/>
      <x:c r="I91" s="12" t="n"/>
      <x:c r="J91" s="12" t="n"/>
      <x:c r="K91" s="12" t="n"/>
      <x:c r="L91" s="11" t="n"/>
      <x:c r="M91" s="9" t="n"/>
      <x:c r="N91" s="12" t="n"/>
      <x:c r="O91" s="6">
        <x:f>IF(N91="","",IFERROR(VLOOKUP(N91,Master_Data!$A$5:$C$8,3,FALSE),0))</x:f>
      </x:c>
      <x:c r="P91" s="7">
        <x:f>IF(M91="","",M91*O91)</x:f>
      </x:c>
      <x:c r="Q91" s="7">
        <x:f>IF(M91="","",M91+P91)</x:f>
      </x:c>
      <x:c r="R91" s="7">
        <x:f>IF(K91&lt;&gt;"Paid",0,IF(C91="Income",Q91,-Q91))</x:f>
      </x:c>
      <x:c r="S91" s="14">
        <x:f>IF(A91="","",DATE(YEAR(A91),MONTH(A91),1))</x:f>
      </x:c>
      <x:c r="T91" s="14">
        <x:f>IF(L91="","",DATE(YEAR(L91),MONTH(L91),1))</x:f>
      </x:c>
    </x:row>
    <x:row r="92">
      <x:c r="A92" s="11" t="n"/>
      <x:c r="B92" s="5" t="n"/>
      <x:c r="C92" s="12" t="n"/>
      <x:c r="D92" s="12" t="n"/>
      <x:c r="E92" s="12" t="n"/>
      <x:c r="F92" s="12" t="n"/>
      <x:c r="G92" s="13">
        <x:f>IF(F92="","",IFERROR(VLOOKUP(F92,Master_Data!$E$24:$G$33,2,FALSE),"9999"))</x:f>
      </x:c>
      <x:c r="H92" s="12" t="n"/>
      <x:c r="I92" s="12" t="n"/>
      <x:c r="J92" s="12" t="n"/>
      <x:c r="K92" s="12" t="n"/>
      <x:c r="L92" s="11" t="n"/>
      <x:c r="M92" s="9" t="n"/>
      <x:c r="N92" s="12" t="n"/>
      <x:c r="O92" s="6">
        <x:f>IF(N92="","",IFERROR(VLOOKUP(N92,Master_Data!$A$5:$C$8,3,FALSE),0))</x:f>
      </x:c>
      <x:c r="P92" s="7">
        <x:f>IF(M92="","",M92*O92)</x:f>
      </x:c>
      <x:c r="Q92" s="7">
        <x:f>IF(M92="","",M92+P92)</x:f>
      </x:c>
      <x:c r="R92" s="7">
        <x:f>IF(K92&lt;&gt;"Paid",0,IF(C92="Income",Q92,-Q92))</x:f>
      </x:c>
      <x:c r="S92" s="14">
        <x:f>IF(A92="","",DATE(YEAR(A92),MONTH(A92),1))</x:f>
      </x:c>
      <x:c r="T92" s="14">
        <x:f>IF(L92="","",DATE(YEAR(L92),MONTH(L92),1))</x:f>
      </x:c>
    </x:row>
    <x:row r="93">
      <x:c r="A93" s="11" t="n"/>
      <x:c r="B93" s="5" t="n"/>
      <x:c r="C93" s="12" t="n"/>
      <x:c r="D93" s="12" t="n"/>
      <x:c r="E93" s="12" t="n"/>
      <x:c r="F93" s="12" t="n"/>
      <x:c r="G93" s="13">
        <x:f>IF(F93="","",IFERROR(VLOOKUP(F93,Master_Data!$E$24:$G$33,2,FALSE),"9999"))</x:f>
      </x:c>
      <x:c r="H93" s="12" t="n"/>
      <x:c r="I93" s="12" t="n"/>
      <x:c r="J93" s="12" t="n"/>
      <x:c r="K93" s="12" t="n"/>
      <x:c r="L93" s="11" t="n"/>
      <x:c r="M93" s="9" t="n"/>
      <x:c r="N93" s="12" t="n"/>
      <x:c r="O93" s="6">
        <x:f>IF(N93="","",IFERROR(VLOOKUP(N93,Master_Data!$A$5:$C$8,3,FALSE),0))</x:f>
      </x:c>
      <x:c r="P93" s="7">
        <x:f>IF(M93="","",M93*O93)</x:f>
      </x:c>
      <x:c r="Q93" s="7">
        <x:f>IF(M93="","",M93+P93)</x:f>
      </x:c>
      <x:c r="R93" s="7">
        <x:f>IF(K93&lt;&gt;"Paid",0,IF(C93="Income",Q93,-Q93))</x:f>
      </x:c>
      <x:c r="S93" s="14">
        <x:f>IF(A93="","",DATE(YEAR(A93),MONTH(A93),1))</x:f>
      </x:c>
      <x:c r="T93" s="14">
        <x:f>IF(L93="","",DATE(YEAR(L93),MONTH(L93),1))</x:f>
      </x:c>
    </x:row>
    <x:row r="94">
      <x:c r="A94" s="11" t="n"/>
      <x:c r="B94" s="5" t="n"/>
      <x:c r="C94" s="12" t="n"/>
      <x:c r="D94" s="12" t="n"/>
      <x:c r="E94" s="12" t="n"/>
      <x:c r="F94" s="12" t="n"/>
      <x:c r="G94" s="13">
        <x:f>IF(F94="","",IFERROR(VLOOKUP(F94,Master_Data!$E$24:$G$33,2,FALSE),"9999"))</x:f>
      </x:c>
      <x:c r="H94" s="12" t="n"/>
      <x:c r="I94" s="12" t="n"/>
      <x:c r="J94" s="12" t="n"/>
      <x:c r="K94" s="12" t="n"/>
      <x:c r="L94" s="11" t="n"/>
      <x:c r="M94" s="9" t="n"/>
      <x:c r="N94" s="12" t="n"/>
      <x:c r="O94" s="6">
        <x:f>IF(N94="","",IFERROR(VLOOKUP(N94,Master_Data!$A$5:$C$8,3,FALSE),0))</x:f>
      </x:c>
      <x:c r="P94" s="7">
        <x:f>IF(M94="","",M94*O94)</x:f>
      </x:c>
      <x:c r="Q94" s="7">
        <x:f>IF(M94="","",M94+P94)</x:f>
      </x:c>
      <x:c r="R94" s="7">
        <x:f>IF(K94&lt;&gt;"Paid",0,IF(C94="Income",Q94,-Q94))</x:f>
      </x:c>
      <x:c r="S94" s="14">
        <x:f>IF(A94="","",DATE(YEAR(A94),MONTH(A94),1))</x:f>
      </x:c>
      <x:c r="T94" s="14">
        <x:f>IF(L94="","",DATE(YEAR(L94),MONTH(L94),1))</x:f>
      </x:c>
    </x:row>
    <x:row r="95">
      <x:c r="A95" s="11" t="n"/>
      <x:c r="B95" s="5" t="n"/>
      <x:c r="C95" s="12" t="n"/>
      <x:c r="D95" s="12" t="n"/>
      <x:c r="E95" s="12" t="n"/>
      <x:c r="F95" s="12" t="n"/>
      <x:c r="G95" s="13">
        <x:f>IF(F95="","",IFERROR(VLOOKUP(F95,Master_Data!$E$24:$G$33,2,FALSE),"9999"))</x:f>
      </x:c>
      <x:c r="H95" s="12" t="n"/>
      <x:c r="I95" s="12" t="n"/>
      <x:c r="J95" s="12" t="n"/>
      <x:c r="K95" s="12" t="n"/>
      <x:c r="L95" s="11" t="n"/>
      <x:c r="M95" s="9" t="n"/>
      <x:c r="N95" s="12" t="n"/>
      <x:c r="O95" s="6">
        <x:f>IF(N95="","",IFERROR(VLOOKUP(N95,Master_Data!$A$5:$C$8,3,FALSE),0))</x:f>
      </x:c>
      <x:c r="P95" s="7">
        <x:f>IF(M95="","",M95*O95)</x:f>
      </x:c>
      <x:c r="Q95" s="7">
        <x:f>IF(M95="","",M95+P95)</x:f>
      </x:c>
      <x:c r="R95" s="7">
        <x:f>IF(K95&lt;&gt;"Paid",0,IF(C95="Income",Q95,-Q95))</x:f>
      </x:c>
      <x:c r="S95" s="14">
        <x:f>IF(A95="","",DATE(YEAR(A95),MONTH(A95),1))</x:f>
      </x:c>
      <x:c r="T95" s="14">
        <x:f>IF(L95="","",DATE(YEAR(L95),MONTH(L95),1))</x:f>
      </x:c>
    </x:row>
    <x:row r="96">
      <x:c r="A96" s="11" t="n"/>
      <x:c r="B96" s="5" t="n"/>
      <x:c r="C96" s="12" t="n"/>
      <x:c r="D96" s="12" t="n"/>
      <x:c r="E96" s="12" t="n"/>
      <x:c r="F96" s="12" t="n"/>
      <x:c r="G96" s="13">
        <x:f>IF(F96="","",IFERROR(VLOOKUP(F96,Master_Data!$E$24:$G$33,2,FALSE),"9999"))</x:f>
      </x:c>
      <x:c r="H96" s="12" t="n"/>
      <x:c r="I96" s="12" t="n"/>
      <x:c r="J96" s="12" t="n"/>
      <x:c r="K96" s="12" t="n"/>
      <x:c r="L96" s="11" t="n"/>
      <x:c r="M96" s="9" t="n"/>
      <x:c r="N96" s="12" t="n"/>
      <x:c r="O96" s="6">
        <x:f>IF(N96="","",IFERROR(VLOOKUP(N96,Master_Data!$A$5:$C$8,3,FALSE),0))</x:f>
      </x:c>
      <x:c r="P96" s="7">
        <x:f>IF(M96="","",M96*O96)</x:f>
      </x:c>
      <x:c r="Q96" s="7">
        <x:f>IF(M96="","",M96+P96)</x:f>
      </x:c>
      <x:c r="R96" s="7">
        <x:f>IF(K96&lt;&gt;"Paid",0,IF(C96="Income",Q96,-Q96))</x:f>
      </x:c>
      <x:c r="S96" s="14">
        <x:f>IF(A96="","",DATE(YEAR(A96),MONTH(A96),1))</x:f>
      </x:c>
      <x:c r="T96" s="14">
        <x:f>IF(L96="","",DATE(YEAR(L96),MONTH(L96),1))</x:f>
      </x:c>
    </x:row>
    <x:row r="97">
      <x:c r="A97" s="11" t="n"/>
      <x:c r="B97" s="5" t="n"/>
      <x:c r="C97" s="12" t="n"/>
      <x:c r="D97" s="12" t="n"/>
      <x:c r="E97" s="12" t="n"/>
      <x:c r="F97" s="12" t="n"/>
      <x:c r="G97" s="13">
        <x:f>IF(F97="","",IFERROR(VLOOKUP(F97,Master_Data!$E$24:$G$33,2,FALSE),"9999"))</x:f>
      </x:c>
      <x:c r="H97" s="12" t="n"/>
      <x:c r="I97" s="12" t="n"/>
      <x:c r="J97" s="12" t="n"/>
      <x:c r="K97" s="12" t="n"/>
      <x:c r="L97" s="11" t="n"/>
      <x:c r="M97" s="9" t="n"/>
      <x:c r="N97" s="12" t="n"/>
      <x:c r="O97" s="6">
        <x:f>IF(N97="","",IFERROR(VLOOKUP(N97,Master_Data!$A$5:$C$8,3,FALSE),0))</x:f>
      </x:c>
      <x:c r="P97" s="7">
        <x:f>IF(M97="","",M97*O97)</x:f>
      </x:c>
      <x:c r="Q97" s="7">
        <x:f>IF(M97="","",M97+P97)</x:f>
      </x:c>
      <x:c r="R97" s="7">
        <x:f>IF(K97&lt;&gt;"Paid",0,IF(C97="Income",Q97,-Q97))</x:f>
      </x:c>
      <x:c r="S97" s="14">
        <x:f>IF(A97="","",DATE(YEAR(A97),MONTH(A97),1))</x:f>
      </x:c>
      <x:c r="T97" s="14">
        <x:f>IF(L97="","",DATE(YEAR(L97),MONTH(L97),1))</x:f>
      </x:c>
    </x:row>
    <x:row r="98">
      <x:c r="A98" s="11" t="n"/>
      <x:c r="B98" s="5" t="n"/>
      <x:c r="C98" s="12" t="n"/>
      <x:c r="D98" s="12" t="n"/>
      <x:c r="E98" s="12" t="n"/>
      <x:c r="F98" s="12" t="n"/>
      <x:c r="G98" s="13">
        <x:f>IF(F98="","",IFERROR(VLOOKUP(F98,Master_Data!$E$24:$G$33,2,FALSE),"9999"))</x:f>
      </x:c>
      <x:c r="H98" s="12" t="n"/>
      <x:c r="I98" s="12" t="n"/>
      <x:c r="J98" s="12" t="n"/>
      <x:c r="K98" s="12" t="n"/>
      <x:c r="L98" s="11" t="n"/>
      <x:c r="M98" s="9" t="n"/>
      <x:c r="N98" s="12" t="n"/>
      <x:c r="O98" s="6">
        <x:f>IF(N98="","",IFERROR(VLOOKUP(N98,Master_Data!$A$5:$C$8,3,FALSE),0))</x:f>
      </x:c>
      <x:c r="P98" s="7">
        <x:f>IF(M98="","",M98*O98)</x:f>
      </x:c>
      <x:c r="Q98" s="7">
        <x:f>IF(M98="","",M98+P98)</x:f>
      </x:c>
      <x:c r="R98" s="7">
        <x:f>IF(K98&lt;&gt;"Paid",0,IF(C98="Income",Q98,-Q98))</x:f>
      </x:c>
      <x:c r="S98" s="14">
        <x:f>IF(A98="","",DATE(YEAR(A98),MONTH(A98),1))</x:f>
      </x:c>
      <x:c r="T98" s="14">
        <x:f>IF(L98="","",DATE(YEAR(L98),MONTH(L98),1))</x:f>
      </x:c>
    </x:row>
    <x:row r="99">
      <x:c r="A99" s="11" t="n"/>
      <x:c r="B99" s="5" t="n"/>
      <x:c r="C99" s="12" t="n"/>
      <x:c r="D99" s="12" t="n"/>
      <x:c r="E99" s="12" t="n"/>
      <x:c r="F99" s="12" t="n"/>
      <x:c r="G99" s="13">
        <x:f>IF(F99="","",IFERROR(VLOOKUP(F99,Master_Data!$E$24:$G$33,2,FALSE),"9999"))</x:f>
      </x:c>
      <x:c r="H99" s="12" t="n"/>
      <x:c r="I99" s="12" t="n"/>
      <x:c r="J99" s="12" t="n"/>
      <x:c r="K99" s="12" t="n"/>
      <x:c r="L99" s="11" t="n"/>
      <x:c r="M99" s="9" t="n"/>
      <x:c r="N99" s="12" t="n"/>
      <x:c r="O99" s="6">
        <x:f>IF(N99="","",IFERROR(VLOOKUP(N99,Master_Data!$A$5:$C$8,3,FALSE),0))</x:f>
      </x:c>
      <x:c r="P99" s="7">
        <x:f>IF(M99="","",M99*O99)</x:f>
      </x:c>
      <x:c r="Q99" s="7">
        <x:f>IF(M99="","",M99+P99)</x:f>
      </x:c>
      <x:c r="R99" s="7">
        <x:f>IF(K99&lt;&gt;"Paid",0,IF(C99="Income",Q99,-Q99))</x:f>
      </x:c>
      <x:c r="S99" s="14">
        <x:f>IF(A99="","",DATE(YEAR(A99),MONTH(A99),1))</x:f>
      </x:c>
      <x:c r="T99" s="14">
        <x:f>IF(L99="","",DATE(YEAR(L99),MONTH(L99),1))</x:f>
      </x:c>
    </x:row>
    <x:row r="100">
      <x:c r="A100" s="11" t="n"/>
      <x:c r="B100" s="5" t="n"/>
      <x:c r="C100" s="12" t="n"/>
      <x:c r="D100" s="12" t="n"/>
      <x:c r="E100" s="12" t="n"/>
      <x:c r="F100" s="12" t="n"/>
      <x:c r="G100" s="13">
        <x:f>IF(F100="","",IFERROR(VLOOKUP(F100,Master_Data!$E$24:$G$33,2,FALSE),"9999"))</x:f>
      </x:c>
      <x:c r="H100" s="12" t="n"/>
      <x:c r="I100" s="12" t="n"/>
      <x:c r="J100" s="12" t="n"/>
      <x:c r="K100" s="12" t="n"/>
      <x:c r="L100" s="11" t="n"/>
      <x:c r="M100" s="9" t="n"/>
      <x:c r="N100" s="12" t="n"/>
      <x:c r="O100" s="6">
        <x:f>IF(N100="","",IFERROR(VLOOKUP(N100,Master_Data!$A$5:$C$8,3,FALSE),0))</x:f>
      </x:c>
      <x:c r="P100" s="7">
        <x:f>IF(M100="","",M100*O100)</x:f>
      </x:c>
      <x:c r="Q100" s="7">
        <x:f>IF(M100="","",M100+P100)</x:f>
      </x:c>
      <x:c r="R100" s="7">
        <x:f>IF(K100&lt;&gt;"Paid",0,IF(C100="Income",Q100,-Q100))</x:f>
      </x:c>
      <x:c r="S100" s="14">
        <x:f>IF(A100="","",DATE(YEAR(A100),MONTH(A100),1))</x:f>
      </x:c>
      <x:c r="T100" s="14">
        <x:f>IF(L100="","",DATE(YEAR(L100),MONTH(L100),1))</x:f>
      </x:c>
    </x:row>
    <x:row r="101">
      <x:c r="A101" s="11" t="n"/>
      <x:c r="B101" s="5" t="n"/>
      <x:c r="C101" s="12" t="n"/>
      <x:c r="D101" s="12" t="n"/>
      <x:c r="E101" s="12" t="n"/>
      <x:c r="F101" s="12" t="n"/>
      <x:c r="G101" s="13">
        <x:f>IF(F101="","",IFERROR(VLOOKUP(F101,Master_Data!$E$24:$G$33,2,FALSE),"9999"))</x:f>
      </x:c>
      <x:c r="H101" s="12" t="n"/>
      <x:c r="I101" s="12" t="n"/>
      <x:c r="J101" s="12" t="n"/>
      <x:c r="K101" s="12" t="n"/>
      <x:c r="L101" s="11" t="n"/>
      <x:c r="M101" s="9" t="n"/>
      <x:c r="N101" s="12" t="n"/>
      <x:c r="O101" s="6">
        <x:f>IF(N101="","",IFERROR(VLOOKUP(N101,Master_Data!$A$5:$C$8,3,FALSE),0))</x:f>
      </x:c>
      <x:c r="P101" s="7">
        <x:f>IF(M101="","",M101*O101)</x:f>
      </x:c>
      <x:c r="Q101" s="7">
        <x:f>IF(M101="","",M101+P101)</x:f>
      </x:c>
      <x:c r="R101" s="7">
        <x:f>IF(K101&lt;&gt;"Paid",0,IF(C101="Income",Q101,-Q101))</x:f>
      </x:c>
      <x:c r="S101" s="14">
        <x:f>IF(A101="","",DATE(YEAR(A101),MONTH(A101),1))</x:f>
      </x:c>
      <x:c r="T101" s="14">
        <x:f>IF(L101="","",DATE(YEAR(L101),MONTH(L101),1))</x:f>
      </x:c>
    </x:row>
    <x:row r="102">
      <x:c r="A102" s="11" t="n"/>
      <x:c r="B102" s="5" t="n"/>
      <x:c r="C102" s="12" t="n"/>
      <x:c r="D102" s="12" t="n"/>
      <x:c r="E102" s="12" t="n"/>
      <x:c r="F102" s="12" t="n"/>
      <x:c r="G102" s="13">
        <x:f>IF(F102="","",IFERROR(VLOOKUP(F102,Master_Data!$E$24:$G$33,2,FALSE),"9999"))</x:f>
      </x:c>
      <x:c r="H102" s="12" t="n"/>
      <x:c r="I102" s="12" t="n"/>
      <x:c r="J102" s="12" t="n"/>
      <x:c r="K102" s="12" t="n"/>
      <x:c r="L102" s="11" t="n"/>
      <x:c r="M102" s="9" t="n"/>
      <x:c r="N102" s="12" t="n"/>
      <x:c r="O102" s="6">
        <x:f>IF(N102="","",IFERROR(VLOOKUP(N102,Master_Data!$A$5:$C$8,3,FALSE),0))</x:f>
      </x:c>
      <x:c r="P102" s="7">
        <x:f>IF(M102="","",M102*O102)</x:f>
      </x:c>
      <x:c r="Q102" s="7">
        <x:f>IF(M102="","",M102+P102)</x:f>
      </x:c>
      <x:c r="R102" s="7">
        <x:f>IF(K102&lt;&gt;"Paid",0,IF(C102="Income",Q102,-Q102))</x:f>
      </x:c>
      <x:c r="S102" s="14">
        <x:f>IF(A102="","",DATE(YEAR(A102),MONTH(A102),1))</x:f>
      </x:c>
      <x:c r="T102" s="14">
        <x:f>IF(L102="","",DATE(YEAR(L102),MONTH(L102),1))</x:f>
      </x:c>
    </x:row>
    <x:row r="103">
      <x:c r="A103" s="11" t="n"/>
      <x:c r="B103" s="5" t="n"/>
      <x:c r="C103" s="12" t="n"/>
      <x:c r="D103" s="12" t="n"/>
      <x:c r="E103" s="12" t="n"/>
      <x:c r="F103" s="12" t="n"/>
      <x:c r="G103" s="13">
        <x:f>IF(F103="","",IFERROR(VLOOKUP(F103,Master_Data!$E$24:$G$33,2,FALSE),"9999"))</x:f>
      </x:c>
      <x:c r="H103" s="12" t="n"/>
      <x:c r="I103" s="12" t="n"/>
      <x:c r="J103" s="12" t="n"/>
      <x:c r="K103" s="12" t="n"/>
      <x:c r="L103" s="11" t="n"/>
      <x:c r="M103" s="9" t="n"/>
      <x:c r="N103" s="12" t="n"/>
      <x:c r="O103" s="6">
        <x:f>IF(N103="","",IFERROR(VLOOKUP(N103,Master_Data!$A$5:$C$8,3,FALSE),0))</x:f>
      </x:c>
      <x:c r="P103" s="7">
        <x:f>IF(M103="","",M103*O103)</x:f>
      </x:c>
      <x:c r="Q103" s="7">
        <x:f>IF(M103="","",M103+P103)</x:f>
      </x:c>
      <x:c r="R103" s="7">
        <x:f>IF(K103&lt;&gt;"Paid",0,IF(C103="Income",Q103,-Q103))</x:f>
      </x:c>
      <x:c r="S103" s="14">
        <x:f>IF(A103="","",DATE(YEAR(A103),MONTH(A103),1))</x:f>
      </x:c>
      <x:c r="T103" s="14">
        <x:f>IF(L103="","",DATE(YEAR(L103),MONTH(L103),1))</x:f>
      </x:c>
    </x:row>
    <x:row r="104">
      <x:c r="A104" s="11" t="n"/>
      <x:c r="B104" s="5" t="n"/>
      <x:c r="C104" s="12" t="n"/>
      <x:c r="D104" s="12" t="n"/>
      <x:c r="E104" s="12" t="n"/>
      <x:c r="F104" s="12" t="n"/>
      <x:c r="G104" s="13">
        <x:f>IF(F104="","",IFERROR(VLOOKUP(F104,Master_Data!$E$24:$G$33,2,FALSE),"9999"))</x:f>
      </x:c>
      <x:c r="H104" s="12" t="n"/>
      <x:c r="I104" s="12" t="n"/>
      <x:c r="J104" s="12" t="n"/>
      <x:c r="K104" s="12" t="n"/>
      <x:c r="L104" s="11" t="n"/>
      <x:c r="M104" s="9" t="n"/>
      <x:c r="N104" s="12" t="n"/>
      <x:c r="O104" s="6">
        <x:f>IF(N104="","",IFERROR(VLOOKUP(N104,Master_Data!$A$5:$C$8,3,FALSE),0))</x:f>
      </x:c>
      <x:c r="P104" s="7">
        <x:f>IF(M104="","",M104*O104)</x:f>
      </x:c>
      <x:c r="Q104" s="7">
        <x:f>IF(M104="","",M104+P104)</x:f>
      </x:c>
      <x:c r="R104" s="7">
        <x:f>IF(K104&lt;&gt;"Paid",0,IF(C104="Income",Q104,-Q104))</x:f>
      </x:c>
      <x:c r="S104" s="14">
        <x:f>IF(A104="","",DATE(YEAR(A104),MONTH(A104),1))</x:f>
      </x:c>
      <x:c r="T104" s="14">
        <x:f>IF(L104="","",DATE(YEAR(L104),MONTH(L104),1))</x:f>
      </x:c>
    </x:row>
    <x:row r="105">
      <x:c r="A105" s="11" t="n"/>
      <x:c r="B105" s="5" t="n"/>
      <x:c r="C105" s="12" t="n"/>
      <x:c r="D105" s="12" t="n"/>
      <x:c r="E105" s="12" t="n"/>
      <x:c r="F105" s="12" t="n"/>
      <x:c r="G105" s="13">
        <x:f>IF(F105="","",IFERROR(VLOOKUP(F105,Master_Data!$E$24:$G$33,2,FALSE),"9999"))</x:f>
      </x:c>
      <x:c r="H105" s="12" t="n"/>
      <x:c r="I105" s="12" t="n"/>
      <x:c r="J105" s="12" t="n"/>
      <x:c r="K105" s="12" t="n"/>
      <x:c r="L105" s="11" t="n"/>
      <x:c r="M105" s="9" t="n"/>
      <x:c r="N105" s="12" t="n"/>
      <x:c r="O105" s="6">
        <x:f>IF(N105="","",IFERROR(VLOOKUP(N105,Master_Data!$A$5:$C$8,3,FALSE),0))</x:f>
      </x:c>
      <x:c r="P105" s="7">
        <x:f>IF(M105="","",M105*O105)</x:f>
      </x:c>
      <x:c r="Q105" s="7">
        <x:f>IF(M105="","",M105+P105)</x:f>
      </x:c>
      <x:c r="R105" s="7">
        <x:f>IF(K105&lt;&gt;"Paid",0,IF(C105="Income",Q105,-Q105))</x:f>
      </x:c>
      <x:c r="S105" s="14">
        <x:f>IF(A105="","",DATE(YEAR(A105),MONTH(A105),1))</x:f>
      </x:c>
      <x:c r="T105" s="14">
        <x:f>IF(L105="","",DATE(YEAR(L105),MONTH(L105),1))</x:f>
      </x:c>
    </x:row>
    <x:row r="106">
      <x:c r="A106" s="11" t="n"/>
      <x:c r="B106" s="5" t="n"/>
      <x:c r="C106" s="12" t="n"/>
      <x:c r="D106" s="12" t="n"/>
      <x:c r="E106" s="12" t="n"/>
      <x:c r="F106" s="12" t="n"/>
      <x:c r="G106" s="13">
        <x:f>IF(F106="","",IFERROR(VLOOKUP(F106,Master_Data!$E$24:$G$33,2,FALSE),"9999"))</x:f>
      </x:c>
      <x:c r="H106" s="12" t="n"/>
      <x:c r="I106" s="12" t="n"/>
      <x:c r="J106" s="12" t="n"/>
      <x:c r="K106" s="12" t="n"/>
      <x:c r="L106" s="11" t="n"/>
      <x:c r="M106" s="9" t="n"/>
      <x:c r="N106" s="12" t="n"/>
      <x:c r="O106" s="6">
        <x:f>IF(N106="","",IFERROR(VLOOKUP(N106,Master_Data!$A$5:$C$8,3,FALSE),0))</x:f>
      </x:c>
      <x:c r="P106" s="7">
        <x:f>IF(M106="","",M106*O106)</x:f>
      </x:c>
      <x:c r="Q106" s="7">
        <x:f>IF(M106="","",M106+P106)</x:f>
      </x:c>
      <x:c r="R106" s="7">
        <x:f>IF(K106&lt;&gt;"Paid",0,IF(C106="Income",Q106,-Q106))</x:f>
      </x:c>
      <x:c r="S106" s="14">
        <x:f>IF(A106="","",DATE(YEAR(A106),MONTH(A106),1))</x:f>
      </x:c>
      <x:c r="T106" s="14">
        <x:f>IF(L106="","",DATE(YEAR(L106),MONTH(L106),1))</x:f>
      </x:c>
    </x:row>
    <x:row r="107">
      <x:c r="A107" s="11" t="n"/>
      <x:c r="B107" s="5" t="n"/>
      <x:c r="C107" s="12" t="n"/>
      <x:c r="D107" s="12" t="n"/>
      <x:c r="E107" s="12" t="n"/>
      <x:c r="F107" s="12" t="n"/>
      <x:c r="G107" s="13">
        <x:f>IF(F107="","",IFERROR(VLOOKUP(F107,Master_Data!$E$24:$G$33,2,FALSE),"9999"))</x:f>
      </x:c>
      <x:c r="H107" s="12" t="n"/>
      <x:c r="I107" s="12" t="n"/>
      <x:c r="J107" s="12" t="n"/>
      <x:c r="K107" s="12" t="n"/>
      <x:c r="L107" s="11" t="n"/>
      <x:c r="M107" s="9" t="n"/>
      <x:c r="N107" s="12" t="n"/>
      <x:c r="O107" s="6">
        <x:f>IF(N107="","",IFERROR(VLOOKUP(N107,Master_Data!$A$5:$C$8,3,FALSE),0))</x:f>
      </x:c>
      <x:c r="P107" s="7">
        <x:f>IF(M107="","",M107*O107)</x:f>
      </x:c>
      <x:c r="Q107" s="7">
        <x:f>IF(M107="","",M107+P107)</x:f>
      </x:c>
      <x:c r="R107" s="7">
        <x:f>IF(K107&lt;&gt;"Paid",0,IF(C107="Income",Q107,-Q107))</x:f>
      </x:c>
      <x:c r="S107" s="14">
        <x:f>IF(A107="","",DATE(YEAR(A107),MONTH(A107),1))</x:f>
      </x:c>
      <x:c r="T107" s="14">
        <x:f>IF(L107="","",DATE(YEAR(L107),MONTH(L107),1))</x:f>
      </x:c>
    </x:row>
    <x:row r="108">
      <x:c r="A108" s="11" t="n"/>
      <x:c r="B108" s="5" t="n"/>
      <x:c r="C108" s="12" t="n"/>
      <x:c r="D108" s="12" t="n"/>
      <x:c r="E108" s="12" t="n"/>
      <x:c r="F108" s="12" t="n"/>
      <x:c r="G108" s="13">
        <x:f>IF(F108="","",IFERROR(VLOOKUP(F108,Master_Data!$E$24:$G$33,2,FALSE),"9999"))</x:f>
      </x:c>
      <x:c r="H108" s="12" t="n"/>
      <x:c r="I108" s="12" t="n"/>
      <x:c r="J108" s="12" t="n"/>
      <x:c r="K108" s="12" t="n"/>
      <x:c r="L108" s="11" t="n"/>
      <x:c r="M108" s="9" t="n"/>
      <x:c r="N108" s="12" t="n"/>
      <x:c r="O108" s="6">
        <x:f>IF(N108="","",IFERROR(VLOOKUP(N108,Master_Data!$A$5:$C$8,3,FALSE),0))</x:f>
      </x:c>
      <x:c r="P108" s="7">
        <x:f>IF(M108="","",M108*O108)</x:f>
      </x:c>
      <x:c r="Q108" s="7">
        <x:f>IF(M108="","",M108+P108)</x:f>
      </x:c>
      <x:c r="R108" s="7">
        <x:f>IF(K108&lt;&gt;"Paid",0,IF(C108="Income",Q108,-Q108))</x:f>
      </x:c>
      <x:c r="S108" s="14">
        <x:f>IF(A108="","",DATE(YEAR(A108),MONTH(A108),1))</x:f>
      </x:c>
      <x:c r="T108" s="14">
        <x:f>IF(L108="","",DATE(YEAR(L108),MONTH(L108),1))</x:f>
      </x:c>
    </x:row>
    <x:row r="109">
      <x:c r="A109" s="11" t="n"/>
      <x:c r="B109" s="5" t="n"/>
      <x:c r="C109" s="12" t="n"/>
      <x:c r="D109" s="12" t="n"/>
      <x:c r="E109" s="12" t="n"/>
      <x:c r="F109" s="12" t="n"/>
      <x:c r="G109" s="13">
        <x:f>IF(F109="","",IFERROR(VLOOKUP(F109,Master_Data!$E$24:$G$33,2,FALSE),"9999"))</x:f>
      </x:c>
      <x:c r="H109" s="12" t="n"/>
      <x:c r="I109" s="12" t="n"/>
      <x:c r="J109" s="12" t="n"/>
      <x:c r="K109" s="12" t="n"/>
      <x:c r="L109" s="11" t="n"/>
      <x:c r="M109" s="9" t="n"/>
      <x:c r="N109" s="12" t="n"/>
      <x:c r="O109" s="6">
        <x:f>IF(N109="","",IFERROR(VLOOKUP(N109,Master_Data!$A$5:$C$8,3,FALSE),0))</x:f>
      </x:c>
      <x:c r="P109" s="7">
        <x:f>IF(M109="","",M109*O109)</x:f>
      </x:c>
      <x:c r="Q109" s="7">
        <x:f>IF(M109="","",M109+P109)</x:f>
      </x:c>
      <x:c r="R109" s="7">
        <x:f>IF(K109&lt;&gt;"Paid",0,IF(C109="Income",Q109,-Q109))</x:f>
      </x:c>
      <x:c r="S109" s="14">
        <x:f>IF(A109="","",DATE(YEAR(A109),MONTH(A109),1))</x:f>
      </x:c>
      <x:c r="T109" s="14">
        <x:f>IF(L109="","",DATE(YEAR(L109),MONTH(L109),1))</x:f>
      </x:c>
    </x:row>
    <x:row r="110">
      <x:c r="A110" s="11" t="n"/>
      <x:c r="B110" s="5" t="n"/>
      <x:c r="C110" s="12" t="n"/>
      <x:c r="D110" s="12" t="n"/>
      <x:c r="E110" s="12" t="n"/>
      <x:c r="F110" s="12" t="n"/>
      <x:c r="G110" s="13">
        <x:f>IF(F110="","",IFERROR(VLOOKUP(F110,Master_Data!$E$24:$G$33,2,FALSE),"9999"))</x:f>
      </x:c>
      <x:c r="H110" s="12" t="n"/>
      <x:c r="I110" s="12" t="n"/>
      <x:c r="J110" s="12" t="n"/>
      <x:c r="K110" s="12" t="n"/>
      <x:c r="L110" s="11" t="n"/>
      <x:c r="M110" s="9" t="n"/>
      <x:c r="N110" s="12" t="n"/>
      <x:c r="O110" s="6">
        <x:f>IF(N110="","",IFERROR(VLOOKUP(N110,Master_Data!$A$5:$C$8,3,FALSE),0))</x:f>
      </x:c>
      <x:c r="P110" s="7">
        <x:f>IF(M110="","",M110*O110)</x:f>
      </x:c>
      <x:c r="Q110" s="7">
        <x:f>IF(M110="","",M110+P110)</x:f>
      </x:c>
      <x:c r="R110" s="7">
        <x:f>IF(K110&lt;&gt;"Paid",0,IF(C110="Income",Q110,-Q110))</x:f>
      </x:c>
      <x:c r="S110" s="14">
        <x:f>IF(A110="","",DATE(YEAR(A110),MONTH(A110),1))</x:f>
      </x:c>
      <x:c r="T110" s="14">
        <x:f>IF(L110="","",DATE(YEAR(L110),MONTH(L110),1))</x:f>
      </x:c>
    </x:row>
    <x:row r="111">
      <x:c r="A111" s="11" t="n"/>
      <x:c r="B111" s="5" t="n"/>
      <x:c r="C111" s="12" t="n"/>
      <x:c r="D111" s="12" t="n"/>
      <x:c r="E111" s="12" t="n"/>
      <x:c r="F111" s="12" t="n"/>
      <x:c r="G111" s="13">
        <x:f>IF(F111="","",IFERROR(VLOOKUP(F111,Master_Data!$E$24:$G$33,2,FALSE),"9999"))</x:f>
      </x:c>
      <x:c r="H111" s="12" t="n"/>
      <x:c r="I111" s="12" t="n"/>
      <x:c r="J111" s="12" t="n"/>
      <x:c r="K111" s="12" t="n"/>
      <x:c r="L111" s="11" t="n"/>
      <x:c r="M111" s="9" t="n"/>
      <x:c r="N111" s="12" t="n"/>
      <x:c r="O111" s="6">
        <x:f>IF(N111="","",IFERROR(VLOOKUP(N111,Master_Data!$A$5:$C$8,3,FALSE),0))</x:f>
      </x:c>
      <x:c r="P111" s="7">
        <x:f>IF(M111="","",M111*O111)</x:f>
      </x:c>
      <x:c r="Q111" s="7">
        <x:f>IF(M111="","",M111+P111)</x:f>
      </x:c>
      <x:c r="R111" s="7">
        <x:f>IF(K111&lt;&gt;"Paid",0,IF(C111="Income",Q111,-Q111))</x:f>
      </x:c>
      <x:c r="S111" s="14">
        <x:f>IF(A111="","",DATE(YEAR(A111),MONTH(A111),1))</x:f>
      </x:c>
      <x:c r="T111" s="14">
        <x:f>IF(L111="","",DATE(YEAR(L111),MONTH(L111),1))</x:f>
      </x:c>
    </x:row>
    <x:row r="112">
      <x:c r="A112" s="11" t="n"/>
      <x:c r="B112" s="5" t="n"/>
      <x:c r="C112" s="12" t="n"/>
      <x:c r="D112" s="12" t="n"/>
      <x:c r="E112" s="12" t="n"/>
      <x:c r="F112" s="12" t="n"/>
      <x:c r="G112" s="13">
        <x:f>IF(F112="","",IFERROR(VLOOKUP(F112,Master_Data!$E$24:$G$33,2,FALSE),"9999"))</x:f>
      </x:c>
      <x:c r="H112" s="12" t="n"/>
      <x:c r="I112" s="12" t="n"/>
      <x:c r="J112" s="12" t="n"/>
      <x:c r="K112" s="12" t="n"/>
      <x:c r="L112" s="11" t="n"/>
      <x:c r="M112" s="9" t="n"/>
      <x:c r="N112" s="12" t="n"/>
      <x:c r="O112" s="6">
        <x:f>IF(N112="","",IFERROR(VLOOKUP(N112,Master_Data!$A$5:$C$8,3,FALSE),0))</x:f>
      </x:c>
      <x:c r="P112" s="7">
        <x:f>IF(M112="","",M112*O112)</x:f>
      </x:c>
      <x:c r="Q112" s="7">
        <x:f>IF(M112="","",M112+P112)</x:f>
      </x:c>
      <x:c r="R112" s="7">
        <x:f>IF(K112&lt;&gt;"Paid",0,IF(C112="Income",Q112,-Q112))</x:f>
      </x:c>
      <x:c r="S112" s="14">
        <x:f>IF(A112="","",DATE(YEAR(A112),MONTH(A112),1))</x:f>
      </x:c>
      <x:c r="T112" s="14">
        <x:f>IF(L112="","",DATE(YEAR(L112),MONTH(L112),1))</x:f>
      </x:c>
    </x:row>
    <x:row r="113">
      <x:c r="A113" s="11" t="n"/>
      <x:c r="B113" s="5" t="n"/>
      <x:c r="C113" s="12" t="n"/>
      <x:c r="D113" s="12" t="n"/>
      <x:c r="E113" s="12" t="n"/>
      <x:c r="F113" s="12" t="n"/>
      <x:c r="G113" s="13">
        <x:f>IF(F113="","",IFERROR(VLOOKUP(F113,Master_Data!$E$24:$G$33,2,FALSE),"9999"))</x:f>
      </x:c>
      <x:c r="H113" s="12" t="n"/>
      <x:c r="I113" s="12" t="n"/>
      <x:c r="J113" s="12" t="n"/>
      <x:c r="K113" s="12" t="n"/>
      <x:c r="L113" s="11" t="n"/>
      <x:c r="M113" s="9" t="n"/>
      <x:c r="N113" s="12" t="n"/>
      <x:c r="O113" s="6">
        <x:f>IF(N113="","",IFERROR(VLOOKUP(N113,Master_Data!$A$5:$C$8,3,FALSE),0))</x:f>
      </x:c>
      <x:c r="P113" s="7">
        <x:f>IF(M113="","",M113*O113)</x:f>
      </x:c>
      <x:c r="Q113" s="7">
        <x:f>IF(M113="","",M113+P113)</x:f>
      </x:c>
      <x:c r="R113" s="7">
        <x:f>IF(K113&lt;&gt;"Paid",0,IF(C113="Income",Q113,-Q113))</x:f>
      </x:c>
      <x:c r="S113" s="14">
        <x:f>IF(A113="","",DATE(YEAR(A113),MONTH(A113),1))</x:f>
      </x:c>
      <x:c r="T113" s="14">
        <x:f>IF(L113="","",DATE(YEAR(L113),MONTH(L113),1))</x:f>
      </x:c>
    </x:row>
    <x:row r="114">
      <x:c r="A114" s="11" t="n"/>
      <x:c r="B114" s="5" t="n"/>
      <x:c r="C114" s="12" t="n"/>
      <x:c r="D114" s="12" t="n"/>
      <x:c r="E114" s="12" t="n"/>
      <x:c r="F114" s="12" t="n"/>
      <x:c r="G114" s="13">
        <x:f>IF(F114="","",IFERROR(VLOOKUP(F114,Master_Data!$E$24:$G$33,2,FALSE),"9999"))</x:f>
      </x:c>
      <x:c r="H114" s="12" t="n"/>
      <x:c r="I114" s="12" t="n"/>
      <x:c r="J114" s="12" t="n"/>
      <x:c r="K114" s="12" t="n"/>
      <x:c r="L114" s="11" t="n"/>
      <x:c r="M114" s="9" t="n"/>
      <x:c r="N114" s="12" t="n"/>
      <x:c r="O114" s="6">
        <x:f>IF(N114="","",IFERROR(VLOOKUP(N114,Master_Data!$A$5:$C$8,3,FALSE),0))</x:f>
      </x:c>
      <x:c r="P114" s="7">
        <x:f>IF(M114="","",M114*O114)</x:f>
      </x:c>
      <x:c r="Q114" s="7">
        <x:f>IF(M114="","",M114+P114)</x:f>
      </x:c>
      <x:c r="R114" s="7">
        <x:f>IF(K114&lt;&gt;"Paid",0,IF(C114="Income",Q114,-Q114))</x:f>
      </x:c>
      <x:c r="S114" s="14">
        <x:f>IF(A114="","",DATE(YEAR(A114),MONTH(A114),1))</x:f>
      </x:c>
      <x:c r="T114" s="14">
        <x:f>IF(L114="","",DATE(YEAR(L114),MONTH(L114),1))</x:f>
      </x:c>
    </x:row>
    <x:row r="115">
      <x:c r="A115" s="11" t="n"/>
      <x:c r="B115" s="5" t="n"/>
      <x:c r="C115" s="12" t="n"/>
      <x:c r="D115" s="12" t="n"/>
      <x:c r="E115" s="12" t="n"/>
      <x:c r="F115" s="12" t="n"/>
      <x:c r="G115" s="13">
        <x:f>IF(F115="","",IFERROR(VLOOKUP(F115,Master_Data!$E$24:$G$33,2,FALSE),"9999"))</x:f>
      </x:c>
      <x:c r="H115" s="12" t="n"/>
      <x:c r="I115" s="12" t="n"/>
      <x:c r="J115" s="12" t="n"/>
      <x:c r="K115" s="12" t="n"/>
      <x:c r="L115" s="11" t="n"/>
      <x:c r="M115" s="9" t="n"/>
      <x:c r="N115" s="12" t="n"/>
      <x:c r="O115" s="6">
        <x:f>IF(N115="","",IFERROR(VLOOKUP(N115,Master_Data!$A$5:$C$8,3,FALSE),0))</x:f>
      </x:c>
      <x:c r="P115" s="7">
        <x:f>IF(M115="","",M115*O115)</x:f>
      </x:c>
      <x:c r="Q115" s="7">
        <x:f>IF(M115="","",M115+P115)</x:f>
      </x:c>
      <x:c r="R115" s="7">
        <x:f>IF(K115&lt;&gt;"Paid",0,IF(C115="Income",Q115,-Q115))</x:f>
      </x:c>
      <x:c r="S115" s="14">
        <x:f>IF(A115="","",DATE(YEAR(A115),MONTH(A115),1))</x:f>
      </x:c>
      <x:c r="T115" s="14">
        <x:f>IF(L115="","",DATE(YEAR(L115),MONTH(L115),1))</x:f>
      </x:c>
    </x:row>
    <x:row r="116">
      <x:c r="A116" s="11" t="n"/>
      <x:c r="B116" s="5" t="n"/>
      <x:c r="C116" s="12" t="n"/>
      <x:c r="D116" s="12" t="n"/>
      <x:c r="E116" s="12" t="n"/>
      <x:c r="F116" s="12" t="n"/>
      <x:c r="G116" s="13">
        <x:f>IF(F116="","",IFERROR(VLOOKUP(F116,Master_Data!$E$24:$G$33,2,FALSE),"9999"))</x:f>
      </x:c>
      <x:c r="H116" s="12" t="n"/>
      <x:c r="I116" s="12" t="n"/>
      <x:c r="J116" s="12" t="n"/>
      <x:c r="K116" s="12" t="n"/>
      <x:c r="L116" s="11" t="n"/>
      <x:c r="M116" s="9" t="n"/>
      <x:c r="N116" s="12" t="n"/>
      <x:c r="O116" s="6">
        <x:f>IF(N116="","",IFERROR(VLOOKUP(N116,Master_Data!$A$5:$C$8,3,FALSE),0))</x:f>
      </x:c>
      <x:c r="P116" s="7">
        <x:f>IF(M116="","",M116*O116)</x:f>
      </x:c>
      <x:c r="Q116" s="7">
        <x:f>IF(M116="","",M116+P116)</x:f>
      </x:c>
      <x:c r="R116" s="7">
        <x:f>IF(K116&lt;&gt;"Paid",0,IF(C116="Income",Q116,-Q116))</x:f>
      </x:c>
      <x:c r="S116" s="14">
        <x:f>IF(A116="","",DATE(YEAR(A116),MONTH(A116),1))</x:f>
      </x:c>
      <x:c r="T116" s="14">
        <x:f>IF(L116="","",DATE(YEAR(L116),MONTH(L116),1))</x:f>
      </x:c>
    </x:row>
    <x:row r="117">
      <x:c r="A117" s="11" t="n"/>
      <x:c r="B117" s="5" t="n"/>
      <x:c r="C117" s="12" t="n"/>
      <x:c r="D117" s="12" t="n"/>
      <x:c r="E117" s="12" t="n"/>
      <x:c r="F117" s="12" t="n"/>
      <x:c r="G117" s="13">
        <x:f>IF(F117="","",IFERROR(VLOOKUP(F117,Master_Data!$E$24:$G$33,2,FALSE),"9999"))</x:f>
      </x:c>
      <x:c r="H117" s="12" t="n"/>
      <x:c r="I117" s="12" t="n"/>
      <x:c r="J117" s="12" t="n"/>
      <x:c r="K117" s="12" t="n"/>
      <x:c r="L117" s="11" t="n"/>
      <x:c r="M117" s="9" t="n"/>
      <x:c r="N117" s="12" t="n"/>
      <x:c r="O117" s="6">
        <x:f>IF(N117="","",IFERROR(VLOOKUP(N117,Master_Data!$A$5:$C$8,3,FALSE),0))</x:f>
      </x:c>
      <x:c r="P117" s="7">
        <x:f>IF(M117="","",M117*O117)</x:f>
      </x:c>
      <x:c r="Q117" s="7">
        <x:f>IF(M117="","",M117+P117)</x:f>
      </x:c>
      <x:c r="R117" s="7">
        <x:f>IF(K117&lt;&gt;"Paid",0,IF(C117="Income",Q117,-Q117))</x:f>
      </x:c>
      <x:c r="S117" s="14">
        <x:f>IF(A117="","",DATE(YEAR(A117),MONTH(A117),1))</x:f>
      </x:c>
      <x:c r="T117" s="14">
        <x:f>IF(L117="","",DATE(YEAR(L117),MONTH(L117),1))</x:f>
      </x:c>
    </x:row>
    <x:row r="118">
      <x:c r="A118" s="11" t="n"/>
      <x:c r="B118" s="5" t="n"/>
      <x:c r="C118" s="12" t="n"/>
      <x:c r="D118" s="12" t="n"/>
      <x:c r="E118" s="12" t="n"/>
      <x:c r="F118" s="12" t="n"/>
      <x:c r="G118" s="13">
        <x:f>IF(F118="","",IFERROR(VLOOKUP(F118,Master_Data!$E$24:$G$33,2,FALSE),"9999"))</x:f>
      </x:c>
      <x:c r="H118" s="12" t="n"/>
      <x:c r="I118" s="12" t="n"/>
      <x:c r="J118" s="12" t="n"/>
      <x:c r="K118" s="12" t="n"/>
      <x:c r="L118" s="11" t="n"/>
      <x:c r="M118" s="9" t="n"/>
      <x:c r="N118" s="12" t="n"/>
      <x:c r="O118" s="6">
        <x:f>IF(N118="","",IFERROR(VLOOKUP(N118,Master_Data!$A$5:$C$8,3,FALSE),0))</x:f>
      </x:c>
      <x:c r="P118" s="7">
        <x:f>IF(M118="","",M118*O118)</x:f>
      </x:c>
      <x:c r="Q118" s="7">
        <x:f>IF(M118="","",M118+P118)</x:f>
      </x:c>
      <x:c r="R118" s="7">
        <x:f>IF(K118&lt;&gt;"Paid",0,IF(C118="Income",Q118,-Q118))</x:f>
      </x:c>
      <x:c r="S118" s="14">
        <x:f>IF(A118="","",DATE(YEAR(A118),MONTH(A118),1))</x:f>
      </x:c>
      <x:c r="T118" s="14">
        <x:f>IF(L118="","",DATE(YEAR(L118),MONTH(L118),1))</x:f>
      </x:c>
    </x:row>
    <x:row r="119">
      <x:c r="A119" s="11" t="n"/>
      <x:c r="B119" s="5" t="n"/>
      <x:c r="C119" s="12" t="n"/>
      <x:c r="D119" s="12" t="n"/>
      <x:c r="E119" s="12" t="n"/>
      <x:c r="F119" s="12" t="n"/>
      <x:c r="G119" s="13">
        <x:f>IF(F119="","",IFERROR(VLOOKUP(F119,Master_Data!$E$24:$G$33,2,FALSE),"9999"))</x:f>
      </x:c>
      <x:c r="H119" s="12" t="n"/>
      <x:c r="I119" s="12" t="n"/>
      <x:c r="J119" s="12" t="n"/>
      <x:c r="K119" s="12" t="n"/>
      <x:c r="L119" s="11" t="n"/>
      <x:c r="M119" s="9" t="n"/>
      <x:c r="N119" s="12" t="n"/>
      <x:c r="O119" s="6">
        <x:f>IF(N119="","",IFERROR(VLOOKUP(N119,Master_Data!$A$5:$C$8,3,FALSE),0))</x:f>
      </x:c>
      <x:c r="P119" s="7">
        <x:f>IF(M119="","",M119*O119)</x:f>
      </x:c>
      <x:c r="Q119" s="7">
        <x:f>IF(M119="","",M119+P119)</x:f>
      </x:c>
      <x:c r="R119" s="7">
        <x:f>IF(K119&lt;&gt;"Paid",0,IF(C119="Income",Q119,-Q119))</x:f>
      </x:c>
      <x:c r="S119" s="14">
        <x:f>IF(A119="","",DATE(YEAR(A119),MONTH(A119),1))</x:f>
      </x:c>
      <x:c r="T119" s="14">
        <x:f>IF(L119="","",DATE(YEAR(L119),MONTH(L119),1))</x:f>
      </x:c>
    </x:row>
    <x:row r="120">
      <x:c r="A120" s="11" t="n"/>
      <x:c r="B120" s="5" t="n"/>
      <x:c r="C120" s="12" t="n"/>
      <x:c r="D120" s="12" t="n"/>
      <x:c r="E120" s="12" t="n"/>
      <x:c r="F120" s="12" t="n"/>
      <x:c r="G120" s="13">
        <x:f>IF(F120="","",IFERROR(VLOOKUP(F120,Master_Data!$E$24:$G$33,2,FALSE),"9999"))</x:f>
      </x:c>
      <x:c r="H120" s="12" t="n"/>
      <x:c r="I120" s="12" t="n"/>
      <x:c r="J120" s="12" t="n"/>
      <x:c r="K120" s="12" t="n"/>
      <x:c r="L120" s="11" t="n"/>
      <x:c r="M120" s="9" t="n"/>
      <x:c r="N120" s="12" t="n"/>
      <x:c r="O120" s="6">
        <x:f>IF(N120="","",IFERROR(VLOOKUP(N120,Master_Data!$A$5:$C$8,3,FALSE),0))</x:f>
      </x:c>
      <x:c r="P120" s="7">
        <x:f>IF(M120="","",M120*O120)</x:f>
      </x:c>
      <x:c r="Q120" s="7">
        <x:f>IF(M120="","",M120+P120)</x:f>
      </x:c>
      <x:c r="R120" s="7">
        <x:f>IF(K120&lt;&gt;"Paid",0,IF(C120="Income",Q120,-Q120))</x:f>
      </x:c>
      <x:c r="S120" s="14">
        <x:f>IF(A120="","",DATE(YEAR(A120),MONTH(A120),1))</x:f>
      </x:c>
      <x:c r="T120" s="14">
        <x:f>IF(L120="","",DATE(YEAR(L120),MONTH(L120),1))</x:f>
      </x:c>
    </x:row>
    <x:row r="121">
      <x:c r="A121" s="11" t="n"/>
      <x:c r="B121" s="5" t="n"/>
      <x:c r="C121" s="12" t="n"/>
      <x:c r="D121" s="12" t="n"/>
      <x:c r="E121" s="12" t="n"/>
      <x:c r="F121" s="12" t="n"/>
      <x:c r="G121" s="13">
        <x:f>IF(F121="","",IFERROR(VLOOKUP(F121,Master_Data!$E$24:$G$33,2,FALSE),"9999"))</x:f>
      </x:c>
      <x:c r="H121" s="12" t="n"/>
      <x:c r="I121" s="12" t="n"/>
      <x:c r="J121" s="12" t="n"/>
      <x:c r="K121" s="12" t="n"/>
      <x:c r="L121" s="11" t="n"/>
      <x:c r="M121" s="9" t="n"/>
      <x:c r="N121" s="12" t="n"/>
      <x:c r="O121" s="6">
        <x:f>IF(N121="","",IFERROR(VLOOKUP(N121,Master_Data!$A$5:$C$8,3,FALSE),0))</x:f>
      </x:c>
      <x:c r="P121" s="7">
        <x:f>IF(M121="","",M121*O121)</x:f>
      </x:c>
      <x:c r="Q121" s="7">
        <x:f>IF(M121="","",M121+P121)</x:f>
      </x:c>
      <x:c r="R121" s="7">
        <x:f>IF(K121&lt;&gt;"Paid",0,IF(C121="Income",Q121,-Q121))</x:f>
      </x:c>
      <x:c r="S121" s="14">
        <x:f>IF(A121="","",DATE(YEAR(A121),MONTH(A121),1))</x:f>
      </x:c>
      <x:c r="T121" s="14">
        <x:f>IF(L121="","",DATE(YEAR(L121),MONTH(L121),1))</x:f>
      </x:c>
    </x:row>
    <x:row r="122">
      <x:c r="A122" s="11" t="n"/>
      <x:c r="B122" s="5" t="n"/>
      <x:c r="C122" s="12" t="n"/>
      <x:c r="D122" s="12" t="n"/>
      <x:c r="E122" s="12" t="n"/>
      <x:c r="F122" s="12" t="n"/>
      <x:c r="G122" s="13">
        <x:f>IF(F122="","",IFERROR(VLOOKUP(F122,Master_Data!$E$24:$G$33,2,FALSE),"9999"))</x:f>
      </x:c>
      <x:c r="H122" s="12" t="n"/>
      <x:c r="I122" s="12" t="n"/>
      <x:c r="J122" s="12" t="n"/>
      <x:c r="K122" s="12" t="n"/>
      <x:c r="L122" s="11" t="n"/>
      <x:c r="M122" s="9" t="n"/>
      <x:c r="N122" s="12" t="n"/>
      <x:c r="O122" s="6">
        <x:f>IF(N122="","",IFERROR(VLOOKUP(N122,Master_Data!$A$5:$C$8,3,FALSE),0))</x:f>
      </x:c>
      <x:c r="P122" s="7">
        <x:f>IF(M122="","",M122*O122)</x:f>
      </x:c>
      <x:c r="Q122" s="7">
        <x:f>IF(M122="","",M122+P122)</x:f>
      </x:c>
      <x:c r="R122" s="7">
        <x:f>IF(K122&lt;&gt;"Paid",0,IF(C122="Income",Q122,-Q122))</x:f>
      </x:c>
      <x:c r="S122" s="14">
        <x:f>IF(A122="","",DATE(YEAR(A122),MONTH(A122),1))</x:f>
      </x:c>
      <x:c r="T122" s="14">
        <x:f>IF(L122="","",DATE(YEAR(L122),MONTH(L122),1))</x:f>
      </x:c>
    </x:row>
    <x:row r="123">
      <x:c r="A123" s="11" t="n"/>
      <x:c r="B123" s="5" t="n"/>
      <x:c r="C123" s="12" t="n"/>
      <x:c r="D123" s="12" t="n"/>
      <x:c r="E123" s="12" t="n"/>
      <x:c r="F123" s="12" t="n"/>
      <x:c r="G123" s="13">
        <x:f>IF(F123="","",IFERROR(VLOOKUP(F123,Master_Data!$E$24:$G$33,2,FALSE),"9999"))</x:f>
      </x:c>
      <x:c r="H123" s="12" t="n"/>
      <x:c r="I123" s="12" t="n"/>
      <x:c r="J123" s="12" t="n"/>
      <x:c r="K123" s="12" t="n"/>
      <x:c r="L123" s="11" t="n"/>
      <x:c r="M123" s="9" t="n"/>
      <x:c r="N123" s="12" t="n"/>
      <x:c r="O123" s="6">
        <x:f>IF(N123="","",IFERROR(VLOOKUP(N123,Master_Data!$A$5:$C$8,3,FALSE),0))</x:f>
      </x:c>
      <x:c r="P123" s="7">
        <x:f>IF(M123="","",M123*O123)</x:f>
      </x:c>
      <x:c r="Q123" s="7">
        <x:f>IF(M123="","",M123+P123)</x:f>
      </x:c>
      <x:c r="R123" s="7">
        <x:f>IF(K123&lt;&gt;"Paid",0,IF(C123="Income",Q123,-Q123))</x:f>
      </x:c>
      <x:c r="S123" s="14">
        <x:f>IF(A123="","",DATE(YEAR(A123),MONTH(A123),1))</x:f>
      </x:c>
      <x:c r="T123" s="14">
        <x:f>IF(L123="","",DATE(YEAR(L123),MONTH(L123),1))</x:f>
      </x:c>
    </x:row>
    <x:row r="124">
      <x:c r="A124" s="11" t="n"/>
      <x:c r="B124" s="5" t="n"/>
      <x:c r="C124" s="12" t="n"/>
      <x:c r="D124" s="12" t="n"/>
      <x:c r="E124" s="12" t="n"/>
      <x:c r="F124" s="12" t="n"/>
      <x:c r="G124" s="13">
        <x:f>IF(F124="","",IFERROR(VLOOKUP(F124,Master_Data!$E$24:$G$33,2,FALSE),"9999"))</x:f>
      </x:c>
      <x:c r="H124" s="12" t="n"/>
      <x:c r="I124" s="12" t="n"/>
      <x:c r="J124" s="12" t="n"/>
      <x:c r="K124" s="12" t="n"/>
      <x:c r="L124" s="11" t="n"/>
      <x:c r="M124" s="9" t="n"/>
      <x:c r="N124" s="12" t="n"/>
      <x:c r="O124" s="6">
        <x:f>IF(N124="","",IFERROR(VLOOKUP(N124,Master_Data!$A$5:$C$8,3,FALSE),0))</x:f>
      </x:c>
      <x:c r="P124" s="7">
        <x:f>IF(M124="","",M124*O124)</x:f>
      </x:c>
      <x:c r="Q124" s="7">
        <x:f>IF(M124="","",M124+P124)</x:f>
      </x:c>
      <x:c r="R124" s="7">
        <x:f>IF(K124&lt;&gt;"Paid",0,IF(C124="Income",Q124,-Q124))</x:f>
      </x:c>
      <x:c r="S124" s="14">
        <x:f>IF(A124="","",DATE(YEAR(A124),MONTH(A124),1))</x:f>
      </x:c>
      <x:c r="T124" s="14">
        <x:f>IF(L124="","",DATE(YEAR(L124),MONTH(L124),1))</x:f>
      </x:c>
    </x:row>
    <x:row r="125">
      <x:c r="A125" s="11" t="n"/>
      <x:c r="B125" s="5" t="n"/>
      <x:c r="C125" s="12" t="n"/>
      <x:c r="D125" s="12" t="n"/>
      <x:c r="E125" s="12" t="n"/>
      <x:c r="F125" s="12" t="n"/>
      <x:c r="G125" s="13">
        <x:f>IF(F125="","",IFERROR(VLOOKUP(F125,Master_Data!$E$24:$G$33,2,FALSE),"9999"))</x:f>
      </x:c>
      <x:c r="H125" s="12" t="n"/>
      <x:c r="I125" s="12" t="n"/>
      <x:c r="J125" s="12" t="n"/>
      <x:c r="K125" s="12" t="n"/>
      <x:c r="L125" s="11" t="n"/>
      <x:c r="M125" s="9" t="n"/>
      <x:c r="N125" s="12" t="n"/>
      <x:c r="O125" s="6">
        <x:f>IF(N125="","",IFERROR(VLOOKUP(N125,Master_Data!$A$5:$C$8,3,FALSE),0))</x:f>
      </x:c>
      <x:c r="P125" s="7">
        <x:f>IF(M125="","",M125*O125)</x:f>
      </x:c>
      <x:c r="Q125" s="7">
        <x:f>IF(M125="","",M125+P125)</x:f>
      </x:c>
      <x:c r="R125" s="7">
        <x:f>IF(K125&lt;&gt;"Paid",0,IF(C125="Income",Q125,-Q125))</x:f>
      </x:c>
      <x:c r="S125" s="14">
        <x:f>IF(A125="","",DATE(YEAR(A125),MONTH(A125),1))</x:f>
      </x:c>
      <x:c r="T125" s="14">
        <x:f>IF(L125="","",DATE(YEAR(L125),MONTH(L125),1))</x:f>
      </x:c>
    </x:row>
    <x:row r="126">
      <x:c r="A126" s="11" t="n"/>
      <x:c r="B126" s="5" t="n"/>
      <x:c r="C126" s="12" t="n"/>
      <x:c r="D126" s="12" t="n"/>
      <x:c r="E126" s="12" t="n"/>
      <x:c r="F126" s="12" t="n"/>
      <x:c r="G126" s="13">
        <x:f>IF(F126="","",IFERROR(VLOOKUP(F126,Master_Data!$E$24:$G$33,2,FALSE),"9999"))</x:f>
      </x:c>
      <x:c r="H126" s="12" t="n"/>
      <x:c r="I126" s="12" t="n"/>
      <x:c r="J126" s="12" t="n"/>
      <x:c r="K126" s="12" t="n"/>
      <x:c r="L126" s="11" t="n"/>
      <x:c r="M126" s="9" t="n"/>
      <x:c r="N126" s="12" t="n"/>
      <x:c r="O126" s="6">
        <x:f>IF(N126="","",IFERROR(VLOOKUP(N126,Master_Data!$A$5:$C$8,3,FALSE),0))</x:f>
      </x:c>
      <x:c r="P126" s="7">
        <x:f>IF(M126="","",M126*O126)</x:f>
      </x:c>
      <x:c r="Q126" s="7">
        <x:f>IF(M126="","",M126+P126)</x:f>
      </x:c>
      <x:c r="R126" s="7">
        <x:f>IF(K126&lt;&gt;"Paid",0,IF(C126="Income",Q126,-Q126))</x:f>
      </x:c>
      <x:c r="S126" s="14">
        <x:f>IF(A126="","",DATE(YEAR(A126),MONTH(A126),1))</x:f>
      </x:c>
      <x:c r="T126" s="14">
        <x:f>IF(L126="","",DATE(YEAR(L126),MONTH(L126),1))</x:f>
      </x:c>
    </x:row>
    <x:row r="127">
      <x:c r="A127" s="11" t="n"/>
      <x:c r="B127" s="5" t="n"/>
      <x:c r="C127" s="12" t="n"/>
      <x:c r="D127" s="12" t="n"/>
      <x:c r="E127" s="12" t="n"/>
      <x:c r="F127" s="12" t="n"/>
      <x:c r="G127" s="13">
        <x:f>IF(F127="","",IFERROR(VLOOKUP(F127,Master_Data!$E$24:$G$33,2,FALSE),"9999"))</x:f>
      </x:c>
      <x:c r="H127" s="12" t="n"/>
      <x:c r="I127" s="12" t="n"/>
      <x:c r="J127" s="12" t="n"/>
      <x:c r="K127" s="12" t="n"/>
      <x:c r="L127" s="11" t="n"/>
      <x:c r="M127" s="9" t="n"/>
      <x:c r="N127" s="12" t="n"/>
      <x:c r="O127" s="6">
        <x:f>IF(N127="","",IFERROR(VLOOKUP(N127,Master_Data!$A$5:$C$8,3,FALSE),0))</x:f>
      </x:c>
      <x:c r="P127" s="7">
        <x:f>IF(M127="","",M127*O127)</x:f>
      </x:c>
      <x:c r="Q127" s="7">
        <x:f>IF(M127="","",M127+P127)</x:f>
      </x:c>
      <x:c r="R127" s="7">
        <x:f>IF(K127&lt;&gt;"Paid",0,IF(C127="Income",Q127,-Q127))</x:f>
      </x:c>
      <x:c r="S127" s="14">
        <x:f>IF(A127="","",DATE(YEAR(A127),MONTH(A127),1))</x:f>
      </x:c>
      <x:c r="T127" s="14">
        <x:f>IF(L127="","",DATE(YEAR(L127),MONTH(L127),1))</x:f>
      </x:c>
    </x:row>
    <x:row r="128">
      <x:c r="A128" s="11" t="n"/>
      <x:c r="B128" s="5" t="n"/>
      <x:c r="C128" s="12" t="n"/>
      <x:c r="D128" s="12" t="n"/>
      <x:c r="E128" s="12" t="n"/>
      <x:c r="F128" s="12" t="n"/>
      <x:c r="G128" s="13">
        <x:f>IF(F128="","",IFERROR(VLOOKUP(F128,Master_Data!$E$24:$G$33,2,FALSE),"9999"))</x:f>
      </x:c>
      <x:c r="H128" s="12" t="n"/>
      <x:c r="I128" s="12" t="n"/>
      <x:c r="J128" s="12" t="n"/>
      <x:c r="K128" s="12" t="n"/>
      <x:c r="L128" s="11" t="n"/>
      <x:c r="M128" s="9" t="n"/>
      <x:c r="N128" s="12" t="n"/>
      <x:c r="O128" s="6">
        <x:f>IF(N128="","",IFERROR(VLOOKUP(N128,Master_Data!$A$5:$C$8,3,FALSE),0))</x:f>
      </x:c>
      <x:c r="P128" s="7">
        <x:f>IF(M128="","",M128*O128)</x:f>
      </x:c>
      <x:c r="Q128" s="7">
        <x:f>IF(M128="","",M128+P128)</x:f>
      </x:c>
      <x:c r="R128" s="7">
        <x:f>IF(K128&lt;&gt;"Paid",0,IF(C128="Income",Q128,-Q128))</x:f>
      </x:c>
      <x:c r="S128" s="14">
        <x:f>IF(A128="","",DATE(YEAR(A128),MONTH(A128),1))</x:f>
      </x:c>
      <x:c r="T128" s="14">
        <x:f>IF(L128="","",DATE(YEAR(L128),MONTH(L128),1))</x:f>
      </x:c>
    </x:row>
    <x:row r="129">
      <x:c r="A129" s="11" t="n"/>
      <x:c r="B129" s="5" t="n"/>
      <x:c r="C129" s="12" t="n"/>
      <x:c r="D129" s="12" t="n"/>
      <x:c r="E129" s="12" t="n"/>
      <x:c r="F129" s="12" t="n"/>
      <x:c r="G129" s="13">
        <x:f>IF(F129="","",IFERROR(VLOOKUP(F129,Master_Data!$E$24:$G$33,2,FALSE),"9999"))</x:f>
      </x:c>
      <x:c r="H129" s="12" t="n"/>
      <x:c r="I129" s="12" t="n"/>
      <x:c r="J129" s="12" t="n"/>
      <x:c r="K129" s="12" t="n"/>
      <x:c r="L129" s="11" t="n"/>
      <x:c r="M129" s="9" t="n"/>
      <x:c r="N129" s="12" t="n"/>
      <x:c r="O129" s="6">
        <x:f>IF(N129="","",IFERROR(VLOOKUP(N129,Master_Data!$A$5:$C$8,3,FALSE),0))</x:f>
      </x:c>
      <x:c r="P129" s="7">
        <x:f>IF(M129="","",M129*O129)</x:f>
      </x:c>
      <x:c r="Q129" s="7">
        <x:f>IF(M129="","",M129+P129)</x:f>
      </x:c>
      <x:c r="R129" s="7">
        <x:f>IF(K129&lt;&gt;"Paid",0,IF(C129="Income",Q129,-Q129))</x:f>
      </x:c>
      <x:c r="S129" s="14">
        <x:f>IF(A129="","",DATE(YEAR(A129),MONTH(A129),1))</x:f>
      </x:c>
      <x:c r="T129" s="14">
        <x:f>IF(L129="","",DATE(YEAR(L129),MONTH(L129),1))</x:f>
      </x:c>
    </x:row>
    <x:row r="130">
      <x:c r="A130" s="11" t="n"/>
      <x:c r="B130" s="5" t="n"/>
      <x:c r="C130" s="12" t="n"/>
      <x:c r="D130" s="12" t="n"/>
      <x:c r="E130" s="12" t="n"/>
      <x:c r="F130" s="12" t="n"/>
      <x:c r="G130" s="13">
        <x:f>IF(F130="","",IFERROR(VLOOKUP(F130,Master_Data!$E$24:$G$33,2,FALSE),"9999"))</x:f>
      </x:c>
      <x:c r="H130" s="12" t="n"/>
      <x:c r="I130" s="12" t="n"/>
      <x:c r="J130" s="12" t="n"/>
      <x:c r="K130" s="12" t="n"/>
      <x:c r="L130" s="11" t="n"/>
      <x:c r="M130" s="9" t="n"/>
      <x:c r="N130" s="12" t="n"/>
      <x:c r="O130" s="6">
        <x:f>IF(N130="","",IFERROR(VLOOKUP(N130,Master_Data!$A$5:$C$8,3,FALSE),0))</x:f>
      </x:c>
      <x:c r="P130" s="7">
        <x:f>IF(M130="","",M130*O130)</x:f>
      </x:c>
      <x:c r="Q130" s="7">
        <x:f>IF(M130="","",M130+P130)</x:f>
      </x:c>
      <x:c r="R130" s="7">
        <x:f>IF(K130&lt;&gt;"Paid",0,IF(C130="Income",Q130,-Q130))</x:f>
      </x:c>
      <x:c r="S130" s="14">
        <x:f>IF(A130="","",DATE(YEAR(A130),MONTH(A130),1))</x:f>
      </x:c>
      <x:c r="T130" s="14">
        <x:f>IF(L130="","",DATE(YEAR(L130),MONTH(L130),1))</x:f>
      </x:c>
    </x:row>
    <x:row r="131">
      <x:c r="A131" s="11" t="n"/>
      <x:c r="B131" s="5" t="n"/>
      <x:c r="C131" s="12" t="n"/>
      <x:c r="D131" s="12" t="n"/>
      <x:c r="E131" s="12" t="n"/>
      <x:c r="F131" s="12" t="n"/>
      <x:c r="G131" s="13">
        <x:f>IF(F131="","",IFERROR(VLOOKUP(F131,Master_Data!$E$24:$G$33,2,FALSE),"9999"))</x:f>
      </x:c>
      <x:c r="H131" s="12" t="n"/>
      <x:c r="I131" s="12" t="n"/>
      <x:c r="J131" s="12" t="n"/>
      <x:c r="K131" s="12" t="n"/>
      <x:c r="L131" s="11" t="n"/>
      <x:c r="M131" s="9" t="n"/>
      <x:c r="N131" s="12" t="n"/>
      <x:c r="O131" s="6">
        <x:f>IF(N131="","",IFERROR(VLOOKUP(N131,Master_Data!$A$5:$C$8,3,FALSE),0))</x:f>
      </x:c>
      <x:c r="P131" s="7">
        <x:f>IF(M131="","",M131*O131)</x:f>
      </x:c>
      <x:c r="Q131" s="7">
        <x:f>IF(M131="","",M131+P131)</x:f>
      </x:c>
      <x:c r="R131" s="7">
        <x:f>IF(K131&lt;&gt;"Paid",0,IF(C131="Income",Q131,-Q131))</x:f>
      </x:c>
      <x:c r="S131" s="14">
        <x:f>IF(A131="","",DATE(YEAR(A131),MONTH(A131),1))</x:f>
      </x:c>
      <x:c r="T131" s="14">
        <x:f>IF(L131="","",DATE(YEAR(L131),MONTH(L131),1))</x:f>
      </x:c>
    </x:row>
    <x:row r="132">
      <x:c r="A132" s="11" t="n"/>
      <x:c r="B132" s="5" t="n"/>
      <x:c r="C132" s="12" t="n"/>
      <x:c r="D132" s="12" t="n"/>
      <x:c r="E132" s="12" t="n"/>
      <x:c r="F132" s="12" t="n"/>
      <x:c r="G132" s="13">
        <x:f>IF(F132="","",IFERROR(VLOOKUP(F132,Master_Data!$E$24:$G$33,2,FALSE),"9999"))</x:f>
      </x:c>
      <x:c r="H132" s="12" t="n"/>
      <x:c r="I132" s="12" t="n"/>
      <x:c r="J132" s="12" t="n"/>
      <x:c r="K132" s="12" t="n"/>
      <x:c r="L132" s="11" t="n"/>
      <x:c r="M132" s="9" t="n"/>
      <x:c r="N132" s="12" t="n"/>
      <x:c r="O132" s="6">
        <x:f>IF(N132="","",IFERROR(VLOOKUP(N132,Master_Data!$A$5:$C$8,3,FALSE),0))</x:f>
      </x:c>
      <x:c r="P132" s="7">
        <x:f>IF(M132="","",M132*O132)</x:f>
      </x:c>
      <x:c r="Q132" s="7">
        <x:f>IF(M132="","",M132+P132)</x:f>
      </x:c>
      <x:c r="R132" s="7">
        <x:f>IF(K132&lt;&gt;"Paid",0,IF(C132="Income",Q132,-Q132))</x:f>
      </x:c>
      <x:c r="S132" s="14">
        <x:f>IF(A132="","",DATE(YEAR(A132),MONTH(A132),1))</x:f>
      </x:c>
      <x:c r="T132" s="14">
        <x:f>IF(L132="","",DATE(YEAR(L132),MONTH(L132),1))</x:f>
      </x:c>
    </x:row>
    <x:row r="133">
      <x:c r="A133" s="11" t="n"/>
      <x:c r="B133" s="5" t="n"/>
      <x:c r="C133" s="12" t="n"/>
      <x:c r="D133" s="12" t="n"/>
      <x:c r="E133" s="12" t="n"/>
      <x:c r="F133" s="12" t="n"/>
      <x:c r="G133" s="13">
        <x:f>IF(F133="","",IFERROR(VLOOKUP(F133,Master_Data!$E$24:$G$33,2,FALSE),"9999"))</x:f>
      </x:c>
      <x:c r="H133" s="12" t="n"/>
      <x:c r="I133" s="12" t="n"/>
      <x:c r="J133" s="12" t="n"/>
      <x:c r="K133" s="12" t="n"/>
      <x:c r="L133" s="11" t="n"/>
      <x:c r="M133" s="9" t="n"/>
      <x:c r="N133" s="12" t="n"/>
      <x:c r="O133" s="6">
        <x:f>IF(N133="","",IFERROR(VLOOKUP(N133,Master_Data!$A$5:$C$8,3,FALSE),0))</x:f>
      </x:c>
      <x:c r="P133" s="7">
        <x:f>IF(M133="","",M133*O133)</x:f>
      </x:c>
      <x:c r="Q133" s="7">
        <x:f>IF(M133="","",M133+P133)</x:f>
      </x:c>
      <x:c r="R133" s="7">
        <x:f>IF(K133&lt;&gt;"Paid",0,IF(C133="Income",Q133,-Q133))</x:f>
      </x:c>
      <x:c r="S133" s="14">
        <x:f>IF(A133="","",DATE(YEAR(A133),MONTH(A133),1))</x:f>
      </x:c>
      <x:c r="T133" s="14">
        <x:f>IF(L133="","",DATE(YEAR(L133),MONTH(L133),1))</x:f>
      </x:c>
    </x:row>
    <x:row r="134">
      <x:c r="A134" s="11" t="n"/>
      <x:c r="B134" s="5" t="n"/>
      <x:c r="C134" s="12" t="n"/>
      <x:c r="D134" s="12" t="n"/>
      <x:c r="E134" s="12" t="n"/>
      <x:c r="F134" s="12" t="n"/>
      <x:c r="G134" s="13">
        <x:f>IF(F134="","",IFERROR(VLOOKUP(F134,Master_Data!$E$24:$G$33,2,FALSE),"9999"))</x:f>
      </x:c>
      <x:c r="H134" s="12" t="n"/>
      <x:c r="I134" s="12" t="n"/>
      <x:c r="J134" s="12" t="n"/>
      <x:c r="K134" s="12" t="n"/>
      <x:c r="L134" s="11" t="n"/>
      <x:c r="M134" s="9" t="n"/>
      <x:c r="N134" s="12" t="n"/>
      <x:c r="O134" s="6">
        <x:f>IF(N134="","",IFERROR(VLOOKUP(N134,Master_Data!$A$5:$C$8,3,FALSE),0))</x:f>
      </x:c>
      <x:c r="P134" s="7">
        <x:f>IF(M134="","",M134*O134)</x:f>
      </x:c>
      <x:c r="Q134" s="7">
        <x:f>IF(M134="","",M134+P134)</x:f>
      </x:c>
      <x:c r="R134" s="7">
        <x:f>IF(K134&lt;&gt;"Paid",0,IF(C134="Income",Q134,-Q134))</x:f>
      </x:c>
      <x:c r="S134" s="14">
        <x:f>IF(A134="","",DATE(YEAR(A134),MONTH(A134),1))</x:f>
      </x:c>
      <x:c r="T134" s="14">
        <x:f>IF(L134="","",DATE(YEAR(L134),MONTH(L134),1))</x:f>
      </x:c>
    </x:row>
    <x:row r="135">
      <x:c r="A135" s="11" t="n"/>
      <x:c r="B135" s="5" t="n"/>
      <x:c r="C135" s="12" t="n"/>
      <x:c r="D135" s="12" t="n"/>
      <x:c r="E135" s="12" t="n"/>
      <x:c r="F135" s="12" t="n"/>
      <x:c r="G135" s="13">
        <x:f>IF(F135="","",IFERROR(VLOOKUP(F135,Master_Data!$E$24:$G$33,2,FALSE),"9999"))</x:f>
      </x:c>
      <x:c r="H135" s="12" t="n"/>
      <x:c r="I135" s="12" t="n"/>
      <x:c r="J135" s="12" t="n"/>
      <x:c r="K135" s="12" t="n"/>
      <x:c r="L135" s="11" t="n"/>
      <x:c r="M135" s="9" t="n"/>
      <x:c r="N135" s="12" t="n"/>
      <x:c r="O135" s="6">
        <x:f>IF(N135="","",IFERROR(VLOOKUP(N135,Master_Data!$A$5:$C$8,3,FALSE),0))</x:f>
      </x:c>
      <x:c r="P135" s="7">
        <x:f>IF(M135="","",M135*O135)</x:f>
      </x:c>
      <x:c r="Q135" s="7">
        <x:f>IF(M135="","",M135+P135)</x:f>
      </x:c>
      <x:c r="R135" s="7">
        <x:f>IF(K135&lt;&gt;"Paid",0,IF(C135="Income",Q135,-Q135))</x:f>
      </x:c>
      <x:c r="S135" s="14">
        <x:f>IF(A135="","",DATE(YEAR(A135),MONTH(A135),1))</x:f>
      </x:c>
      <x:c r="T135" s="14">
        <x:f>IF(L135="","",DATE(YEAR(L135),MONTH(L135),1))</x:f>
      </x:c>
    </x:row>
    <x:row r="136">
      <x:c r="A136" s="11" t="n"/>
      <x:c r="B136" s="5" t="n"/>
      <x:c r="C136" s="12" t="n"/>
      <x:c r="D136" s="12" t="n"/>
      <x:c r="E136" s="12" t="n"/>
      <x:c r="F136" s="12" t="n"/>
      <x:c r="G136" s="13">
        <x:f>IF(F136="","",IFERROR(VLOOKUP(F136,Master_Data!$E$24:$G$33,2,FALSE),"9999"))</x:f>
      </x:c>
      <x:c r="H136" s="12" t="n"/>
      <x:c r="I136" s="12" t="n"/>
      <x:c r="J136" s="12" t="n"/>
      <x:c r="K136" s="12" t="n"/>
      <x:c r="L136" s="11" t="n"/>
      <x:c r="M136" s="9" t="n"/>
      <x:c r="N136" s="12" t="n"/>
      <x:c r="O136" s="6">
        <x:f>IF(N136="","",IFERROR(VLOOKUP(N136,Master_Data!$A$5:$C$8,3,FALSE),0))</x:f>
      </x:c>
      <x:c r="P136" s="7">
        <x:f>IF(M136="","",M136*O136)</x:f>
      </x:c>
      <x:c r="Q136" s="7">
        <x:f>IF(M136="","",M136+P136)</x:f>
      </x:c>
      <x:c r="R136" s="7">
        <x:f>IF(K136&lt;&gt;"Paid",0,IF(C136="Income",Q136,-Q136))</x:f>
      </x:c>
      <x:c r="S136" s="14">
        <x:f>IF(A136="","",DATE(YEAR(A136),MONTH(A136),1))</x:f>
      </x:c>
      <x:c r="T136" s="14">
        <x:f>IF(L136="","",DATE(YEAR(L136),MONTH(L136),1))</x:f>
      </x:c>
    </x:row>
    <x:row r="137">
      <x:c r="A137" s="11" t="n"/>
      <x:c r="B137" s="5" t="n"/>
      <x:c r="C137" s="12" t="n"/>
      <x:c r="D137" s="12" t="n"/>
      <x:c r="E137" s="12" t="n"/>
      <x:c r="F137" s="12" t="n"/>
      <x:c r="G137" s="13">
        <x:f>IF(F137="","",IFERROR(VLOOKUP(F137,Master_Data!$E$24:$G$33,2,FALSE),"9999"))</x:f>
      </x:c>
      <x:c r="H137" s="12" t="n"/>
      <x:c r="I137" s="12" t="n"/>
      <x:c r="J137" s="12" t="n"/>
      <x:c r="K137" s="12" t="n"/>
      <x:c r="L137" s="11" t="n"/>
      <x:c r="M137" s="9" t="n"/>
      <x:c r="N137" s="12" t="n"/>
      <x:c r="O137" s="6">
        <x:f>IF(N137="","",IFERROR(VLOOKUP(N137,Master_Data!$A$5:$C$8,3,FALSE),0))</x:f>
      </x:c>
      <x:c r="P137" s="7">
        <x:f>IF(M137="","",M137*O137)</x:f>
      </x:c>
      <x:c r="Q137" s="7">
        <x:f>IF(M137="","",M137+P137)</x:f>
      </x:c>
      <x:c r="R137" s="7">
        <x:f>IF(K137&lt;&gt;"Paid",0,IF(C137="Income",Q137,-Q137))</x:f>
      </x:c>
      <x:c r="S137" s="14">
        <x:f>IF(A137="","",DATE(YEAR(A137),MONTH(A137),1))</x:f>
      </x:c>
      <x:c r="T137" s="14">
        <x:f>IF(L137="","",DATE(YEAR(L137),MONTH(L137),1))</x:f>
      </x:c>
    </x:row>
    <x:row r="138">
      <x:c r="A138" s="11" t="n"/>
      <x:c r="B138" s="5" t="n"/>
      <x:c r="C138" s="12" t="n"/>
      <x:c r="D138" s="12" t="n"/>
      <x:c r="E138" s="12" t="n"/>
      <x:c r="F138" s="12" t="n"/>
      <x:c r="G138" s="13">
        <x:f>IF(F138="","",IFERROR(VLOOKUP(F138,Master_Data!$E$24:$G$33,2,FALSE),"9999"))</x:f>
      </x:c>
      <x:c r="H138" s="12" t="n"/>
      <x:c r="I138" s="12" t="n"/>
      <x:c r="J138" s="12" t="n"/>
      <x:c r="K138" s="12" t="n"/>
      <x:c r="L138" s="11" t="n"/>
      <x:c r="M138" s="9" t="n"/>
      <x:c r="N138" s="12" t="n"/>
      <x:c r="O138" s="6">
        <x:f>IF(N138="","",IFERROR(VLOOKUP(N138,Master_Data!$A$5:$C$8,3,FALSE),0))</x:f>
      </x:c>
      <x:c r="P138" s="7">
        <x:f>IF(M138="","",M138*O138)</x:f>
      </x:c>
      <x:c r="Q138" s="7">
        <x:f>IF(M138="","",M138+P138)</x:f>
      </x:c>
      <x:c r="R138" s="7">
        <x:f>IF(K138&lt;&gt;"Paid",0,IF(C138="Income",Q138,-Q138))</x:f>
      </x:c>
      <x:c r="S138" s="14">
        <x:f>IF(A138="","",DATE(YEAR(A138),MONTH(A138),1))</x:f>
      </x:c>
      <x:c r="T138" s="14">
        <x:f>IF(L138="","",DATE(YEAR(L138),MONTH(L138),1))</x:f>
      </x:c>
    </x:row>
    <x:row r="139">
      <x:c r="A139" s="11" t="n"/>
      <x:c r="B139" s="5" t="n"/>
      <x:c r="C139" s="12" t="n"/>
      <x:c r="D139" s="12" t="n"/>
      <x:c r="E139" s="12" t="n"/>
      <x:c r="F139" s="12" t="n"/>
      <x:c r="G139" s="13">
        <x:f>IF(F139="","",IFERROR(VLOOKUP(F139,Master_Data!$E$24:$G$33,2,FALSE),"9999"))</x:f>
      </x:c>
      <x:c r="H139" s="12" t="n"/>
      <x:c r="I139" s="12" t="n"/>
      <x:c r="J139" s="12" t="n"/>
      <x:c r="K139" s="12" t="n"/>
      <x:c r="L139" s="11" t="n"/>
      <x:c r="M139" s="9" t="n"/>
      <x:c r="N139" s="12" t="n"/>
      <x:c r="O139" s="6">
        <x:f>IF(N139="","",IFERROR(VLOOKUP(N139,Master_Data!$A$5:$C$8,3,FALSE),0))</x:f>
      </x:c>
      <x:c r="P139" s="7">
        <x:f>IF(M139="","",M139*O139)</x:f>
      </x:c>
      <x:c r="Q139" s="7">
        <x:f>IF(M139="","",M139+P139)</x:f>
      </x:c>
      <x:c r="R139" s="7">
        <x:f>IF(K139&lt;&gt;"Paid",0,IF(C139="Income",Q139,-Q139))</x:f>
      </x:c>
      <x:c r="S139" s="14">
        <x:f>IF(A139="","",DATE(YEAR(A139),MONTH(A139),1))</x:f>
      </x:c>
      <x:c r="T139" s="14">
        <x:f>IF(L139="","",DATE(YEAR(L139),MONTH(L139),1))</x:f>
      </x:c>
    </x:row>
    <x:row r="140">
      <x:c r="A140" s="11" t="n"/>
      <x:c r="B140" s="5" t="n"/>
      <x:c r="C140" s="12" t="n"/>
      <x:c r="D140" s="12" t="n"/>
      <x:c r="E140" s="12" t="n"/>
      <x:c r="F140" s="12" t="n"/>
      <x:c r="G140" s="13">
        <x:f>IF(F140="","",IFERROR(VLOOKUP(F140,Master_Data!$E$24:$G$33,2,FALSE),"9999"))</x:f>
      </x:c>
      <x:c r="H140" s="12" t="n"/>
      <x:c r="I140" s="12" t="n"/>
      <x:c r="J140" s="12" t="n"/>
      <x:c r="K140" s="12" t="n"/>
      <x:c r="L140" s="11" t="n"/>
      <x:c r="M140" s="9" t="n"/>
      <x:c r="N140" s="12" t="n"/>
      <x:c r="O140" s="6">
        <x:f>IF(N140="","",IFERROR(VLOOKUP(N140,Master_Data!$A$5:$C$8,3,FALSE),0))</x:f>
      </x:c>
      <x:c r="P140" s="7">
        <x:f>IF(M140="","",M140*O140)</x:f>
      </x:c>
      <x:c r="Q140" s="7">
        <x:f>IF(M140="","",M140+P140)</x:f>
      </x:c>
      <x:c r="R140" s="7">
        <x:f>IF(K140&lt;&gt;"Paid",0,IF(C140="Income",Q140,-Q140))</x:f>
      </x:c>
      <x:c r="S140" s="14">
        <x:f>IF(A140="","",DATE(YEAR(A140),MONTH(A140),1))</x:f>
      </x:c>
      <x:c r="T140" s="14">
        <x:f>IF(L140="","",DATE(YEAR(L140),MONTH(L140),1))</x:f>
      </x:c>
    </x:row>
    <x:row r="141">
      <x:c r="A141" s="11" t="n"/>
      <x:c r="B141" s="5" t="n"/>
      <x:c r="C141" s="12" t="n"/>
      <x:c r="D141" s="12" t="n"/>
      <x:c r="E141" s="12" t="n"/>
      <x:c r="F141" s="12" t="n"/>
      <x:c r="G141" s="13">
        <x:f>IF(F141="","",IFERROR(VLOOKUP(F141,Master_Data!$E$24:$G$33,2,FALSE),"9999"))</x:f>
      </x:c>
      <x:c r="H141" s="12" t="n"/>
      <x:c r="I141" s="12" t="n"/>
      <x:c r="J141" s="12" t="n"/>
      <x:c r="K141" s="12" t="n"/>
      <x:c r="L141" s="11" t="n"/>
      <x:c r="M141" s="9" t="n"/>
      <x:c r="N141" s="12" t="n"/>
      <x:c r="O141" s="6">
        <x:f>IF(N141="","",IFERROR(VLOOKUP(N141,Master_Data!$A$5:$C$8,3,FALSE),0))</x:f>
      </x:c>
      <x:c r="P141" s="7">
        <x:f>IF(M141="","",M141*O141)</x:f>
      </x:c>
      <x:c r="Q141" s="7">
        <x:f>IF(M141="","",M141+P141)</x:f>
      </x:c>
      <x:c r="R141" s="7">
        <x:f>IF(K141&lt;&gt;"Paid",0,IF(C141="Income",Q141,-Q141))</x:f>
      </x:c>
      <x:c r="S141" s="14">
        <x:f>IF(A141="","",DATE(YEAR(A141),MONTH(A141),1))</x:f>
      </x:c>
      <x:c r="T141" s="14">
        <x:f>IF(L141="","",DATE(YEAR(L141),MONTH(L141),1))</x:f>
      </x:c>
    </x:row>
    <x:row r="142">
      <x:c r="A142" s="11" t="n"/>
      <x:c r="B142" s="5" t="n"/>
      <x:c r="C142" s="12" t="n"/>
      <x:c r="D142" s="12" t="n"/>
      <x:c r="E142" s="12" t="n"/>
      <x:c r="F142" s="12" t="n"/>
      <x:c r="G142" s="13">
        <x:f>IF(F142="","",IFERROR(VLOOKUP(F142,Master_Data!$E$24:$G$33,2,FALSE),"9999"))</x:f>
      </x:c>
      <x:c r="H142" s="12" t="n"/>
      <x:c r="I142" s="12" t="n"/>
      <x:c r="J142" s="12" t="n"/>
      <x:c r="K142" s="12" t="n"/>
      <x:c r="L142" s="11" t="n"/>
      <x:c r="M142" s="9" t="n"/>
      <x:c r="N142" s="12" t="n"/>
      <x:c r="O142" s="6">
        <x:f>IF(N142="","",IFERROR(VLOOKUP(N142,Master_Data!$A$5:$C$8,3,FALSE),0))</x:f>
      </x:c>
      <x:c r="P142" s="7">
        <x:f>IF(M142="","",M142*O142)</x:f>
      </x:c>
      <x:c r="Q142" s="7">
        <x:f>IF(M142="","",M142+P142)</x:f>
      </x:c>
      <x:c r="R142" s="7">
        <x:f>IF(K142&lt;&gt;"Paid",0,IF(C142="Income",Q142,-Q142))</x:f>
      </x:c>
      <x:c r="S142" s="14">
        <x:f>IF(A142="","",DATE(YEAR(A142),MONTH(A142),1))</x:f>
      </x:c>
      <x:c r="T142" s="14">
        <x:f>IF(L142="","",DATE(YEAR(L142),MONTH(L142),1))</x:f>
      </x:c>
    </x:row>
    <x:row r="143">
      <x:c r="A143" s="11" t="n"/>
      <x:c r="B143" s="5" t="n"/>
      <x:c r="C143" s="12" t="n"/>
      <x:c r="D143" s="12" t="n"/>
      <x:c r="E143" s="12" t="n"/>
      <x:c r="F143" s="12" t="n"/>
      <x:c r="G143" s="13">
        <x:f>IF(F143="","",IFERROR(VLOOKUP(F143,Master_Data!$E$24:$G$33,2,FALSE),"9999"))</x:f>
      </x:c>
      <x:c r="H143" s="12" t="n"/>
      <x:c r="I143" s="12" t="n"/>
      <x:c r="J143" s="12" t="n"/>
      <x:c r="K143" s="12" t="n"/>
      <x:c r="L143" s="11" t="n"/>
      <x:c r="M143" s="9" t="n"/>
      <x:c r="N143" s="12" t="n"/>
      <x:c r="O143" s="6">
        <x:f>IF(N143="","",IFERROR(VLOOKUP(N143,Master_Data!$A$5:$C$8,3,FALSE),0))</x:f>
      </x:c>
      <x:c r="P143" s="7">
        <x:f>IF(M143="","",M143*O143)</x:f>
      </x:c>
      <x:c r="Q143" s="7">
        <x:f>IF(M143="","",M143+P143)</x:f>
      </x:c>
      <x:c r="R143" s="7">
        <x:f>IF(K143&lt;&gt;"Paid",0,IF(C143="Income",Q143,-Q143))</x:f>
      </x:c>
      <x:c r="S143" s="14">
        <x:f>IF(A143="","",DATE(YEAR(A143),MONTH(A143),1))</x:f>
      </x:c>
      <x:c r="T143" s="14">
        <x:f>IF(L143="","",DATE(YEAR(L143),MONTH(L143),1))</x:f>
      </x:c>
    </x:row>
    <x:row r="144">
      <x:c r="A144" s="11" t="n"/>
      <x:c r="B144" s="5" t="n"/>
      <x:c r="C144" s="12" t="n"/>
      <x:c r="D144" s="12" t="n"/>
      <x:c r="E144" s="12" t="n"/>
      <x:c r="F144" s="12" t="n"/>
      <x:c r="G144" s="13">
        <x:f>IF(F144="","",IFERROR(VLOOKUP(F144,Master_Data!$E$24:$G$33,2,FALSE),"9999"))</x:f>
      </x:c>
      <x:c r="H144" s="12" t="n"/>
      <x:c r="I144" s="12" t="n"/>
      <x:c r="J144" s="12" t="n"/>
      <x:c r="K144" s="12" t="n"/>
      <x:c r="L144" s="11" t="n"/>
      <x:c r="M144" s="9" t="n"/>
      <x:c r="N144" s="12" t="n"/>
      <x:c r="O144" s="6">
        <x:f>IF(N144="","",IFERROR(VLOOKUP(N144,Master_Data!$A$5:$C$8,3,FALSE),0))</x:f>
      </x:c>
      <x:c r="P144" s="7">
        <x:f>IF(M144="","",M144*O144)</x:f>
      </x:c>
      <x:c r="Q144" s="7">
        <x:f>IF(M144="","",M144+P144)</x:f>
      </x:c>
      <x:c r="R144" s="7">
        <x:f>IF(K144&lt;&gt;"Paid",0,IF(C144="Income",Q144,-Q144))</x:f>
      </x:c>
      <x:c r="S144" s="14">
        <x:f>IF(A144="","",DATE(YEAR(A144),MONTH(A144),1))</x:f>
      </x:c>
      <x:c r="T144" s="14">
        <x:f>IF(L144="","",DATE(YEAR(L144),MONTH(L144),1))</x:f>
      </x:c>
    </x:row>
    <x:row r="145">
      <x:c r="A145" s="11" t="n"/>
      <x:c r="B145" s="5" t="n"/>
      <x:c r="C145" s="12" t="n"/>
      <x:c r="D145" s="12" t="n"/>
      <x:c r="E145" s="12" t="n"/>
      <x:c r="F145" s="12" t="n"/>
      <x:c r="G145" s="13">
        <x:f>IF(F145="","",IFERROR(VLOOKUP(F145,Master_Data!$E$24:$G$33,2,FALSE),"9999"))</x:f>
      </x:c>
      <x:c r="H145" s="12" t="n"/>
      <x:c r="I145" s="12" t="n"/>
      <x:c r="J145" s="12" t="n"/>
      <x:c r="K145" s="12" t="n"/>
      <x:c r="L145" s="11" t="n"/>
      <x:c r="M145" s="9" t="n"/>
      <x:c r="N145" s="12" t="n"/>
      <x:c r="O145" s="6">
        <x:f>IF(N145="","",IFERROR(VLOOKUP(N145,Master_Data!$A$5:$C$8,3,FALSE),0))</x:f>
      </x:c>
      <x:c r="P145" s="7">
        <x:f>IF(M145="","",M145*O145)</x:f>
      </x:c>
      <x:c r="Q145" s="7">
        <x:f>IF(M145="","",M145+P145)</x:f>
      </x:c>
      <x:c r="R145" s="7">
        <x:f>IF(K145&lt;&gt;"Paid",0,IF(C145="Income",Q145,-Q145))</x:f>
      </x:c>
      <x:c r="S145" s="14">
        <x:f>IF(A145="","",DATE(YEAR(A145),MONTH(A145),1))</x:f>
      </x:c>
      <x:c r="T145" s="14">
        <x:f>IF(L145="","",DATE(YEAR(L145),MONTH(L145),1))</x:f>
      </x:c>
    </x:row>
    <x:row r="146">
      <x:c r="A146" s="11" t="n"/>
      <x:c r="B146" s="5" t="n"/>
      <x:c r="C146" s="12" t="n"/>
      <x:c r="D146" s="12" t="n"/>
      <x:c r="E146" s="12" t="n"/>
      <x:c r="F146" s="12" t="n"/>
      <x:c r="G146" s="13">
        <x:f>IF(F146="","",IFERROR(VLOOKUP(F146,Master_Data!$E$24:$G$33,2,FALSE),"9999"))</x:f>
      </x:c>
      <x:c r="H146" s="12" t="n"/>
      <x:c r="I146" s="12" t="n"/>
      <x:c r="J146" s="12" t="n"/>
      <x:c r="K146" s="12" t="n"/>
      <x:c r="L146" s="11" t="n"/>
      <x:c r="M146" s="9" t="n"/>
      <x:c r="N146" s="12" t="n"/>
      <x:c r="O146" s="6">
        <x:f>IF(N146="","",IFERROR(VLOOKUP(N146,Master_Data!$A$5:$C$8,3,FALSE),0))</x:f>
      </x:c>
      <x:c r="P146" s="7">
        <x:f>IF(M146="","",M146*O146)</x:f>
      </x:c>
      <x:c r="Q146" s="7">
        <x:f>IF(M146="","",M146+P146)</x:f>
      </x:c>
      <x:c r="R146" s="7">
        <x:f>IF(K146&lt;&gt;"Paid",0,IF(C146="Income",Q146,-Q146))</x:f>
      </x:c>
      <x:c r="S146" s="14">
        <x:f>IF(A146="","",DATE(YEAR(A146),MONTH(A146),1))</x:f>
      </x:c>
      <x:c r="T146" s="14">
        <x:f>IF(L146="","",DATE(YEAR(L146),MONTH(L146),1))</x:f>
      </x:c>
    </x:row>
    <x:row r="147">
      <x:c r="A147" s="11" t="n"/>
      <x:c r="B147" s="5" t="n"/>
      <x:c r="C147" s="12" t="n"/>
      <x:c r="D147" s="12" t="n"/>
      <x:c r="E147" s="12" t="n"/>
      <x:c r="F147" s="12" t="n"/>
      <x:c r="G147" s="13">
        <x:f>IF(F147="","",IFERROR(VLOOKUP(F147,Master_Data!$E$24:$G$33,2,FALSE),"9999"))</x:f>
      </x:c>
      <x:c r="H147" s="12" t="n"/>
      <x:c r="I147" s="12" t="n"/>
      <x:c r="J147" s="12" t="n"/>
      <x:c r="K147" s="12" t="n"/>
      <x:c r="L147" s="11" t="n"/>
      <x:c r="M147" s="9" t="n"/>
      <x:c r="N147" s="12" t="n"/>
      <x:c r="O147" s="6">
        <x:f>IF(N147="","",IFERROR(VLOOKUP(N147,Master_Data!$A$5:$C$8,3,FALSE),0))</x:f>
      </x:c>
      <x:c r="P147" s="7">
        <x:f>IF(M147="","",M147*O147)</x:f>
      </x:c>
      <x:c r="Q147" s="7">
        <x:f>IF(M147="","",M147+P147)</x:f>
      </x:c>
      <x:c r="R147" s="7">
        <x:f>IF(K147&lt;&gt;"Paid",0,IF(C147="Income",Q147,-Q147))</x:f>
      </x:c>
      <x:c r="S147" s="14">
        <x:f>IF(A147="","",DATE(YEAR(A147),MONTH(A147),1))</x:f>
      </x:c>
      <x:c r="T147" s="14">
        <x:f>IF(L147="","",DATE(YEAR(L147),MONTH(L147),1))</x:f>
      </x:c>
    </x:row>
    <x:row r="148">
      <x:c r="A148" s="11" t="n"/>
      <x:c r="B148" s="5" t="n"/>
      <x:c r="C148" s="12" t="n"/>
      <x:c r="D148" s="12" t="n"/>
      <x:c r="E148" s="12" t="n"/>
      <x:c r="F148" s="12" t="n"/>
      <x:c r="G148" s="13">
        <x:f>IF(F148="","",IFERROR(VLOOKUP(F148,Master_Data!$E$24:$G$33,2,FALSE),"9999"))</x:f>
      </x:c>
      <x:c r="H148" s="12" t="n"/>
      <x:c r="I148" s="12" t="n"/>
      <x:c r="J148" s="12" t="n"/>
      <x:c r="K148" s="12" t="n"/>
      <x:c r="L148" s="11" t="n"/>
      <x:c r="M148" s="9" t="n"/>
      <x:c r="N148" s="12" t="n"/>
      <x:c r="O148" s="6">
        <x:f>IF(N148="","",IFERROR(VLOOKUP(N148,Master_Data!$A$5:$C$8,3,FALSE),0))</x:f>
      </x:c>
      <x:c r="P148" s="7">
        <x:f>IF(M148="","",M148*O148)</x:f>
      </x:c>
      <x:c r="Q148" s="7">
        <x:f>IF(M148="","",M148+P148)</x:f>
      </x:c>
      <x:c r="R148" s="7">
        <x:f>IF(K148&lt;&gt;"Paid",0,IF(C148="Income",Q148,-Q148))</x:f>
      </x:c>
      <x:c r="S148" s="14">
        <x:f>IF(A148="","",DATE(YEAR(A148),MONTH(A148),1))</x:f>
      </x:c>
      <x:c r="T148" s="14">
        <x:f>IF(L148="","",DATE(YEAR(L148),MONTH(L148),1))</x:f>
      </x:c>
    </x:row>
    <x:row r="149">
      <x:c r="A149" s="11" t="n"/>
      <x:c r="B149" s="5" t="n"/>
      <x:c r="C149" s="12" t="n"/>
      <x:c r="D149" s="12" t="n"/>
      <x:c r="E149" s="12" t="n"/>
      <x:c r="F149" s="12" t="n"/>
      <x:c r="G149" s="13">
        <x:f>IF(F149="","",IFERROR(VLOOKUP(F149,Master_Data!$E$24:$G$33,2,FALSE),"9999"))</x:f>
      </x:c>
      <x:c r="H149" s="12" t="n"/>
      <x:c r="I149" s="12" t="n"/>
      <x:c r="J149" s="12" t="n"/>
      <x:c r="K149" s="12" t="n"/>
      <x:c r="L149" s="11" t="n"/>
      <x:c r="M149" s="9" t="n"/>
      <x:c r="N149" s="12" t="n"/>
      <x:c r="O149" s="6">
        <x:f>IF(N149="","",IFERROR(VLOOKUP(N149,Master_Data!$A$5:$C$8,3,FALSE),0))</x:f>
      </x:c>
      <x:c r="P149" s="7">
        <x:f>IF(M149="","",M149*O149)</x:f>
      </x:c>
      <x:c r="Q149" s="7">
        <x:f>IF(M149="","",M149+P149)</x:f>
      </x:c>
      <x:c r="R149" s="7">
        <x:f>IF(K149&lt;&gt;"Paid",0,IF(C149="Income",Q149,-Q149))</x:f>
      </x:c>
      <x:c r="S149" s="14">
        <x:f>IF(A149="","",DATE(YEAR(A149),MONTH(A149),1))</x:f>
      </x:c>
      <x:c r="T149" s="14">
        <x:f>IF(L149="","",DATE(YEAR(L149),MONTH(L149),1))</x:f>
      </x:c>
    </x:row>
    <x:row r="150">
      <x:c r="A150" s="11" t="n"/>
      <x:c r="B150" s="5" t="n"/>
      <x:c r="C150" s="12" t="n"/>
      <x:c r="D150" s="12" t="n"/>
      <x:c r="E150" s="12" t="n"/>
      <x:c r="F150" s="12" t="n"/>
      <x:c r="G150" s="13">
        <x:f>IF(F150="","",IFERROR(VLOOKUP(F150,Master_Data!$E$24:$G$33,2,FALSE),"9999"))</x:f>
      </x:c>
      <x:c r="H150" s="12" t="n"/>
      <x:c r="I150" s="12" t="n"/>
      <x:c r="J150" s="12" t="n"/>
      <x:c r="K150" s="12" t="n"/>
      <x:c r="L150" s="11" t="n"/>
      <x:c r="M150" s="9" t="n"/>
      <x:c r="N150" s="12" t="n"/>
      <x:c r="O150" s="6">
        <x:f>IF(N150="","",IFERROR(VLOOKUP(N150,Master_Data!$A$5:$C$8,3,FALSE),0))</x:f>
      </x:c>
      <x:c r="P150" s="7">
        <x:f>IF(M150="","",M150*O150)</x:f>
      </x:c>
      <x:c r="Q150" s="7">
        <x:f>IF(M150="","",M150+P150)</x:f>
      </x:c>
      <x:c r="R150" s="7">
        <x:f>IF(K150&lt;&gt;"Paid",0,IF(C150="Income",Q150,-Q150))</x:f>
      </x:c>
      <x:c r="S150" s="14">
        <x:f>IF(A150="","",DATE(YEAR(A150),MONTH(A150),1))</x:f>
      </x:c>
      <x:c r="T150" s="14">
        <x:f>IF(L150="","",DATE(YEAR(L150),MONTH(L150),1))</x:f>
      </x:c>
    </x:row>
    <x:row r="151">
      <x:c r="A151" s="11" t="n"/>
      <x:c r="B151" s="5" t="n"/>
      <x:c r="C151" s="12" t="n"/>
      <x:c r="D151" s="12" t="n"/>
      <x:c r="E151" s="12" t="n"/>
      <x:c r="F151" s="12" t="n"/>
      <x:c r="G151" s="13">
        <x:f>IF(F151="","",IFERROR(VLOOKUP(F151,Master_Data!$E$24:$G$33,2,FALSE),"9999"))</x:f>
      </x:c>
      <x:c r="H151" s="12" t="n"/>
      <x:c r="I151" s="12" t="n"/>
      <x:c r="J151" s="12" t="n"/>
      <x:c r="K151" s="12" t="n"/>
      <x:c r="L151" s="11" t="n"/>
      <x:c r="M151" s="9" t="n"/>
      <x:c r="N151" s="12" t="n"/>
      <x:c r="O151" s="6">
        <x:f>IF(N151="","",IFERROR(VLOOKUP(N151,Master_Data!$A$5:$C$8,3,FALSE),0))</x:f>
      </x:c>
      <x:c r="P151" s="7">
        <x:f>IF(M151="","",M151*O151)</x:f>
      </x:c>
      <x:c r="Q151" s="7">
        <x:f>IF(M151="","",M151+P151)</x:f>
      </x:c>
      <x:c r="R151" s="7">
        <x:f>IF(K151&lt;&gt;"Paid",0,IF(C151="Income",Q151,-Q151))</x:f>
      </x:c>
      <x:c r="S151" s="14">
        <x:f>IF(A151="","",DATE(YEAR(A151),MONTH(A151),1))</x:f>
      </x:c>
      <x:c r="T151" s="14">
        <x:f>IF(L151="","",DATE(YEAR(L151),MONTH(L151),1))</x:f>
      </x:c>
    </x:row>
    <x:row r="152">
      <x:c r="A152" s="11" t="n"/>
      <x:c r="B152" s="5" t="n"/>
      <x:c r="C152" s="12" t="n"/>
      <x:c r="D152" s="12" t="n"/>
      <x:c r="E152" s="12" t="n"/>
      <x:c r="F152" s="12" t="n"/>
      <x:c r="G152" s="13">
        <x:f>IF(F152="","",IFERROR(VLOOKUP(F152,Master_Data!$E$24:$G$33,2,FALSE),"9999"))</x:f>
      </x:c>
      <x:c r="H152" s="12" t="n"/>
      <x:c r="I152" s="12" t="n"/>
      <x:c r="J152" s="12" t="n"/>
      <x:c r="K152" s="12" t="n"/>
      <x:c r="L152" s="11" t="n"/>
      <x:c r="M152" s="9" t="n"/>
      <x:c r="N152" s="12" t="n"/>
      <x:c r="O152" s="6">
        <x:f>IF(N152="","",IFERROR(VLOOKUP(N152,Master_Data!$A$5:$C$8,3,FALSE),0))</x:f>
      </x:c>
      <x:c r="P152" s="7">
        <x:f>IF(M152="","",M152*O152)</x:f>
      </x:c>
      <x:c r="Q152" s="7">
        <x:f>IF(M152="","",M152+P152)</x:f>
      </x:c>
      <x:c r="R152" s="7">
        <x:f>IF(K152&lt;&gt;"Paid",0,IF(C152="Income",Q152,-Q152))</x:f>
      </x:c>
      <x:c r="S152" s="14">
        <x:f>IF(A152="","",DATE(YEAR(A152),MONTH(A152),1))</x:f>
      </x:c>
      <x:c r="T152" s="14">
        <x:f>IF(L152="","",DATE(YEAR(L152),MONTH(L152),1))</x:f>
      </x:c>
    </x:row>
    <x:row r="153">
      <x:c r="A153" s="11" t="n"/>
      <x:c r="B153" s="5" t="n"/>
      <x:c r="C153" s="12" t="n"/>
      <x:c r="D153" s="12" t="n"/>
      <x:c r="E153" s="12" t="n"/>
      <x:c r="F153" s="12" t="n"/>
      <x:c r="G153" s="13">
        <x:f>IF(F153="","",IFERROR(VLOOKUP(F153,Master_Data!$E$24:$G$33,2,FALSE),"9999"))</x:f>
      </x:c>
      <x:c r="H153" s="12" t="n"/>
      <x:c r="I153" s="12" t="n"/>
      <x:c r="J153" s="12" t="n"/>
      <x:c r="K153" s="12" t="n"/>
      <x:c r="L153" s="11" t="n"/>
      <x:c r="M153" s="9" t="n"/>
      <x:c r="N153" s="12" t="n"/>
      <x:c r="O153" s="6">
        <x:f>IF(N153="","",IFERROR(VLOOKUP(N153,Master_Data!$A$5:$C$8,3,FALSE),0))</x:f>
      </x:c>
      <x:c r="P153" s="7">
        <x:f>IF(M153="","",M153*O153)</x:f>
      </x:c>
      <x:c r="Q153" s="7">
        <x:f>IF(M153="","",M153+P153)</x:f>
      </x:c>
      <x:c r="R153" s="7">
        <x:f>IF(K153&lt;&gt;"Paid",0,IF(C153="Income",Q153,-Q153))</x:f>
      </x:c>
      <x:c r="S153" s="14">
        <x:f>IF(A153="","",DATE(YEAR(A153),MONTH(A153),1))</x:f>
      </x:c>
      <x:c r="T153" s="14">
        <x:f>IF(L153="","",DATE(YEAR(L153),MONTH(L153),1))</x:f>
      </x:c>
    </x:row>
    <x:row r="154">
      <x:c r="A154" s="11" t="n"/>
      <x:c r="B154" s="5" t="n"/>
      <x:c r="C154" s="12" t="n"/>
      <x:c r="D154" s="12" t="n"/>
      <x:c r="E154" s="12" t="n"/>
      <x:c r="F154" s="12" t="n"/>
      <x:c r="G154" s="13">
        <x:f>IF(F154="","",IFERROR(VLOOKUP(F154,Master_Data!$E$24:$G$33,2,FALSE),"9999"))</x:f>
      </x:c>
      <x:c r="H154" s="12" t="n"/>
      <x:c r="I154" s="12" t="n"/>
      <x:c r="J154" s="12" t="n"/>
      <x:c r="K154" s="12" t="n"/>
      <x:c r="L154" s="11" t="n"/>
      <x:c r="M154" s="9" t="n"/>
      <x:c r="N154" s="12" t="n"/>
      <x:c r="O154" s="6">
        <x:f>IF(N154="","",IFERROR(VLOOKUP(N154,Master_Data!$A$5:$C$8,3,FALSE),0))</x:f>
      </x:c>
      <x:c r="P154" s="7">
        <x:f>IF(M154="","",M154*O154)</x:f>
      </x:c>
      <x:c r="Q154" s="7">
        <x:f>IF(M154="","",M154+P154)</x:f>
      </x:c>
      <x:c r="R154" s="7">
        <x:f>IF(K154&lt;&gt;"Paid",0,IF(C154="Income",Q154,-Q154))</x:f>
      </x:c>
      <x:c r="S154" s="14">
        <x:f>IF(A154="","",DATE(YEAR(A154),MONTH(A154),1))</x:f>
      </x:c>
      <x:c r="T154" s="14">
        <x:f>IF(L154="","",DATE(YEAR(L154),MONTH(L154),1))</x:f>
      </x:c>
    </x:row>
    <x:row r="155">
      <x:c r="A155" s="11" t="n"/>
      <x:c r="B155" s="5" t="n"/>
      <x:c r="C155" s="12" t="n"/>
      <x:c r="D155" s="12" t="n"/>
      <x:c r="E155" s="12" t="n"/>
      <x:c r="F155" s="12" t="n"/>
      <x:c r="G155" s="13">
        <x:f>IF(F155="","",IFERROR(VLOOKUP(F155,Master_Data!$E$24:$G$33,2,FALSE),"9999"))</x:f>
      </x:c>
      <x:c r="H155" s="12" t="n"/>
      <x:c r="I155" s="12" t="n"/>
      <x:c r="J155" s="12" t="n"/>
      <x:c r="K155" s="12" t="n"/>
      <x:c r="L155" s="11" t="n"/>
      <x:c r="M155" s="9" t="n"/>
      <x:c r="N155" s="12" t="n"/>
      <x:c r="O155" s="6">
        <x:f>IF(N155="","",IFERROR(VLOOKUP(N155,Master_Data!$A$5:$C$8,3,FALSE),0))</x:f>
      </x:c>
      <x:c r="P155" s="7">
        <x:f>IF(M155="","",M155*O155)</x:f>
      </x:c>
      <x:c r="Q155" s="7">
        <x:f>IF(M155="","",M155+P155)</x:f>
      </x:c>
      <x:c r="R155" s="7">
        <x:f>IF(K155&lt;&gt;"Paid",0,IF(C155="Income",Q155,-Q155))</x:f>
      </x:c>
      <x:c r="S155" s="14">
        <x:f>IF(A155="","",DATE(YEAR(A155),MONTH(A155),1))</x:f>
      </x:c>
      <x:c r="T155" s="14">
        <x:f>IF(L155="","",DATE(YEAR(L155),MONTH(L155),1))</x:f>
      </x:c>
    </x:row>
    <x:row r="156">
      <x:c r="A156" s="11" t="n"/>
      <x:c r="B156" s="5" t="n"/>
      <x:c r="C156" s="12" t="n"/>
      <x:c r="D156" s="12" t="n"/>
      <x:c r="E156" s="12" t="n"/>
      <x:c r="F156" s="12" t="n"/>
      <x:c r="G156" s="13">
        <x:f>IF(F156="","",IFERROR(VLOOKUP(F156,Master_Data!$E$24:$G$33,2,FALSE),"9999"))</x:f>
      </x:c>
      <x:c r="H156" s="12" t="n"/>
      <x:c r="I156" s="12" t="n"/>
      <x:c r="J156" s="12" t="n"/>
      <x:c r="K156" s="12" t="n"/>
      <x:c r="L156" s="11" t="n"/>
      <x:c r="M156" s="9" t="n"/>
      <x:c r="N156" s="12" t="n"/>
      <x:c r="O156" s="6">
        <x:f>IF(N156="","",IFERROR(VLOOKUP(N156,Master_Data!$A$5:$C$8,3,FALSE),0))</x:f>
      </x:c>
      <x:c r="P156" s="7">
        <x:f>IF(M156="","",M156*O156)</x:f>
      </x:c>
      <x:c r="Q156" s="7">
        <x:f>IF(M156="","",M156+P156)</x:f>
      </x:c>
      <x:c r="R156" s="7">
        <x:f>IF(K156&lt;&gt;"Paid",0,IF(C156="Income",Q156,-Q156))</x:f>
      </x:c>
      <x:c r="S156" s="14">
        <x:f>IF(A156="","",DATE(YEAR(A156),MONTH(A156),1))</x:f>
      </x:c>
      <x:c r="T156" s="14">
        <x:f>IF(L156="","",DATE(YEAR(L156),MONTH(L156),1))</x:f>
      </x:c>
    </x:row>
    <x:row r="157">
      <x:c r="A157" s="11" t="n"/>
      <x:c r="B157" s="5" t="n"/>
      <x:c r="C157" s="12" t="n"/>
      <x:c r="D157" s="12" t="n"/>
      <x:c r="E157" s="12" t="n"/>
      <x:c r="F157" s="12" t="n"/>
      <x:c r="G157" s="13">
        <x:f>IF(F157="","",IFERROR(VLOOKUP(F157,Master_Data!$E$24:$G$33,2,FALSE),"9999"))</x:f>
      </x:c>
      <x:c r="H157" s="12" t="n"/>
      <x:c r="I157" s="12" t="n"/>
      <x:c r="J157" s="12" t="n"/>
      <x:c r="K157" s="12" t="n"/>
      <x:c r="L157" s="11" t="n"/>
      <x:c r="M157" s="9" t="n"/>
      <x:c r="N157" s="12" t="n"/>
      <x:c r="O157" s="6">
        <x:f>IF(N157="","",IFERROR(VLOOKUP(N157,Master_Data!$A$5:$C$8,3,FALSE),0))</x:f>
      </x:c>
      <x:c r="P157" s="7">
        <x:f>IF(M157="","",M157*O157)</x:f>
      </x:c>
      <x:c r="Q157" s="7">
        <x:f>IF(M157="","",M157+P157)</x:f>
      </x:c>
      <x:c r="R157" s="7">
        <x:f>IF(K157&lt;&gt;"Paid",0,IF(C157="Income",Q157,-Q157))</x:f>
      </x:c>
      <x:c r="S157" s="14">
        <x:f>IF(A157="","",DATE(YEAR(A157),MONTH(A157),1))</x:f>
      </x:c>
      <x:c r="T157" s="14">
        <x:f>IF(L157="","",DATE(YEAR(L157),MONTH(L157),1))</x:f>
      </x:c>
    </x:row>
    <x:row r="158">
      <x:c r="A158" s="11" t="n"/>
      <x:c r="B158" s="5" t="n"/>
      <x:c r="C158" s="12" t="n"/>
      <x:c r="D158" s="12" t="n"/>
      <x:c r="E158" s="12" t="n"/>
      <x:c r="F158" s="12" t="n"/>
      <x:c r="G158" s="13">
        <x:f>IF(F158="","",IFERROR(VLOOKUP(F158,Master_Data!$E$24:$G$33,2,FALSE),"9999"))</x:f>
      </x:c>
      <x:c r="H158" s="12" t="n"/>
      <x:c r="I158" s="12" t="n"/>
      <x:c r="J158" s="12" t="n"/>
      <x:c r="K158" s="12" t="n"/>
      <x:c r="L158" s="11" t="n"/>
      <x:c r="M158" s="9" t="n"/>
      <x:c r="N158" s="12" t="n"/>
      <x:c r="O158" s="6">
        <x:f>IF(N158="","",IFERROR(VLOOKUP(N158,Master_Data!$A$5:$C$8,3,FALSE),0))</x:f>
      </x:c>
      <x:c r="P158" s="7">
        <x:f>IF(M158="","",M158*O158)</x:f>
      </x:c>
      <x:c r="Q158" s="7">
        <x:f>IF(M158="","",M158+P158)</x:f>
      </x:c>
      <x:c r="R158" s="7">
        <x:f>IF(K158&lt;&gt;"Paid",0,IF(C158="Income",Q158,-Q158))</x:f>
      </x:c>
      <x:c r="S158" s="14">
        <x:f>IF(A158="","",DATE(YEAR(A158),MONTH(A158),1))</x:f>
      </x:c>
      <x:c r="T158" s="14">
        <x:f>IF(L158="","",DATE(YEAR(L158),MONTH(L158),1))</x:f>
      </x:c>
    </x:row>
    <x:row r="159">
      <x:c r="A159" s="11" t="n"/>
      <x:c r="B159" s="5" t="n"/>
      <x:c r="C159" s="12" t="n"/>
      <x:c r="D159" s="12" t="n"/>
      <x:c r="E159" s="12" t="n"/>
      <x:c r="F159" s="12" t="n"/>
      <x:c r="G159" s="13">
        <x:f>IF(F159="","",IFERROR(VLOOKUP(F159,Master_Data!$E$24:$G$33,2,FALSE),"9999"))</x:f>
      </x:c>
      <x:c r="H159" s="12" t="n"/>
      <x:c r="I159" s="12" t="n"/>
      <x:c r="J159" s="12" t="n"/>
      <x:c r="K159" s="12" t="n"/>
      <x:c r="L159" s="11" t="n"/>
      <x:c r="M159" s="9" t="n"/>
      <x:c r="N159" s="12" t="n"/>
      <x:c r="O159" s="6">
        <x:f>IF(N159="","",IFERROR(VLOOKUP(N159,Master_Data!$A$5:$C$8,3,FALSE),0))</x:f>
      </x:c>
      <x:c r="P159" s="7">
        <x:f>IF(M159="","",M159*O159)</x:f>
      </x:c>
      <x:c r="Q159" s="7">
        <x:f>IF(M159="","",M159+P159)</x:f>
      </x:c>
      <x:c r="R159" s="7">
        <x:f>IF(K159&lt;&gt;"Paid",0,IF(C159="Income",Q159,-Q159))</x:f>
      </x:c>
      <x:c r="S159" s="14">
        <x:f>IF(A159="","",DATE(YEAR(A159),MONTH(A159),1))</x:f>
      </x:c>
      <x:c r="T159" s="14">
        <x:f>IF(L159="","",DATE(YEAR(L159),MONTH(L159),1))</x:f>
      </x:c>
    </x:row>
    <x:row r="160">
      <x:c r="A160" s="11" t="n"/>
      <x:c r="B160" s="5" t="n"/>
      <x:c r="C160" s="12" t="n"/>
      <x:c r="D160" s="12" t="n"/>
      <x:c r="E160" s="12" t="n"/>
      <x:c r="F160" s="12" t="n"/>
      <x:c r="G160" s="13">
        <x:f>IF(F160="","",IFERROR(VLOOKUP(F160,Master_Data!$E$24:$G$33,2,FALSE),"9999"))</x:f>
      </x:c>
      <x:c r="H160" s="12" t="n"/>
      <x:c r="I160" s="12" t="n"/>
      <x:c r="J160" s="12" t="n"/>
      <x:c r="K160" s="12" t="n"/>
      <x:c r="L160" s="11" t="n"/>
      <x:c r="M160" s="9" t="n"/>
      <x:c r="N160" s="12" t="n"/>
      <x:c r="O160" s="6">
        <x:f>IF(N160="","",IFERROR(VLOOKUP(N160,Master_Data!$A$5:$C$8,3,FALSE),0))</x:f>
      </x:c>
      <x:c r="P160" s="7">
        <x:f>IF(M160="","",M160*O160)</x:f>
      </x:c>
      <x:c r="Q160" s="7">
        <x:f>IF(M160="","",M160+P160)</x:f>
      </x:c>
      <x:c r="R160" s="7">
        <x:f>IF(K160&lt;&gt;"Paid",0,IF(C160="Income",Q160,-Q160))</x:f>
      </x:c>
      <x:c r="S160" s="14">
        <x:f>IF(A160="","",DATE(YEAR(A160),MONTH(A160),1))</x:f>
      </x:c>
      <x:c r="T160" s="14">
        <x:f>IF(L160="","",DATE(YEAR(L160),MONTH(L160),1))</x:f>
      </x:c>
    </x:row>
    <x:row r="161">
      <x:c r="A161" s="11" t="n"/>
      <x:c r="B161" s="5" t="n"/>
      <x:c r="C161" s="12" t="n"/>
      <x:c r="D161" s="12" t="n"/>
      <x:c r="E161" s="12" t="n"/>
      <x:c r="F161" s="12" t="n"/>
      <x:c r="G161" s="13">
        <x:f>IF(F161="","",IFERROR(VLOOKUP(F161,Master_Data!$E$24:$G$33,2,FALSE),"9999"))</x:f>
      </x:c>
      <x:c r="H161" s="12" t="n"/>
      <x:c r="I161" s="12" t="n"/>
      <x:c r="J161" s="12" t="n"/>
      <x:c r="K161" s="12" t="n"/>
      <x:c r="L161" s="11" t="n"/>
      <x:c r="M161" s="9" t="n"/>
      <x:c r="N161" s="12" t="n"/>
      <x:c r="O161" s="6">
        <x:f>IF(N161="","",IFERROR(VLOOKUP(N161,Master_Data!$A$5:$C$8,3,FALSE),0))</x:f>
      </x:c>
      <x:c r="P161" s="7">
        <x:f>IF(M161="","",M161*O161)</x:f>
      </x:c>
      <x:c r="Q161" s="7">
        <x:f>IF(M161="","",M161+P161)</x:f>
      </x:c>
      <x:c r="R161" s="7">
        <x:f>IF(K161&lt;&gt;"Paid",0,IF(C161="Income",Q161,-Q161))</x:f>
      </x:c>
      <x:c r="S161" s="14">
        <x:f>IF(A161="","",DATE(YEAR(A161),MONTH(A161),1))</x:f>
      </x:c>
      <x:c r="T161" s="14">
        <x:f>IF(L161="","",DATE(YEAR(L161),MONTH(L161),1))</x:f>
      </x:c>
    </x:row>
    <x:row r="162">
      <x:c r="A162" s="11" t="n"/>
      <x:c r="B162" s="5" t="n"/>
      <x:c r="C162" s="12" t="n"/>
      <x:c r="D162" s="12" t="n"/>
      <x:c r="E162" s="12" t="n"/>
      <x:c r="F162" s="12" t="n"/>
      <x:c r="G162" s="13">
        <x:f>IF(F162="","",IFERROR(VLOOKUP(F162,Master_Data!$E$24:$G$33,2,FALSE),"9999"))</x:f>
      </x:c>
      <x:c r="H162" s="12" t="n"/>
      <x:c r="I162" s="12" t="n"/>
      <x:c r="J162" s="12" t="n"/>
      <x:c r="K162" s="12" t="n"/>
      <x:c r="L162" s="11" t="n"/>
      <x:c r="M162" s="9" t="n"/>
      <x:c r="N162" s="12" t="n"/>
      <x:c r="O162" s="6">
        <x:f>IF(N162="","",IFERROR(VLOOKUP(N162,Master_Data!$A$5:$C$8,3,FALSE),0))</x:f>
      </x:c>
      <x:c r="P162" s="7">
        <x:f>IF(M162="","",M162*O162)</x:f>
      </x:c>
      <x:c r="Q162" s="7">
        <x:f>IF(M162="","",M162+P162)</x:f>
      </x:c>
      <x:c r="R162" s="7">
        <x:f>IF(K162&lt;&gt;"Paid",0,IF(C162="Income",Q162,-Q162))</x:f>
      </x:c>
      <x:c r="S162" s="14">
        <x:f>IF(A162="","",DATE(YEAR(A162),MONTH(A162),1))</x:f>
      </x:c>
      <x:c r="T162" s="14">
        <x:f>IF(L162="","",DATE(YEAR(L162),MONTH(L162),1))</x:f>
      </x:c>
    </x:row>
    <x:row r="163">
      <x:c r="A163" s="11" t="n"/>
      <x:c r="B163" s="5" t="n"/>
      <x:c r="C163" s="12" t="n"/>
      <x:c r="D163" s="12" t="n"/>
      <x:c r="E163" s="12" t="n"/>
      <x:c r="F163" s="12" t="n"/>
      <x:c r="G163" s="13">
        <x:f>IF(F163="","",IFERROR(VLOOKUP(F163,Master_Data!$E$24:$G$33,2,FALSE),"9999"))</x:f>
      </x:c>
      <x:c r="H163" s="12" t="n"/>
      <x:c r="I163" s="12" t="n"/>
      <x:c r="J163" s="12" t="n"/>
      <x:c r="K163" s="12" t="n"/>
      <x:c r="L163" s="11" t="n"/>
      <x:c r="M163" s="9" t="n"/>
      <x:c r="N163" s="12" t="n"/>
      <x:c r="O163" s="6">
        <x:f>IF(N163="","",IFERROR(VLOOKUP(N163,Master_Data!$A$5:$C$8,3,FALSE),0))</x:f>
      </x:c>
      <x:c r="P163" s="7">
        <x:f>IF(M163="","",M163*O163)</x:f>
      </x:c>
      <x:c r="Q163" s="7">
        <x:f>IF(M163="","",M163+P163)</x:f>
      </x:c>
      <x:c r="R163" s="7">
        <x:f>IF(K163&lt;&gt;"Paid",0,IF(C163="Income",Q163,-Q163))</x:f>
      </x:c>
      <x:c r="S163" s="14">
        <x:f>IF(A163="","",DATE(YEAR(A163),MONTH(A163),1))</x:f>
      </x:c>
      <x:c r="T163" s="14">
        <x:f>IF(L163="","",DATE(YEAR(L163),MONTH(L163),1))</x:f>
      </x:c>
    </x:row>
    <x:row r="164">
      <x:c r="A164" s="11" t="n"/>
      <x:c r="B164" s="5" t="n"/>
      <x:c r="C164" s="12" t="n"/>
      <x:c r="D164" s="12" t="n"/>
      <x:c r="E164" s="12" t="n"/>
      <x:c r="F164" s="12" t="n"/>
      <x:c r="G164" s="13">
        <x:f>IF(F164="","",IFERROR(VLOOKUP(F164,Master_Data!$E$24:$G$33,2,FALSE),"9999"))</x:f>
      </x:c>
      <x:c r="H164" s="12" t="n"/>
      <x:c r="I164" s="12" t="n"/>
      <x:c r="J164" s="12" t="n"/>
      <x:c r="K164" s="12" t="n"/>
      <x:c r="L164" s="11" t="n"/>
      <x:c r="M164" s="9" t="n"/>
      <x:c r="N164" s="12" t="n"/>
      <x:c r="O164" s="6">
        <x:f>IF(N164="","",IFERROR(VLOOKUP(N164,Master_Data!$A$5:$C$8,3,FALSE),0))</x:f>
      </x:c>
      <x:c r="P164" s="7">
        <x:f>IF(M164="","",M164*O164)</x:f>
      </x:c>
      <x:c r="Q164" s="7">
        <x:f>IF(M164="","",M164+P164)</x:f>
      </x:c>
      <x:c r="R164" s="7">
        <x:f>IF(K164&lt;&gt;"Paid",0,IF(C164="Income",Q164,-Q164))</x:f>
      </x:c>
      <x:c r="S164" s="14">
        <x:f>IF(A164="","",DATE(YEAR(A164),MONTH(A164),1))</x:f>
      </x:c>
      <x:c r="T164" s="14">
        <x:f>IF(L164="","",DATE(YEAR(L164),MONTH(L164),1))</x:f>
      </x:c>
    </x:row>
    <x:row r="165">
      <x:c r="A165" s="11" t="n"/>
      <x:c r="B165" s="5" t="n"/>
      <x:c r="C165" s="12" t="n"/>
      <x:c r="D165" s="12" t="n"/>
      <x:c r="E165" s="12" t="n"/>
      <x:c r="F165" s="12" t="n"/>
      <x:c r="G165" s="13">
        <x:f>IF(F165="","",IFERROR(VLOOKUP(F165,Master_Data!$E$24:$G$33,2,FALSE),"9999"))</x:f>
      </x:c>
      <x:c r="H165" s="12" t="n"/>
      <x:c r="I165" s="12" t="n"/>
      <x:c r="J165" s="12" t="n"/>
      <x:c r="K165" s="12" t="n"/>
      <x:c r="L165" s="11" t="n"/>
      <x:c r="M165" s="9" t="n"/>
      <x:c r="N165" s="12" t="n"/>
      <x:c r="O165" s="6">
        <x:f>IF(N165="","",IFERROR(VLOOKUP(N165,Master_Data!$A$5:$C$8,3,FALSE),0))</x:f>
      </x:c>
      <x:c r="P165" s="7">
        <x:f>IF(M165="","",M165*O165)</x:f>
      </x:c>
      <x:c r="Q165" s="7">
        <x:f>IF(M165="","",M165+P165)</x:f>
      </x:c>
      <x:c r="R165" s="7">
        <x:f>IF(K165&lt;&gt;"Paid",0,IF(C165="Income",Q165,-Q165))</x:f>
      </x:c>
      <x:c r="S165" s="14">
        <x:f>IF(A165="","",DATE(YEAR(A165),MONTH(A165),1))</x:f>
      </x:c>
      <x:c r="T165" s="14">
        <x:f>IF(L165="","",DATE(YEAR(L165),MONTH(L165),1))</x:f>
      </x:c>
    </x:row>
    <x:row r="166">
      <x:c r="A166" s="11" t="n"/>
      <x:c r="B166" s="5" t="n"/>
      <x:c r="C166" s="12" t="n"/>
      <x:c r="D166" s="12" t="n"/>
      <x:c r="E166" s="12" t="n"/>
      <x:c r="F166" s="12" t="n"/>
      <x:c r="G166" s="13">
        <x:f>IF(F166="","",IFERROR(VLOOKUP(F166,Master_Data!$E$24:$G$33,2,FALSE),"9999"))</x:f>
      </x:c>
      <x:c r="H166" s="12" t="n"/>
      <x:c r="I166" s="12" t="n"/>
      <x:c r="J166" s="12" t="n"/>
      <x:c r="K166" s="12" t="n"/>
      <x:c r="L166" s="11" t="n"/>
      <x:c r="M166" s="9" t="n"/>
      <x:c r="N166" s="12" t="n"/>
      <x:c r="O166" s="6">
        <x:f>IF(N166="","",IFERROR(VLOOKUP(N166,Master_Data!$A$5:$C$8,3,FALSE),0))</x:f>
      </x:c>
      <x:c r="P166" s="7">
        <x:f>IF(M166="","",M166*O166)</x:f>
      </x:c>
      <x:c r="Q166" s="7">
        <x:f>IF(M166="","",M166+P166)</x:f>
      </x:c>
      <x:c r="R166" s="7">
        <x:f>IF(K166&lt;&gt;"Paid",0,IF(C166="Income",Q166,-Q166))</x:f>
      </x:c>
      <x:c r="S166" s="14">
        <x:f>IF(A166="","",DATE(YEAR(A166),MONTH(A166),1))</x:f>
      </x:c>
      <x:c r="T166" s="14">
        <x:f>IF(L166="","",DATE(YEAR(L166),MONTH(L166),1))</x:f>
      </x:c>
    </x:row>
    <x:row r="167">
      <x:c r="A167" s="11" t="n"/>
      <x:c r="B167" s="5" t="n"/>
      <x:c r="C167" s="12" t="n"/>
      <x:c r="D167" s="12" t="n"/>
      <x:c r="E167" s="12" t="n"/>
      <x:c r="F167" s="12" t="n"/>
      <x:c r="G167" s="13">
        <x:f>IF(F167="","",IFERROR(VLOOKUP(F167,Master_Data!$E$24:$G$33,2,FALSE),"9999"))</x:f>
      </x:c>
      <x:c r="H167" s="12" t="n"/>
      <x:c r="I167" s="12" t="n"/>
      <x:c r="J167" s="12" t="n"/>
      <x:c r="K167" s="12" t="n"/>
      <x:c r="L167" s="11" t="n"/>
      <x:c r="M167" s="9" t="n"/>
      <x:c r="N167" s="12" t="n"/>
      <x:c r="O167" s="6">
        <x:f>IF(N167="","",IFERROR(VLOOKUP(N167,Master_Data!$A$5:$C$8,3,FALSE),0))</x:f>
      </x:c>
      <x:c r="P167" s="7">
        <x:f>IF(M167="","",M167*O167)</x:f>
      </x:c>
      <x:c r="Q167" s="7">
        <x:f>IF(M167="","",M167+P167)</x:f>
      </x:c>
      <x:c r="R167" s="7">
        <x:f>IF(K167&lt;&gt;"Paid",0,IF(C167="Income",Q167,-Q167))</x:f>
      </x:c>
      <x:c r="S167" s="14">
        <x:f>IF(A167="","",DATE(YEAR(A167),MONTH(A167),1))</x:f>
      </x:c>
      <x:c r="T167" s="14">
        <x:f>IF(L167="","",DATE(YEAR(L167),MONTH(L167),1))</x:f>
      </x:c>
    </x:row>
    <x:row r="168">
      <x:c r="A168" s="11" t="n"/>
      <x:c r="B168" s="5" t="n"/>
      <x:c r="C168" s="12" t="n"/>
      <x:c r="D168" s="12" t="n"/>
      <x:c r="E168" s="12" t="n"/>
      <x:c r="F168" s="12" t="n"/>
      <x:c r="G168" s="13">
        <x:f>IF(F168="","",IFERROR(VLOOKUP(F168,Master_Data!$E$24:$G$33,2,FALSE),"9999"))</x:f>
      </x:c>
      <x:c r="H168" s="12" t="n"/>
      <x:c r="I168" s="12" t="n"/>
      <x:c r="J168" s="12" t="n"/>
      <x:c r="K168" s="12" t="n"/>
      <x:c r="L168" s="11" t="n"/>
      <x:c r="M168" s="9" t="n"/>
      <x:c r="N168" s="12" t="n"/>
      <x:c r="O168" s="6">
        <x:f>IF(N168="","",IFERROR(VLOOKUP(N168,Master_Data!$A$5:$C$8,3,FALSE),0))</x:f>
      </x:c>
      <x:c r="P168" s="7">
        <x:f>IF(M168="","",M168*O168)</x:f>
      </x:c>
      <x:c r="Q168" s="7">
        <x:f>IF(M168="","",M168+P168)</x:f>
      </x:c>
      <x:c r="R168" s="7">
        <x:f>IF(K168&lt;&gt;"Paid",0,IF(C168="Income",Q168,-Q168))</x:f>
      </x:c>
      <x:c r="S168" s="14">
        <x:f>IF(A168="","",DATE(YEAR(A168),MONTH(A168),1))</x:f>
      </x:c>
      <x:c r="T168" s="14">
        <x:f>IF(L168="","",DATE(YEAR(L168),MONTH(L168),1))</x:f>
      </x:c>
    </x:row>
    <x:row r="169">
      <x:c r="A169" s="11" t="n"/>
      <x:c r="B169" s="5" t="n"/>
      <x:c r="C169" s="12" t="n"/>
      <x:c r="D169" s="12" t="n"/>
      <x:c r="E169" s="12" t="n"/>
      <x:c r="F169" s="12" t="n"/>
      <x:c r="G169" s="13">
        <x:f>IF(F169="","",IFERROR(VLOOKUP(F169,Master_Data!$E$24:$G$33,2,FALSE),"9999"))</x:f>
      </x:c>
      <x:c r="H169" s="12" t="n"/>
      <x:c r="I169" s="12" t="n"/>
      <x:c r="J169" s="12" t="n"/>
      <x:c r="K169" s="12" t="n"/>
      <x:c r="L169" s="11" t="n"/>
      <x:c r="M169" s="9" t="n"/>
      <x:c r="N169" s="12" t="n"/>
      <x:c r="O169" s="6">
        <x:f>IF(N169="","",IFERROR(VLOOKUP(N169,Master_Data!$A$5:$C$8,3,FALSE),0))</x:f>
      </x:c>
      <x:c r="P169" s="7">
        <x:f>IF(M169="","",M169*O169)</x:f>
      </x:c>
      <x:c r="Q169" s="7">
        <x:f>IF(M169="","",M169+P169)</x:f>
      </x:c>
      <x:c r="R169" s="7">
        <x:f>IF(K169&lt;&gt;"Paid",0,IF(C169="Income",Q169,-Q169))</x:f>
      </x:c>
      <x:c r="S169" s="14">
        <x:f>IF(A169="","",DATE(YEAR(A169),MONTH(A169),1))</x:f>
      </x:c>
      <x:c r="T169" s="14">
        <x:f>IF(L169="","",DATE(YEAR(L169),MONTH(L169),1))</x:f>
      </x:c>
    </x:row>
    <x:row r="170">
      <x:c r="A170" s="11" t="n"/>
      <x:c r="B170" s="5" t="n"/>
      <x:c r="C170" s="12" t="n"/>
      <x:c r="D170" s="12" t="n"/>
      <x:c r="E170" s="12" t="n"/>
      <x:c r="F170" s="12" t="n"/>
      <x:c r="G170" s="13">
        <x:f>IF(F170="","",IFERROR(VLOOKUP(F170,Master_Data!$E$24:$G$33,2,FALSE),"9999"))</x:f>
      </x:c>
      <x:c r="H170" s="12" t="n"/>
      <x:c r="I170" s="12" t="n"/>
      <x:c r="J170" s="12" t="n"/>
      <x:c r="K170" s="12" t="n"/>
      <x:c r="L170" s="11" t="n"/>
      <x:c r="M170" s="9" t="n"/>
      <x:c r="N170" s="12" t="n"/>
      <x:c r="O170" s="6">
        <x:f>IF(N170="","",IFERROR(VLOOKUP(N170,Master_Data!$A$5:$C$8,3,FALSE),0))</x:f>
      </x:c>
      <x:c r="P170" s="7">
        <x:f>IF(M170="","",M170*O170)</x:f>
      </x:c>
      <x:c r="Q170" s="7">
        <x:f>IF(M170="","",M170+P170)</x:f>
      </x:c>
      <x:c r="R170" s="7">
        <x:f>IF(K170&lt;&gt;"Paid",0,IF(C170="Income",Q170,-Q170))</x:f>
      </x:c>
      <x:c r="S170" s="14">
        <x:f>IF(A170="","",DATE(YEAR(A170),MONTH(A170),1))</x:f>
      </x:c>
      <x:c r="T170" s="14">
        <x:f>IF(L170="","",DATE(YEAR(L170),MONTH(L170),1))</x:f>
      </x:c>
    </x:row>
    <x:row r="171">
      <x:c r="A171" s="11" t="n"/>
      <x:c r="B171" s="5" t="n"/>
      <x:c r="C171" s="12" t="n"/>
      <x:c r="D171" s="12" t="n"/>
      <x:c r="E171" s="12" t="n"/>
      <x:c r="F171" s="12" t="n"/>
      <x:c r="G171" s="13">
        <x:f>IF(F171="","",IFERROR(VLOOKUP(F171,Master_Data!$E$24:$G$33,2,FALSE),"9999"))</x:f>
      </x:c>
      <x:c r="H171" s="12" t="n"/>
      <x:c r="I171" s="12" t="n"/>
      <x:c r="J171" s="12" t="n"/>
      <x:c r="K171" s="12" t="n"/>
      <x:c r="L171" s="11" t="n"/>
      <x:c r="M171" s="9" t="n"/>
      <x:c r="N171" s="12" t="n"/>
      <x:c r="O171" s="6">
        <x:f>IF(N171="","",IFERROR(VLOOKUP(N171,Master_Data!$A$5:$C$8,3,FALSE),0))</x:f>
      </x:c>
      <x:c r="P171" s="7">
        <x:f>IF(M171="","",M171*O171)</x:f>
      </x:c>
      <x:c r="Q171" s="7">
        <x:f>IF(M171="","",M171+P171)</x:f>
      </x:c>
      <x:c r="R171" s="7">
        <x:f>IF(K171&lt;&gt;"Paid",0,IF(C171="Income",Q171,-Q171))</x:f>
      </x:c>
      <x:c r="S171" s="14">
        <x:f>IF(A171="","",DATE(YEAR(A171),MONTH(A171),1))</x:f>
      </x:c>
      <x:c r="T171" s="14">
        <x:f>IF(L171="","",DATE(YEAR(L171),MONTH(L171),1))</x:f>
      </x:c>
    </x:row>
    <x:row r="172">
      <x:c r="A172" s="11" t="n"/>
      <x:c r="B172" s="5" t="n"/>
      <x:c r="C172" s="12" t="n"/>
      <x:c r="D172" s="12" t="n"/>
      <x:c r="E172" s="12" t="n"/>
      <x:c r="F172" s="12" t="n"/>
      <x:c r="G172" s="13">
        <x:f>IF(F172="","",IFERROR(VLOOKUP(F172,Master_Data!$E$24:$G$33,2,FALSE),"9999"))</x:f>
      </x:c>
      <x:c r="H172" s="12" t="n"/>
      <x:c r="I172" s="12" t="n"/>
      <x:c r="J172" s="12" t="n"/>
      <x:c r="K172" s="12" t="n"/>
      <x:c r="L172" s="11" t="n"/>
      <x:c r="M172" s="9" t="n"/>
      <x:c r="N172" s="12" t="n"/>
      <x:c r="O172" s="6">
        <x:f>IF(N172="","",IFERROR(VLOOKUP(N172,Master_Data!$A$5:$C$8,3,FALSE),0))</x:f>
      </x:c>
      <x:c r="P172" s="7">
        <x:f>IF(M172="","",M172*O172)</x:f>
      </x:c>
      <x:c r="Q172" s="7">
        <x:f>IF(M172="","",M172+P172)</x:f>
      </x:c>
      <x:c r="R172" s="7">
        <x:f>IF(K172&lt;&gt;"Paid",0,IF(C172="Income",Q172,-Q172))</x:f>
      </x:c>
      <x:c r="S172" s="14">
        <x:f>IF(A172="","",DATE(YEAR(A172),MONTH(A172),1))</x:f>
      </x:c>
      <x:c r="T172" s="14">
        <x:f>IF(L172="","",DATE(YEAR(L172),MONTH(L172),1))</x:f>
      </x:c>
    </x:row>
    <x:row r="173">
      <x:c r="A173" s="11" t="n"/>
      <x:c r="B173" s="5" t="n"/>
      <x:c r="C173" s="12" t="n"/>
      <x:c r="D173" s="12" t="n"/>
      <x:c r="E173" s="12" t="n"/>
      <x:c r="F173" s="12" t="n"/>
      <x:c r="G173" s="13">
        <x:f>IF(F173="","",IFERROR(VLOOKUP(F173,Master_Data!$E$24:$G$33,2,FALSE),"9999"))</x:f>
      </x:c>
      <x:c r="H173" s="12" t="n"/>
      <x:c r="I173" s="12" t="n"/>
      <x:c r="J173" s="12" t="n"/>
      <x:c r="K173" s="12" t="n"/>
      <x:c r="L173" s="11" t="n"/>
      <x:c r="M173" s="9" t="n"/>
      <x:c r="N173" s="12" t="n"/>
      <x:c r="O173" s="6">
        <x:f>IF(N173="","",IFERROR(VLOOKUP(N173,Master_Data!$A$5:$C$8,3,FALSE),0))</x:f>
      </x:c>
      <x:c r="P173" s="7">
        <x:f>IF(M173="","",M173*O173)</x:f>
      </x:c>
      <x:c r="Q173" s="7">
        <x:f>IF(M173="","",M173+P173)</x:f>
      </x:c>
      <x:c r="R173" s="7">
        <x:f>IF(K173&lt;&gt;"Paid",0,IF(C173="Income",Q173,-Q173))</x:f>
      </x:c>
      <x:c r="S173" s="14">
        <x:f>IF(A173="","",DATE(YEAR(A173),MONTH(A173),1))</x:f>
      </x:c>
      <x:c r="T173" s="14">
        <x:f>IF(L173="","",DATE(YEAR(L173),MONTH(L173),1))</x:f>
      </x:c>
    </x:row>
    <x:row r="174">
      <x:c r="A174" s="11" t="n"/>
      <x:c r="B174" s="5" t="n"/>
      <x:c r="C174" s="12" t="n"/>
      <x:c r="D174" s="12" t="n"/>
      <x:c r="E174" s="12" t="n"/>
      <x:c r="F174" s="12" t="n"/>
      <x:c r="G174" s="13">
        <x:f>IF(F174="","",IFERROR(VLOOKUP(F174,Master_Data!$E$24:$G$33,2,FALSE),"9999"))</x:f>
      </x:c>
      <x:c r="H174" s="12" t="n"/>
      <x:c r="I174" s="12" t="n"/>
      <x:c r="J174" s="12" t="n"/>
      <x:c r="K174" s="12" t="n"/>
      <x:c r="L174" s="11" t="n"/>
      <x:c r="M174" s="9" t="n"/>
      <x:c r="N174" s="12" t="n"/>
      <x:c r="O174" s="6">
        <x:f>IF(N174="","",IFERROR(VLOOKUP(N174,Master_Data!$A$5:$C$8,3,FALSE),0))</x:f>
      </x:c>
      <x:c r="P174" s="7">
        <x:f>IF(M174="","",M174*O174)</x:f>
      </x:c>
      <x:c r="Q174" s="7">
        <x:f>IF(M174="","",M174+P174)</x:f>
      </x:c>
      <x:c r="R174" s="7">
        <x:f>IF(K174&lt;&gt;"Paid",0,IF(C174="Income",Q174,-Q174))</x:f>
      </x:c>
      <x:c r="S174" s="14">
        <x:f>IF(A174="","",DATE(YEAR(A174),MONTH(A174),1))</x:f>
      </x:c>
      <x:c r="T174" s="14">
        <x:f>IF(L174="","",DATE(YEAR(L174),MONTH(L174),1))</x:f>
      </x:c>
    </x:row>
    <x:row r="175">
      <x:c r="A175" s="11" t="n"/>
      <x:c r="B175" s="5" t="n"/>
      <x:c r="C175" s="12" t="n"/>
      <x:c r="D175" s="12" t="n"/>
      <x:c r="E175" s="12" t="n"/>
      <x:c r="F175" s="12" t="n"/>
      <x:c r="G175" s="13">
        <x:f>IF(F175="","",IFERROR(VLOOKUP(F175,Master_Data!$E$24:$G$33,2,FALSE),"9999"))</x:f>
      </x:c>
      <x:c r="H175" s="12" t="n"/>
      <x:c r="I175" s="12" t="n"/>
      <x:c r="J175" s="12" t="n"/>
      <x:c r="K175" s="12" t="n"/>
      <x:c r="L175" s="11" t="n"/>
      <x:c r="M175" s="9" t="n"/>
      <x:c r="N175" s="12" t="n"/>
      <x:c r="O175" s="6">
        <x:f>IF(N175="","",IFERROR(VLOOKUP(N175,Master_Data!$A$5:$C$8,3,FALSE),0))</x:f>
      </x:c>
      <x:c r="P175" s="7">
        <x:f>IF(M175="","",M175*O175)</x:f>
      </x:c>
      <x:c r="Q175" s="7">
        <x:f>IF(M175="","",M175+P175)</x:f>
      </x:c>
      <x:c r="R175" s="7">
        <x:f>IF(K175&lt;&gt;"Paid",0,IF(C175="Income",Q175,-Q175))</x:f>
      </x:c>
      <x:c r="S175" s="14">
        <x:f>IF(A175="","",DATE(YEAR(A175),MONTH(A175),1))</x:f>
      </x:c>
      <x:c r="T175" s="14">
        <x:f>IF(L175="","",DATE(YEAR(L175),MONTH(L175),1))</x:f>
      </x:c>
    </x:row>
    <x:row r="176">
      <x:c r="A176" s="11" t="n"/>
      <x:c r="B176" s="5" t="n"/>
      <x:c r="C176" s="12" t="n"/>
      <x:c r="D176" s="12" t="n"/>
      <x:c r="E176" s="12" t="n"/>
      <x:c r="F176" s="12" t="n"/>
      <x:c r="G176" s="13">
        <x:f>IF(F176="","",IFERROR(VLOOKUP(F176,Master_Data!$E$24:$G$33,2,FALSE),"9999"))</x:f>
      </x:c>
      <x:c r="H176" s="12" t="n"/>
      <x:c r="I176" s="12" t="n"/>
      <x:c r="J176" s="12" t="n"/>
      <x:c r="K176" s="12" t="n"/>
      <x:c r="L176" s="11" t="n"/>
      <x:c r="M176" s="9" t="n"/>
      <x:c r="N176" s="12" t="n"/>
      <x:c r="O176" s="6">
        <x:f>IF(N176="","",IFERROR(VLOOKUP(N176,Master_Data!$A$5:$C$8,3,FALSE),0))</x:f>
      </x:c>
      <x:c r="P176" s="7">
        <x:f>IF(M176="","",M176*O176)</x:f>
      </x:c>
      <x:c r="Q176" s="7">
        <x:f>IF(M176="","",M176+P176)</x:f>
      </x:c>
      <x:c r="R176" s="7">
        <x:f>IF(K176&lt;&gt;"Paid",0,IF(C176="Income",Q176,-Q176))</x:f>
      </x:c>
      <x:c r="S176" s="14">
        <x:f>IF(A176="","",DATE(YEAR(A176),MONTH(A176),1))</x:f>
      </x:c>
      <x:c r="T176" s="14">
        <x:f>IF(L176="","",DATE(YEAR(L176),MONTH(L176),1))</x:f>
      </x:c>
    </x:row>
    <x:row r="177">
      <x:c r="A177" s="11" t="n"/>
      <x:c r="B177" s="5" t="n"/>
      <x:c r="C177" s="12" t="n"/>
      <x:c r="D177" s="12" t="n"/>
      <x:c r="E177" s="12" t="n"/>
      <x:c r="F177" s="12" t="n"/>
      <x:c r="G177" s="13">
        <x:f>IF(F177="","",IFERROR(VLOOKUP(F177,Master_Data!$E$24:$G$33,2,FALSE),"9999"))</x:f>
      </x:c>
      <x:c r="H177" s="12" t="n"/>
      <x:c r="I177" s="12" t="n"/>
      <x:c r="J177" s="12" t="n"/>
      <x:c r="K177" s="12" t="n"/>
      <x:c r="L177" s="11" t="n"/>
      <x:c r="M177" s="9" t="n"/>
      <x:c r="N177" s="12" t="n"/>
      <x:c r="O177" s="6">
        <x:f>IF(N177="","",IFERROR(VLOOKUP(N177,Master_Data!$A$5:$C$8,3,FALSE),0))</x:f>
      </x:c>
      <x:c r="P177" s="7">
        <x:f>IF(M177="","",M177*O177)</x:f>
      </x:c>
      <x:c r="Q177" s="7">
        <x:f>IF(M177="","",M177+P177)</x:f>
      </x:c>
      <x:c r="R177" s="7">
        <x:f>IF(K177&lt;&gt;"Paid",0,IF(C177="Income",Q177,-Q177))</x:f>
      </x:c>
      <x:c r="S177" s="14">
        <x:f>IF(A177="","",DATE(YEAR(A177),MONTH(A177),1))</x:f>
      </x:c>
      <x:c r="T177" s="14">
        <x:f>IF(L177="","",DATE(YEAR(L177),MONTH(L177),1))</x:f>
      </x:c>
    </x:row>
    <x:row r="178">
      <x:c r="A178" s="11" t="n"/>
      <x:c r="B178" s="5" t="n"/>
      <x:c r="C178" s="12" t="n"/>
      <x:c r="D178" s="12" t="n"/>
      <x:c r="E178" s="12" t="n"/>
      <x:c r="F178" s="12" t="n"/>
      <x:c r="G178" s="13">
        <x:f>IF(F178="","",IFERROR(VLOOKUP(F178,Master_Data!$E$24:$G$33,2,FALSE),"9999"))</x:f>
      </x:c>
      <x:c r="H178" s="12" t="n"/>
      <x:c r="I178" s="12" t="n"/>
      <x:c r="J178" s="12" t="n"/>
      <x:c r="K178" s="12" t="n"/>
      <x:c r="L178" s="11" t="n"/>
      <x:c r="M178" s="9" t="n"/>
      <x:c r="N178" s="12" t="n"/>
      <x:c r="O178" s="6">
        <x:f>IF(N178="","",IFERROR(VLOOKUP(N178,Master_Data!$A$5:$C$8,3,FALSE),0))</x:f>
      </x:c>
      <x:c r="P178" s="7">
        <x:f>IF(M178="","",M178*O178)</x:f>
      </x:c>
      <x:c r="Q178" s="7">
        <x:f>IF(M178="","",M178+P178)</x:f>
      </x:c>
      <x:c r="R178" s="7">
        <x:f>IF(K178&lt;&gt;"Paid",0,IF(C178="Income",Q178,-Q178))</x:f>
      </x:c>
      <x:c r="S178" s="14">
        <x:f>IF(A178="","",DATE(YEAR(A178),MONTH(A178),1))</x:f>
      </x:c>
      <x:c r="T178" s="14">
        <x:f>IF(L178="","",DATE(YEAR(L178),MONTH(L178),1))</x:f>
      </x:c>
    </x:row>
    <x:row r="179">
      <x:c r="A179" s="11" t="n"/>
      <x:c r="B179" s="5" t="n"/>
      <x:c r="C179" s="12" t="n"/>
      <x:c r="D179" s="12" t="n"/>
      <x:c r="E179" s="12" t="n"/>
      <x:c r="F179" s="12" t="n"/>
      <x:c r="G179" s="13">
        <x:f>IF(F179="","",IFERROR(VLOOKUP(F179,Master_Data!$E$24:$G$33,2,FALSE),"9999"))</x:f>
      </x:c>
      <x:c r="H179" s="12" t="n"/>
      <x:c r="I179" s="12" t="n"/>
      <x:c r="J179" s="12" t="n"/>
      <x:c r="K179" s="12" t="n"/>
      <x:c r="L179" s="11" t="n"/>
      <x:c r="M179" s="9" t="n"/>
      <x:c r="N179" s="12" t="n"/>
      <x:c r="O179" s="6">
        <x:f>IF(N179="","",IFERROR(VLOOKUP(N179,Master_Data!$A$5:$C$8,3,FALSE),0))</x:f>
      </x:c>
      <x:c r="P179" s="7">
        <x:f>IF(M179="","",M179*O179)</x:f>
      </x:c>
      <x:c r="Q179" s="7">
        <x:f>IF(M179="","",M179+P179)</x:f>
      </x:c>
      <x:c r="R179" s="7">
        <x:f>IF(K179&lt;&gt;"Paid",0,IF(C179="Income",Q179,-Q179))</x:f>
      </x:c>
      <x:c r="S179" s="14">
        <x:f>IF(A179="","",DATE(YEAR(A179),MONTH(A179),1))</x:f>
      </x:c>
      <x:c r="T179" s="14">
        <x:f>IF(L179="","",DATE(YEAR(L179),MONTH(L179),1))</x:f>
      </x:c>
    </x:row>
    <x:row r="180">
      <x:c r="A180" s="11" t="n"/>
      <x:c r="B180" s="5" t="n"/>
      <x:c r="C180" s="12" t="n"/>
      <x:c r="D180" s="12" t="n"/>
      <x:c r="E180" s="12" t="n"/>
      <x:c r="F180" s="12" t="n"/>
      <x:c r="G180" s="13">
        <x:f>IF(F180="","",IFERROR(VLOOKUP(F180,Master_Data!$E$24:$G$33,2,FALSE),"9999"))</x:f>
      </x:c>
      <x:c r="H180" s="12" t="n"/>
      <x:c r="I180" s="12" t="n"/>
      <x:c r="J180" s="12" t="n"/>
      <x:c r="K180" s="12" t="n"/>
      <x:c r="L180" s="11" t="n"/>
      <x:c r="M180" s="9" t="n"/>
      <x:c r="N180" s="12" t="n"/>
      <x:c r="O180" s="6">
        <x:f>IF(N180="","",IFERROR(VLOOKUP(N180,Master_Data!$A$5:$C$8,3,FALSE),0))</x:f>
      </x:c>
      <x:c r="P180" s="7">
        <x:f>IF(M180="","",M180*O180)</x:f>
      </x:c>
      <x:c r="Q180" s="7">
        <x:f>IF(M180="","",M180+P180)</x:f>
      </x:c>
      <x:c r="R180" s="7">
        <x:f>IF(K180&lt;&gt;"Paid",0,IF(C180="Income",Q180,-Q180))</x:f>
      </x:c>
      <x:c r="S180" s="14">
        <x:f>IF(A180="","",DATE(YEAR(A180),MONTH(A180),1))</x:f>
      </x:c>
      <x:c r="T180" s="14">
        <x:f>IF(L180="","",DATE(YEAR(L180),MONTH(L180),1))</x:f>
      </x:c>
    </x:row>
    <x:row r="181">
      <x:c r="A181" s="11" t="n"/>
      <x:c r="B181" s="5" t="n"/>
      <x:c r="C181" s="12" t="n"/>
      <x:c r="D181" s="12" t="n"/>
      <x:c r="E181" s="12" t="n"/>
      <x:c r="F181" s="12" t="n"/>
      <x:c r="G181" s="13">
        <x:f>IF(F181="","",IFERROR(VLOOKUP(F181,Master_Data!$E$24:$G$33,2,FALSE),"9999"))</x:f>
      </x:c>
      <x:c r="H181" s="12" t="n"/>
      <x:c r="I181" s="12" t="n"/>
      <x:c r="J181" s="12" t="n"/>
      <x:c r="K181" s="12" t="n"/>
      <x:c r="L181" s="11" t="n"/>
      <x:c r="M181" s="9" t="n"/>
      <x:c r="N181" s="12" t="n"/>
      <x:c r="O181" s="6">
        <x:f>IF(N181="","",IFERROR(VLOOKUP(N181,Master_Data!$A$5:$C$8,3,FALSE),0))</x:f>
      </x:c>
      <x:c r="P181" s="7">
        <x:f>IF(M181="","",M181*O181)</x:f>
      </x:c>
      <x:c r="Q181" s="7">
        <x:f>IF(M181="","",M181+P181)</x:f>
      </x:c>
      <x:c r="R181" s="7">
        <x:f>IF(K181&lt;&gt;"Paid",0,IF(C181="Income",Q181,-Q181))</x:f>
      </x:c>
      <x:c r="S181" s="14">
        <x:f>IF(A181="","",DATE(YEAR(A181),MONTH(A181),1))</x:f>
      </x:c>
      <x:c r="T181" s="14">
        <x:f>IF(L181="","",DATE(YEAR(L181),MONTH(L181),1))</x:f>
      </x:c>
    </x:row>
    <x:row r="182">
      <x:c r="A182" s="11" t="n"/>
      <x:c r="B182" s="5" t="n"/>
      <x:c r="C182" s="12" t="n"/>
      <x:c r="D182" s="12" t="n"/>
      <x:c r="E182" s="12" t="n"/>
      <x:c r="F182" s="12" t="n"/>
      <x:c r="G182" s="13">
        <x:f>IF(F182="","",IFERROR(VLOOKUP(F182,Master_Data!$E$24:$G$33,2,FALSE),"9999"))</x:f>
      </x:c>
      <x:c r="H182" s="12" t="n"/>
      <x:c r="I182" s="12" t="n"/>
      <x:c r="J182" s="12" t="n"/>
      <x:c r="K182" s="12" t="n"/>
      <x:c r="L182" s="11" t="n"/>
      <x:c r="M182" s="9" t="n"/>
      <x:c r="N182" s="12" t="n"/>
      <x:c r="O182" s="6">
        <x:f>IF(N182="","",IFERROR(VLOOKUP(N182,Master_Data!$A$5:$C$8,3,FALSE),0))</x:f>
      </x:c>
      <x:c r="P182" s="7">
        <x:f>IF(M182="","",M182*O182)</x:f>
      </x:c>
      <x:c r="Q182" s="7">
        <x:f>IF(M182="","",M182+P182)</x:f>
      </x:c>
      <x:c r="R182" s="7">
        <x:f>IF(K182&lt;&gt;"Paid",0,IF(C182="Income",Q182,-Q182))</x:f>
      </x:c>
      <x:c r="S182" s="14">
        <x:f>IF(A182="","",DATE(YEAR(A182),MONTH(A182),1))</x:f>
      </x:c>
      <x:c r="T182" s="14">
        <x:f>IF(L182="","",DATE(YEAR(L182),MONTH(L182),1))</x:f>
      </x:c>
    </x:row>
    <x:row r="183">
      <x:c r="A183" s="11" t="n"/>
      <x:c r="B183" s="5" t="n"/>
      <x:c r="C183" s="12" t="n"/>
      <x:c r="D183" s="12" t="n"/>
      <x:c r="E183" s="12" t="n"/>
      <x:c r="F183" s="12" t="n"/>
      <x:c r="G183" s="13">
        <x:f>IF(F183="","",IFERROR(VLOOKUP(F183,Master_Data!$E$24:$G$33,2,FALSE),"9999"))</x:f>
      </x:c>
      <x:c r="H183" s="12" t="n"/>
      <x:c r="I183" s="12" t="n"/>
      <x:c r="J183" s="12" t="n"/>
      <x:c r="K183" s="12" t="n"/>
      <x:c r="L183" s="11" t="n"/>
      <x:c r="M183" s="9" t="n"/>
      <x:c r="N183" s="12" t="n"/>
      <x:c r="O183" s="6">
        <x:f>IF(N183="","",IFERROR(VLOOKUP(N183,Master_Data!$A$5:$C$8,3,FALSE),0))</x:f>
      </x:c>
      <x:c r="P183" s="7">
        <x:f>IF(M183="","",M183*O183)</x:f>
      </x:c>
      <x:c r="Q183" s="7">
        <x:f>IF(M183="","",M183+P183)</x:f>
      </x:c>
      <x:c r="R183" s="7">
        <x:f>IF(K183&lt;&gt;"Paid",0,IF(C183="Income",Q183,-Q183))</x:f>
      </x:c>
      <x:c r="S183" s="14">
        <x:f>IF(A183="","",DATE(YEAR(A183),MONTH(A183),1))</x:f>
      </x:c>
      <x:c r="T183" s="14">
        <x:f>IF(L183="","",DATE(YEAR(L183),MONTH(L183),1))</x:f>
      </x:c>
    </x:row>
    <x:row r="184">
      <x:c r="A184" s="11" t="n"/>
      <x:c r="B184" s="5" t="n"/>
      <x:c r="C184" s="12" t="n"/>
      <x:c r="D184" s="12" t="n"/>
      <x:c r="E184" s="12" t="n"/>
      <x:c r="F184" s="12" t="n"/>
      <x:c r="G184" s="13">
        <x:f>IF(F184="","",IFERROR(VLOOKUP(F184,Master_Data!$E$24:$G$33,2,FALSE),"9999"))</x:f>
      </x:c>
      <x:c r="H184" s="12" t="n"/>
      <x:c r="I184" s="12" t="n"/>
      <x:c r="J184" s="12" t="n"/>
      <x:c r="K184" s="12" t="n"/>
      <x:c r="L184" s="11" t="n"/>
      <x:c r="M184" s="9" t="n"/>
      <x:c r="N184" s="12" t="n"/>
      <x:c r="O184" s="6">
        <x:f>IF(N184="","",IFERROR(VLOOKUP(N184,Master_Data!$A$5:$C$8,3,FALSE),0))</x:f>
      </x:c>
      <x:c r="P184" s="7">
        <x:f>IF(M184="","",M184*O184)</x:f>
      </x:c>
      <x:c r="Q184" s="7">
        <x:f>IF(M184="","",M184+P184)</x:f>
      </x:c>
      <x:c r="R184" s="7">
        <x:f>IF(K184&lt;&gt;"Paid",0,IF(C184="Income",Q184,-Q184))</x:f>
      </x:c>
      <x:c r="S184" s="14">
        <x:f>IF(A184="","",DATE(YEAR(A184),MONTH(A184),1))</x:f>
      </x:c>
      <x:c r="T184" s="14">
        <x:f>IF(L184="","",DATE(YEAR(L184),MONTH(L184),1))</x:f>
      </x:c>
    </x:row>
    <x:row r="185">
      <x:c r="A185" s="11" t="n"/>
      <x:c r="B185" s="5" t="n"/>
      <x:c r="C185" s="12" t="n"/>
      <x:c r="D185" s="12" t="n"/>
      <x:c r="E185" s="12" t="n"/>
      <x:c r="F185" s="12" t="n"/>
      <x:c r="G185" s="13">
        <x:f>IF(F185="","",IFERROR(VLOOKUP(F185,Master_Data!$E$24:$G$33,2,FALSE),"9999"))</x:f>
      </x:c>
      <x:c r="H185" s="12" t="n"/>
      <x:c r="I185" s="12" t="n"/>
      <x:c r="J185" s="12" t="n"/>
      <x:c r="K185" s="12" t="n"/>
      <x:c r="L185" s="11" t="n"/>
      <x:c r="M185" s="9" t="n"/>
      <x:c r="N185" s="12" t="n"/>
      <x:c r="O185" s="6">
        <x:f>IF(N185="","",IFERROR(VLOOKUP(N185,Master_Data!$A$5:$C$8,3,FALSE),0))</x:f>
      </x:c>
      <x:c r="P185" s="7">
        <x:f>IF(M185="","",M185*O185)</x:f>
      </x:c>
      <x:c r="Q185" s="7">
        <x:f>IF(M185="","",M185+P185)</x:f>
      </x:c>
      <x:c r="R185" s="7">
        <x:f>IF(K185&lt;&gt;"Paid",0,IF(C185="Income",Q185,-Q185))</x:f>
      </x:c>
      <x:c r="S185" s="14">
        <x:f>IF(A185="","",DATE(YEAR(A185),MONTH(A185),1))</x:f>
      </x:c>
      <x:c r="T185" s="14">
        <x:f>IF(L185="","",DATE(YEAR(L185),MONTH(L185),1))</x:f>
      </x:c>
    </x:row>
    <x:row r="186">
      <x:c r="A186" s="11" t="n"/>
      <x:c r="B186" s="5" t="n"/>
      <x:c r="C186" s="12" t="n"/>
      <x:c r="D186" s="12" t="n"/>
      <x:c r="E186" s="12" t="n"/>
      <x:c r="F186" s="12" t="n"/>
      <x:c r="G186" s="13">
        <x:f>IF(F186="","",IFERROR(VLOOKUP(F186,Master_Data!$E$24:$G$33,2,FALSE),"9999"))</x:f>
      </x:c>
      <x:c r="H186" s="12" t="n"/>
      <x:c r="I186" s="12" t="n"/>
      <x:c r="J186" s="12" t="n"/>
      <x:c r="K186" s="12" t="n"/>
      <x:c r="L186" s="11" t="n"/>
      <x:c r="M186" s="9" t="n"/>
      <x:c r="N186" s="12" t="n"/>
      <x:c r="O186" s="6">
        <x:f>IF(N186="","",IFERROR(VLOOKUP(N186,Master_Data!$A$5:$C$8,3,FALSE),0))</x:f>
      </x:c>
      <x:c r="P186" s="7">
        <x:f>IF(M186="","",M186*O186)</x:f>
      </x:c>
      <x:c r="Q186" s="7">
        <x:f>IF(M186="","",M186+P186)</x:f>
      </x:c>
      <x:c r="R186" s="7">
        <x:f>IF(K186&lt;&gt;"Paid",0,IF(C186="Income",Q186,-Q186))</x:f>
      </x:c>
      <x:c r="S186" s="14">
        <x:f>IF(A186="","",DATE(YEAR(A186),MONTH(A186),1))</x:f>
      </x:c>
      <x:c r="T186" s="14">
        <x:f>IF(L186="","",DATE(YEAR(L186),MONTH(L186),1))</x:f>
      </x:c>
    </x:row>
    <x:row r="187">
      <x:c r="A187" s="11" t="n"/>
      <x:c r="B187" s="5" t="n"/>
      <x:c r="C187" s="12" t="n"/>
      <x:c r="D187" s="12" t="n"/>
      <x:c r="E187" s="12" t="n"/>
      <x:c r="F187" s="12" t="n"/>
      <x:c r="G187" s="13">
        <x:f>IF(F187="","",IFERROR(VLOOKUP(F187,Master_Data!$E$24:$G$33,2,FALSE),"9999"))</x:f>
      </x:c>
      <x:c r="H187" s="12" t="n"/>
      <x:c r="I187" s="12" t="n"/>
      <x:c r="J187" s="12" t="n"/>
      <x:c r="K187" s="12" t="n"/>
      <x:c r="L187" s="11" t="n"/>
      <x:c r="M187" s="9" t="n"/>
      <x:c r="N187" s="12" t="n"/>
      <x:c r="O187" s="6">
        <x:f>IF(N187="","",IFERROR(VLOOKUP(N187,Master_Data!$A$5:$C$8,3,FALSE),0))</x:f>
      </x:c>
      <x:c r="P187" s="7">
        <x:f>IF(M187="","",M187*O187)</x:f>
      </x:c>
      <x:c r="Q187" s="7">
        <x:f>IF(M187="","",M187+P187)</x:f>
      </x:c>
      <x:c r="R187" s="7">
        <x:f>IF(K187&lt;&gt;"Paid",0,IF(C187="Income",Q187,-Q187))</x:f>
      </x:c>
      <x:c r="S187" s="14">
        <x:f>IF(A187="","",DATE(YEAR(A187),MONTH(A187),1))</x:f>
      </x:c>
      <x:c r="T187" s="14">
        <x:f>IF(L187="","",DATE(YEAR(L187),MONTH(L187),1))</x:f>
      </x:c>
    </x:row>
    <x:row r="188">
      <x:c r="A188" s="11" t="n"/>
      <x:c r="B188" s="5" t="n"/>
      <x:c r="C188" s="12" t="n"/>
      <x:c r="D188" s="12" t="n"/>
      <x:c r="E188" s="12" t="n"/>
      <x:c r="F188" s="12" t="n"/>
      <x:c r="G188" s="13">
        <x:f>IF(F188="","",IFERROR(VLOOKUP(F188,Master_Data!$E$24:$G$33,2,FALSE),"9999"))</x:f>
      </x:c>
      <x:c r="H188" s="12" t="n"/>
      <x:c r="I188" s="12" t="n"/>
      <x:c r="J188" s="12" t="n"/>
      <x:c r="K188" s="12" t="n"/>
      <x:c r="L188" s="11" t="n"/>
      <x:c r="M188" s="9" t="n"/>
      <x:c r="N188" s="12" t="n"/>
      <x:c r="O188" s="6">
        <x:f>IF(N188="","",IFERROR(VLOOKUP(N188,Master_Data!$A$5:$C$8,3,FALSE),0))</x:f>
      </x:c>
      <x:c r="P188" s="7">
        <x:f>IF(M188="","",M188*O188)</x:f>
      </x:c>
      <x:c r="Q188" s="7">
        <x:f>IF(M188="","",M188+P188)</x:f>
      </x:c>
      <x:c r="R188" s="7">
        <x:f>IF(K188&lt;&gt;"Paid",0,IF(C188="Income",Q188,-Q188))</x:f>
      </x:c>
      <x:c r="S188" s="14">
        <x:f>IF(A188="","",DATE(YEAR(A188),MONTH(A188),1))</x:f>
      </x:c>
      <x:c r="T188" s="14">
        <x:f>IF(L188="","",DATE(YEAR(L188),MONTH(L188),1))</x:f>
      </x:c>
    </x:row>
    <x:row r="189">
      <x:c r="A189" s="11" t="n"/>
      <x:c r="B189" s="5" t="n"/>
      <x:c r="C189" s="12" t="n"/>
      <x:c r="D189" s="12" t="n"/>
      <x:c r="E189" s="12" t="n"/>
      <x:c r="F189" s="12" t="n"/>
      <x:c r="G189" s="13">
        <x:f>IF(F189="","",IFERROR(VLOOKUP(F189,Master_Data!$E$24:$G$33,2,FALSE),"9999"))</x:f>
      </x:c>
      <x:c r="H189" s="12" t="n"/>
      <x:c r="I189" s="12" t="n"/>
      <x:c r="J189" s="12" t="n"/>
      <x:c r="K189" s="12" t="n"/>
      <x:c r="L189" s="11" t="n"/>
      <x:c r="M189" s="9" t="n"/>
      <x:c r="N189" s="12" t="n"/>
      <x:c r="O189" s="6">
        <x:f>IF(N189="","",IFERROR(VLOOKUP(N189,Master_Data!$A$5:$C$8,3,FALSE),0))</x:f>
      </x:c>
      <x:c r="P189" s="7">
        <x:f>IF(M189="","",M189*O189)</x:f>
      </x:c>
      <x:c r="Q189" s="7">
        <x:f>IF(M189="","",M189+P189)</x:f>
      </x:c>
      <x:c r="R189" s="7">
        <x:f>IF(K189&lt;&gt;"Paid",0,IF(C189="Income",Q189,-Q189))</x:f>
      </x:c>
      <x:c r="S189" s="14">
        <x:f>IF(A189="","",DATE(YEAR(A189),MONTH(A189),1))</x:f>
      </x:c>
      <x:c r="T189" s="14">
        <x:f>IF(L189="","",DATE(YEAR(L189),MONTH(L189),1))</x:f>
      </x:c>
    </x:row>
    <x:row r="190">
      <x:c r="A190" s="11" t="n"/>
      <x:c r="B190" s="5" t="n"/>
      <x:c r="C190" s="12" t="n"/>
      <x:c r="D190" s="12" t="n"/>
      <x:c r="E190" s="12" t="n"/>
      <x:c r="F190" s="12" t="n"/>
      <x:c r="G190" s="13">
        <x:f>IF(F190="","",IFERROR(VLOOKUP(F190,Master_Data!$E$24:$G$33,2,FALSE),"9999"))</x:f>
      </x:c>
      <x:c r="H190" s="12" t="n"/>
      <x:c r="I190" s="12" t="n"/>
      <x:c r="J190" s="12" t="n"/>
      <x:c r="K190" s="12" t="n"/>
      <x:c r="L190" s="11" t="n"/>
      <x:c r="M190" s="9" t="n"/>
      <x:c r="N190" s="12" t="n"/>
      <x:c r="O190" s="6">
        <x:f>IF(N190="","",IFERROR(VLOOKUP(N190,Master_Data!$A$5:$C$8,3,FALSE),0))</x:f>
      </x:c>
      <x:c r="P190" s="7">
        <x:f>IF(M190="","",M190*O190)</x:f>
      </x:c>
      <x:c r="Q190" s="7">
        <x:f>IF(M190="","",M190+P190)</x:f>
      </x:c>
      <x:c r="R190" s="7">
        <x:f>IF(K190&lt;&gt;"Paid",0,IF(C190="Income",Q190,-Q190))</x:f>
      </x:c>
      <x:c r="S190" s="14">
        <x:f>IF(A190="","",DATE(YEAR(A190),MONTH(A190),1))</x:f>
      </x:c>
      <x:c r="T190" s="14">
        <x:f>IF(L190="","",DATE(YEAR(L190),MONTH(L190),1))</x:f>
      </x:c>
    </x:row>
    <x:row r="191">
      <x:c r="A191" s="11" t="n"/>
      <x:c r="B191" s="5" t="n"/>
      <x:c r="C191" s="12" t="n"/>
      <x:c r="D191" s="12" t="n"/>
      <x:c r="E191" s="12" t="n"/>
      <x:c r="F191" s="12" t="n"/>
      <x:c r="G191" s="13">
        <x:f>IF(F191="","",IFERROR(VLOOKUP(F191,Master_Data!$E$24:$G$33,2,FALSE),"9999"))</x:f>
      </x:c>
      <x:c r="H191" s="12" t="n"/>
      <x:c r="I191" s="12" t="n"/>
      <x:c r="J191" s="12" t="n"/>
      <x:c r="K191" s="12" t="n"/>
      <x:c r="L191" s="11" t="n"/>
      <x:c r="M191" s="9" t="n"/>
      <x:c r="N191" s="12" t="n"/>
      <x:c r="O191" s="6">
        <x:f>IF(N191="","",IFERROR(VLOOKUP(N191,Master_Data!$A$5:$C$8,3,FALSE),0))</x:f>
      </x:c>
      <x:c r="P191" s="7">
        <x:f>IF(M191="","",M191*O191)</x:f>
      </x:c>
      <x:c r="Q191" s="7">
        <x:f>IF(M191="","",M191+P191)</x:f>
      </x:c>
      <x:c r="R191" s="7">
        <x:f>IF(K191&lt;&gt;"Paid",0,IF(C191="Income",Q191,-Q191))</x:f>
      </x:c>
      <x:c r="S191" s="14">
        <x:f>IF(A191="","",DATE(YEAR(A191),MONTH(A191),1))</x:f>
      </x:c>
      <x:c r="T191" s="14">
        <x:f>IF(L191="","",DATE(YEAR(L191),MONTH(L191),1))</x:f>
      </x:c>
    </x:row>
    <x:row r="192">
      <x:c r="A192" s="11" t="n"/>
      <x:c r="B192" s="5" t="n"/>
      <x:c r="C192" s="12" t="n"/>
      <x:c r="D192" s="12" t="n"/>
      <x:c r="E192" s="12" t="n"/>
      <x:c r="F192" s="12" t="n"/>
      <x:c r="G192" s="13">
        <x:f>IF(F192="","",IFERROR(VLOOKUP(F192,Master_Data!$E$24:$G$33,2,FALSE),"9999"))</x:f>
      </x:c>
      <x:c r="H192" s="12" t="n"/>
      <x:c r="I192" s="12" t="n"/>
      <x:c r="J192" s="12" t="n"/>
      <x:c r="K192" s="12" t="n"/>
      <x:c r="L192" s="11" t="n"/>
      <x:c r="M192" s="9" t="n"/>
      <x:c r="N192" s="12" t="n"/>
      <x:c r="O192" s="6">
        <x:f>IF(N192="","",IFERROR(VLOOKUP(N192,Master_Data!$A$5:$C$8,3,FALSE),0))</x:f>
      </x:c>
      <x:c r="P192" s="7">
        <x:f>IF(M192="","",M192*O192)</x:f>
      </x:c>
      <x:c r="Q192" s="7">
        <x:f>IF(M192="","",M192+P192)</x:f>
      </x:c>
      <x:c r="R192" s="7">
        <x:f>IF(K192&lt;&gt;"Paid",0,IF(C192="Income",Q192,-Q192))</x:f>
      </x:c>
      <x:c r="S192" s="14">
        <x:f>IF(A192="","",DATE(YEAR(A192),MONTH(A192),1))</x:f>
      </x:c>
      <x:c r="T192" s="14">
        <x:f>IF(L192="","",DATE(YEAR(L192),MONTH(L192),1))</x:f>
      </x:c>
    </x:row>
    <x:row r="193">
      <x:c r="A193" s="11" t="n"/>
      <x:c r="B193" s="5" t="n"/>
      <x:c r="C193" s="12" t="n"/>
      <x:c r="D193" s="12" t="n"/>
      <x:c r="E193" s="12" t="n"/>
      <x:c r="F193" s="12" t="n"/>
      <x:c r="G193" s="13">
        <x:f>IF(F193="","",IFERROR(VLOOKUP(F193,Master_Data!$E$24:$G$33,2,FALSE),"9999"))</x:f>
      </x:c>
      <x:c r="H193" s="12" t="n"/>
      <x:c r="I193" s="12" t="n"/>
      <x:c r="J193" s="12" t="n"/>
      <x:c r="K193" s="12" t="n"/>
      <x:c r="L193" s="11" t="n"/>
      <x:c r="M193" s="9" t="n"/>
      <x:c r="N193" s="12" t="n"/>
      <x:c r="O193" s="6">
        <x:f>IF(N193="","",IFERROR(VLOOKUP(N193,Master_Data!$A$5:$C$8,3,FALSE),0))</x:f>
      </x:c>
      <x:c r="P193" s="7">
        <x:f>IF(M193="","",M193*O193)</x:f>
      </x:c>
      <x:c r="Q193" s="7">
        <x:f>IF(M193="","",M193+P193)</x:f>
      </x:c>
      <x:c r="R193" s="7">
        <x:f>IF(K193&lt;&gt;"Paid",0,IF(C193="Income",Q193,-Q193))</x:f>
      </x:c>
      <x:c r="S193" s="14">
        <x:f>IF(A193="","",DATE(YEAR(A193),MONTH(A193),1))</x:f>
      </x:c>
      <x:c r="T193" s="14">
        <x:f>IF(L193="","",DATE(YEAR(L193),MONTH(L193),1))</x:f>
      </x:c>
    </x:row>
    <x:row r="194">
      <x:c r="A194" s="11" t="n"/>
      <x:c r="B194" s="5" t="n"/>
      <x:c r="C194" s="12" t="n"/>
      <x:c r="D194" s="12" t="n"/>
      <x:c r="E194" s="12" t="n"/>
      <x:c r="F194" s="12" t="n"/>
      <x:c r="G194" s="13">
        <x:f>IF(F194="","",IFERROR(VLOOKUP(F194,Master_Data!$E$24:$G$33,2,FALSE),"9999"))</x:f>
      </x:c>
      <x:c r="H194" s="12" t="n"/>
      <x:c r="I194" s="12" t="n"/>
      <x:c r="J194" s="12" t="n"/>
      <x:c r="K194" s="12" t="n"/>
      <x:c r="L194" s="11" t="n"/>
      <x:c r="M194" s="9" t="n"/>
      <x:c r="N194" s="12" t="n"/>
      <x:c r="O194" s="6">
        <x:f>IF(N194="","",IFERROR(VLOOKUP(N194,Master_Data!$A$5:$C$8,3,FALSE),0))</x:f>
      </x:c>
      <x:c r="P194" s="7">
        <x:f>IF(M194="","",M194*O194)</x:f>
      </x:c>
      <x:c r="Q194" s="7">
        <x:f>IF(M194="","",M194+P194)</x:f>
      </x:c>
      <x:c r="R194" s="7">
        <x:f>IF(K194&lt;&gt;"Paid",0,IF(C194="Income",Q194,-Q194))</x:f>
      </x:c>
      <x:c r="S194" s="14">
        <x:f>IF(A194="","",DATE(YEAR(A194),MONTH(A194),1))</x:f>
      </x:c>
      <x:c r="T194" s="14">
        <x:f>IF(L194="","",DATE(YEAR(L194),MONTH(L194),1))</x:f>
      </x:c>
    </x:row>
    <x:row r="195">
      <x:c r="A195" s="11" t="n"/>
      <x:c r="B195" s="5" t="n"/>
      <x:c r="C195" s="12" t="n"/>
      <x:c r="D195" s="12" t="n"/>
      <x:c r="E195" s="12" t="n"/>
      <x:c r="F195" s="12" t="n"/>
      <x:c r="G195" s="13">
        <x:f>IF(F195="","",IFERROR(VLOOKUP(F195,Master_Data!$E$24:$G$33,2,FALSE),"9999"))</x:f>
      </x:c>
      <x:c r="H195" s="12" t="n"/>
      <x:c r="I195" s="12" t="n"/>
      <x:c r="J195" s="12" t="n"/>
      <x:c r="K195" s="12" t="n"/>
      <x:c r="L195" s="11" t="n"/>
      <x:c r="M195" s="9" t="n"/>
      <x:c r="N195" s="12" t="n"/>
      <x:c r="O195" s="6">
        <x:f>IF(N195="","",IFERROR(VLOOKUP(N195,Master_Data!$A$5:$C$8,3,FALSE),0))</x:f>
      </x:c>
      <x:c r="P195" s="7">
        <x:f>IF(M195="","",M195*O195)</x:f>
      </x:c>
      <x:c r="Q195" s="7">
        <x:f>IF(M195="","",M195+P195)</x:f>
      </x:c>
      <x:c r="R195" s="7">
        <x:f>IF(K195&lt;&gt;"Paid",0,IF(C195="Income",Q195,-Q195))</x:f>
      </x:c>
      <x:c r="S195" s="14">
        <x:f>IF(A195="","",DATE(YEAR(A195),MONTH(A195),1))</x:f>
      </x:c>
      <x:c r="T195" s="14">
        <x:f>IF(L195="","",DATE(YEAR(L195),MONTH(L195),1))</x:f>
      </x:c>
    </x:row>
    <x:row r="196">
      <x:c r="A196" s="11" t="n"/>
      <x:c r="B196" s="5" t="n"/>
      <x:c r="C196" s="12" t="n"/>
      <x:c r="D196" s="12" t="n"/>
      <x:c r="E196" s="12" t="n"/>
      <x:c r="F196" s="12" t="n"/>
      <x:c r="G196" s="13">
        <x:f>IF(F196="","",IFERROR(VLOOKUP(F196,Master_Data!$E$24:$G$33,2,FALSE),"9999"))</x:f>
      </x:c>
      <x:c r="H196" s="12" t="n"/>
      <x:c r="I196" s="12" t="n"/>
      <x:c r="J196" s="12" t="n"/>
      <x:c r="K196" s="12" t="n"/>
      <x:c r="L196" s="11" t="n"/>
      <x:c r="M196" s="9" t="n"/>
      <x:c r="N196" s="12" t="n"/>
      <x:c r="O196" s="6">
        <x:f>IF(N196="","",IFERROR(VLOOKUP(N196,Master_Data!$A$5:$C$8,3,FALSE),0))</x:f>
      </x:c>
      <x:c r="P196" s="7">
        <x:f>IF(M196="","",M196*O196)</x:f>
      </x:c>
      <x:c r="Q196" s="7">
        <x:f>IF(M196="","",M196+P196)</x:f>
      </x:c>
      <x:c r="R196" s="7">
        <x:f>IF(K196&lt;&gt;"Paid",0,IF(C196="Income",Q196,-Q196))</x:f>
      </x:c>
      <x:c r="S196" s="14">
        <x:f>IF(A196="","",DATE(YEAR(A196),MONTH(A196),1))</x:f>
      </x:c>
      <x:c r="T196" s="14">
        <x:f>IF(L196="","",DATE(YEAR(L196),MONTH(L196),1))</x:f>
      </x:c>
    </x:row>
    <x:row r="197">
      <x:c r="A197" s="11" t="n"/>
      <x:c r="B197" s="5" t="n"/>
      <x:c r="C197" s="12" t="n"/>
      <x:c r="D197" s="12" t="n"/>
      <x:c r="E197" s="12" t="n"/>
      <x:c r="F197" s="12" t="n"/>
      <x:c r="G197" s="13">
        <x:f>IF(F197="","",IFERROR(VLOOKUP(F197,Master_Data!$E$24:$G$33,2,FALSE),"9999"))</x:f>
      </x:c>
      <x:c r="H197" s="12" t="n"/>
      <x:c r="I197" s="12" t="n"/>
      <x:c r="J197" s="12" t="n"/>
      <x:c r="K197" s="12" t="n"/>
      <x:c r="L197" s="11" t="n"/>
      <x:c r="M197" s="9" t="n"/>
      <x:c r="N197" s="12" t="n"/>
      <x:c r="O197" s="6">
        <x:f>IF(N197="","",IFERROR(VLOOKUP(N197,Master_Data!$A$5:$C$8,3,FALSE),0))</x:f>
      </x:c>
      <x:c r="P197" s="7">
        <x:f>IF(M197="","",M197*O197)</x:f>
      </x:c>
      <x:c r="Q197" s="7">
        <x:f>IF(M197="","",M197+P197)</x:f>
      </x:c>
      <x:c r="R197" s="7">
        <x:f>IF(K197&lt;&gt;"Paid",0,IF(C197="Income",Q197,-Q197))</x:f>
      </x:c>
      <x:c r="S197" s="14">
        <x:f>IF(A197="","",DATE(YEAR(A197),MONTH(A197),1))</x:f>
      </x:c>
      <x:c r="T197" s="14">
        <x:f>IF(L197="","",DATE(YEAR(L197),MONTH(L197),1))</x:f>
      </x:c>
    </x:row>
    <x:row r="198">
      <x:c r="A198" s="11" t="n"/>
      <x:c r="B198" s="5" t="n"/>
      <x:c r="C198" s="12" t="n"/>
      <x:c r="D198" s="12" t="n"/>
      <x:c r="E198" s="12" t="n"/>
      <x:c r="F198" s="12" t="n"/>
      <x:c r="G198" s="13">
        <x:f>IF(F198="","",IFERROR(VLOOKUP(F198,Master_Data!$E$24:$G$33,2,FALSE),"9999"))</x:f>
      </x:c>
      <x:c r="H198" s="12" t="n"/>
      <x:c r="I198" s="12" t="n"/>
      <x:c r="J198" s="12" t="n"/>
      <x:c r="K198" s="12" t="n"/>
      <x:c r="L198" s="11" t="n"/>
      <x:c r="M198" s="9" t="n"/>
      <x:c r="N198" s="12" t="n"/>
      <x:c r="O198" s="6">
        <x:f>IF(N198="","",IFERROR(VLOOKUP(N198,Master_Data!$A$5:$C$8,3,FALSE),0))</x:f>
      </x:c>
      <x:c r="P198" s="7">
        <x:f>IF(M198="","",M198*O198)</x:f>
      </x:c>
      <x:c r="Q198" s="7">
        <x:f>IF(M198="","",M198+P198)</x:f>
      </x:c>
      <x:c r="R198" s="7">
        <x:f>IF(K198&lt;&gt;"Paid",0,IF(C198="Income",Q198,-Q198))</x:f>
      </x:c>
      <x:c r="S198" s="14">
        <x:f>IF(A198="","",DATE(YEAR(A198),MONTH(A198),1))</x:f>
      </x:c>
      <x:c r="T198" s="14">
        <x:f>IF(L198="","",DATE(YEAR(L198),MONTH(L198),1))</x:f>
      </x:c>
    </x:row>
    <x:row r="199">
      <x:c r="A199" s="11" t="n"/>
      <x:c r="B199" s="5" t="n"/>
      <x:c r="C199" s="12" t="n"/>
      <x:c r="D199" s="12" t="n"/>
      <x:c r="E199" s="12" t="n"/>
      <x:c r="F199" s="12" t="n"/>
      <x:c r="G199" s="13">
        <x:f>IF(F199="","",IFERROR(VLOOKUP(F199,Master_Data!$E$24:$G$33,2,FALSE),"9999"))</x:f>
      </x:c>
      <x:c r="H199" s="12" t="n"/>
      <x:c r="I199" s="12" t="n"/>
      <x:c r="J199" s="12" t="n"/>
      <x:c r="K199" s="12" t="n"/>
      <x:c r="L199" s="11" t="n"/>
      <x:c r="M199" s="9" t="n"/>
      <x:c r="N199" s="12" t="n"/>
      <x:c r="O199" s="6">
        <x:f>IF(N199="","",IFERROR(VLOOKUP(N199,Master_Data!$A$5:$C$8,3,FALSE),0))</x:f>
      </x:c>
      <x:c r="P199" s="7">
        <x:f>IF(M199="","",M199*O199)</x:f>
      </x:c>
      <x:c r="Q199" s="7">
        <x:f>IF(M199="","",M199+P199)</x:f>
      </x:c>
      <x:c r="R199" s="7">
        <x:f>IF(K199&lt;&gt;"Paid",0,IF(C199="Income",Q199,-Q199))</x:f>
      </x:c>
      <x:c r="S199" s="14">
        <x:f>IF(A199="","",DATE(YEAR(A199),MONTH(A199),1))</x:f>
      </x:c>
      <x:c r="T199" s="14">
        <x:f>IF(L199="","",DATE(YEAR(L199),MONTH(L199),1))</x:f>
      </x:c>
    </x:row>
    <x:row r="200">
      <x:c r="A200" s="11" t="n"/>
      <x:c r="B200" s="5" t="n"/>
      <x:c r="C200" s="12" t="n"/>
      <x:c r="D200" s="12" t="n"/>
      <x:c r="E200" s="12" t="n"/>
      <x:c r="F200" s="12" t="n"/>
      <x:c r="G200" s="13">
        <x:f>IF(F200="","",IFERROR(VLOOKUP(F200,Master_Data!$E$24:$G$33,2,FALSE),"9999"))</x:f>
      </x:c>
      <x:c r="H200" s="12" t="n"/>
      <x:c r="I200" s="12" t="n"/>
      <x:c r="J200" s="12" t="n"/>
      <x:c r="K200" s="12" t="n"/>
      <x:c r="L200" s="11" t="n"/>
      <x:c r="M200" s="9" t="n"/>
      <x:c r="N200" s="12" t="n"/>
      <x:c r="O200" s="6">
        <x:f>IF(N200="","",IFERROR(VLOOKUP(N200,Master_Data!$A$5:$C$8,3,FALSE),0))</x:f>
      </x:c>
      <x:c r="P200" s="7">
        <x:f>IF(M200="","",M200*O200)</x:f>
      </x:c>
      <x:c r="Q200" s="7">
        <x:f>IF(M200="","",M200+P200)</x:f>
      </x:c>
      <x:c r="R200" s="7">
        <x:f>IF(K200&lt;&gt;"Paid",0,IF(C200="Income",Q200,-Q200))</x:f>
      </x:c>
      <x:c r="S200" s="14">
        <x:f>IF(A200="","",DATE(YEAR(A200),MONTH(A200),1))</x:f>
      </x:c>
      <x:c r="T200" s="14">
        <x:f>IF(L200="","",DATE(YEAR(L200),MONTH(L200),1))</x:f>
      </x:c>
    </x:row>
    <x:row r="201">
      <x:c r="A201" s="11" t="n"/>
      <x:c r="B201" s="5" t="n"/>
      <x:c r="C201" s="12" t="n"/>
      <x:c r="D201" s="12" t="n"/>
      <x:c r="E201" s="12" t="n"/>
      <x:c r="F201" s="12" t="n"/>
      <x:c r="G201" s="13">
        <x:f>IF(F201="","",IFERROR(VLOOKUP(F201,Master_Data!$E$24:$G$33,2,FALSE),"9999"))</x:f>
      </x:c>
      <x:c r="H201" s="12" t="n"/>
      <x:c r="I201" s="12" t="n"/>
      <x:c r="J201" s="12" t="n"/>
      <x:c r="K201" s="12" t="n"/>
      <x:c r="L201" s="11" t="n"/>
      <x:c r="M201" s="9" t="n"/>
      <x:c r="N201" s="12" t="n"/>
      <x:c r="O201" s="6">
        <x:f>IF(N201="","",IFERROR(VLOOKUP(N201,Master_Data!$A$5:$C$8,3,FALSE),0))</x:f>
      </x:c>
      <x:c r="P201" s="7">
        <x:f>IF(M201="","",M201*O201)</x:f>
      </x:c>
      <x:c r="Q201" s="7">
        <x:f>IF(M201="","",M201+P201)</x:f>
      </x:c>
      <x:c r="R201" s="7">
        <x:f>IF(K201&lt;&gt;"Paid",0,IF(C201="Income",Q201,-Q201))</x:f>
      </x:c>
      <x:c r="S201" s="14">
        <x:f>IF(A201="","",DATE(YEAR(A201),MONTH(A201),1))</x:f>
      </x:c>
      <x:c r="T201" s="14">
        <x:f>IF(L201="","",DATE(YEAR(L201),MONTH(L201),1))</x:f>
      </x:c>
    </x:row>
    <x:row r="202">
      <x:c r="A202" s="11" t="n"/>
      <x:c r="B202" s="5" t="n"/>
      <x:c r="C202" s="12" t="n"/>
      <x:c r="D202" s="12" t="n"/>
      <x:c r="E202" s="12" t="n"/>
      <x:c r="F202" s="12" t="n"/>
      <x:c r="G202" s="13">
        <x:f>IF(F202="","",IFERROR(VLOOKUP(F202,Master_Data!$E$24:$G$33,2,FALSE),"9999"))</x:f>
      </x:c>
      <x:c r="H202" s="12" t="n"/>
      <x:c r="I202" s="12" t="n"/>
      <x:c r="J202" s="12" t="n"/>
      <x:c r="K202" s="12" t="n"/>
      <x:c r="L202" s="11" t="n"/>
      <x:c r="M202" s="9" t="n"/>
      <x:c r="N202" s="12" t="n"/>
      <x:c r="O202" s="6">
        <x:f>IF(N202="","",IFERROR(VLOOKUP(N202,Master_Data!$A$5:$C$8,3,FALSE),0))</x:f>
      </x:c>
      <x:c r="P202" s="7">
        <x:f>IF(M202="","",M202*O202)</x:f>
      </x:c>
      <x:c r="Q202" s="7">
        <x:f>IF(M202="","",M202+P202)</x:f>
      </x:c>
      <x:c r="R202" s="7">
        <x:f>IF(K202&lt;&gt;"Paid",0,IF(C202="Income",Q202,-Q202))</x:f>
      </x:c>
      <x:c r="S202" s="14">
        <x:f>IF(A202="","",DATE(YEAR(A202),MONTH(A202),1))</x:f>
      </x:c>
      <x:c r="T202" s="14">
        <x:f>IF(L202="","",DATE(YEAR(L202),MONTH(L202),1))</x:f>
      </x:c>
    </x:row>
    <x:row r="203">
      <x:c r="A203" s="11" t="n"/>
      <x:c r="B203" s="5" t="n"/>
      <x:c r="C203" s="12" t="n"/>
      <x:c r="D203" s="12" t="n"/>
      <x:c r="E203" s="12" t="n"/>
      <x:c r="F203" s="12" t="n"/>
      <x:c r="G203" s="13">
        <x:f>IF(F203="","",IFERROR(VLOOKUP(F203,Master_Data!$E$24:$G$33,2,FALSE),"9999"))</x:f>
      </x:c>
      <x:c r="H203" s="12" t="n"/>
      <x:c r="I203" s="12" t="n"/>
      <x:c r="J203" s="12" t="n"/>
      <x:c r="K203" s="12" t="n"/>
      <x:c r="L203" s="11" t="n"/>
      <x:c r="M203" s="9" t="n"/>
      <x:c r="N203" s="12" t="n"/>
      <x:c r="O203" s="6">
        <x:f>IF(N203="","",IFERROR(VLOOKUP(N203,Master_Data!$A$5:$C$8,3,FALSE),0))</x:f>
      </x:c>
      <x:c r="P203" s="7">
        <x:f>IF(M203="","",M203*O203)</x:f>
      </x:c>
      <x:c r="Q203" s="7">
        <x:f>IF(M203="","",M203+P203)</x:f>
      </x:c>
      <x:c r="R203" s="7">
        <x:f>IF(K203&lt;&gt;"Paid",0,IF(C203="Income",Q203,-Q203))</x:f>
      </x:c>
      <x:c r="S203" s="14">
        <x:f>IF(A203="","",DATE(YEAR(A203),MONTH(A203),1))</x:f>
      </x:c>
      <x:c r="T203" s="14">
        <x:f>IF(L203="","",DATE(YEAR(L203),MONTH(L203),1))</x:f>
      </x:c>
    </x:row>
    <x:row r="204">
      <x:c r="A204" s="11" t="n"/>
      <x:c r="B204" s="5" t="n"/>
      <x:c r="C204" s="12" t="n"/>
      <x:c r="D204" s="12" t="n"/>
      <x:c r="E204" s="12" t="n"/>
      <x:c r="F204" s="12" t="n"/>
      <x:c r="G204" s="13">
        <x:f>IF(F204="","",IFERROR(VLOOKUP(F204,Master_Data!$E$24:$G$33,2,FALSE),"9999"))</x:f>
      </x:c>
      <x:c r="H204" s="12" t="n"/>
      <x:c r="I204" s="12" t="n"/>
      <x:c r="J204" s="12" t="n"/>
      <x:c r="K204" s="12" t="n"/>
      <x:c r="L204" s="11" t="n"/>
      <x:c r="M204" s="9" t="n"/>
      <x:c r="N204" s="12" t="n"/>
      <x:c r="O204" s="6">
        <x:f>IF(N204="","",IFERROR(VLOOKUP(N204,Master_Data!$A$5:$C$8,3,FALSE),0))</x:f>
      </x:c>
      <x:c r="P204" s="7">
        <x:f>IF(M204="","",M204*O204)</x:f>
      </x:c>
      <x:c r="Q204" s="7">
        <x:f>IF(M204="","",M204+P204)</x:f>
      </x:c>
      <x:c r="R204" s="7">
        <x:f>IF(K204&lt;&gt;"Paid",0,IF(C204="Income",Q204,-Q204))</x:f>
      </x:c>
      <x:c r="S204" s="14">
        <x:f>IF(A204="","",DATE(YEAR(A204),MONTH(A204),1))</x:f>
      </x:c>
      <x:c r="T204" s="14">
        <x:f>IF(L204="","",DATE(YEAR(L204),MONTH(L204),1))</x:f>
      </x:c>
    </x:row>
    <x:row r="205">
      <x:c r="A205" s="11" t="n"/>
      <x:c r="B205" s="5" t="n"/>
      <x:c r="C205" s="12" t="n"/>
      <x:c r="D205" s="12" t="n"/>
      <x:c r="E205" s="12" t="n"/>
      <x:c r="F205" s="12" t="n"/>
      <x:c r="G205" s="13">
        <x:f>IF(F205="","",IFERROR(VLOOKUP(F205,Master_Data!$E$24:$G$33,2,FALSE),"9999"))</x:f>
      </x:c>
      <x:c r="H205" s="12" t="n"/>
      <x:c r="I205" s="12" t="n"/>
      <x:c r="J205" s="12" t="n"/>
      <x:c r="K205" s="12" t="n"/>
      <x:c r="L205" s="11" t="n"/>
      <x:c r="M205" s="9" t="n"/>
      <x:c r="N205" s="12" t="n"/>
      <x:c r="O205" s="6">
        <x:f>IF(N205="","",IFERROR(VLOOKUP(N205,Master_Data!$A$5:$C$8,3,FALSE),0))</x:f>
      </x:c>
      <x:c r="P205" s="7">
        <x:f>IF(M205="","",M205*O205)</x:f>
      </x:c>
      <x:c r="Q205" s="7">
        <x:f>IF(M205="","",M205+P205)</x:f>
      </x:c>
      <x:c r="R205" s="7">
        <x:f>IF(K205&lt;&gt;"Paid",0,IF(C205="Income",Q205,-Q205))</x:f>
      </x:c>
      <x:c r="S205" s="14">
        <x:f>IF(A205="","",DATE(YEAR(A205),MONTH(A205),1))</x:f>
      </x:c>
      <x:c r="T205" s="14">
        <x:f>IF(L205="","",DATE(YEAR(L205),MONTH(L205),1))</x:f>
      </x:c>
    </x:row>
    <x:row r="206">
      <x:c r="A206" s="11" t="n"/>
      <x:c r="B206" s="5" t="n"/>
      <x:c r="C206" s="12" t="n"/>
      <x:c r="D206" s="12" t="n"/>
      <x:c r="E206" s="12" t="n"/>
      <x:c r="F206" s="12" t="n"/>
      <x:c r="G206" s="13">
        <x:f>IF(F206="","",IFERROR(VLOOKUP(F206,Master_Data!$E$24:$G$33,2,FALSE),"9999"))</x:f>
      </x:c>
      <x:c r="H206" s="12" t="n"/>
      <x:c r="I206" s="12" t="n"/>
      <x:c r="J206" s="12" t="n"/>
      <x:c r="K206" s="12" t="n"/>
      <x:c r="L206" s="11" t="n"/>
      <x:c r="M206" s="9" t="n"/>
      <x:c r="N206" s="12" t="n"/>
      <x:c r="O206" s="6">
        <x:f>IF(N206="","",IFERROR(VLOOKUP(N206,Master_Data!$A$5:$C$8,3,FALSE),0))</x:f>
      </x:c>
      <x:c r="P206" s="7">
        <x:f>IF(M206="","",M206*O206)</x:f>
      </x:c>
      <x:c r="Q206" s="7">
        <x:f>IF(M206="","",M206+P206)</x:f>
      </x:c>
      <x:c r="R206" s="7">
        <x:f>IF(K206&lt;&gt;"Paid",0,IF(C206="Income",Q206,-Q206))</x:f>
      </x:c>
      <x:c r="S206" s="14">
        <x:f>IF(A206="","",DATE(YEAR(A206),MONTH(A206),1))</x:f>
      </x:c>
      <x:c r="T206" s="14">
        <x:f>IF(L206="","",DATE(YEAR(L206),MONTH(L206),1))</x:f>
      </x:c>
    </x:row>
    <x:row r="207">
      <x:c r="A207" s="11" t="n"/>
      <x:c r="B207" s="5" t="n"/>
      <x:c r="C207" s="12" t="n"/>
      <x:c r="D207" s="12" t="n"/>
      <x:c r="E207" s="12" t="n"/>
      <x:c r="F207" s="12" t="n"/>
      <x:c r="G207" s="13">
        <x:f>IF(F207="","",IFERROR(VLOOKUP(F207,Master_Data!$E$24:$G$33,2,FALSE),"9999"))</x:f>
      </x:c>
      <x:c r="H207" s="12" t="n"/>
      <x:c r="I207" s="12" t="n"/>
      <x:c r="J207" s="12" t="n"/>
      <x:c r="K207" s="12" t="n"/>
      <x:c r="L207" s="11" t="n"/>
      <x:c r="M207" s="9" t="n"/>
      <x:c r="N207" s="12" t="n"/>
      <x:c r="O207" s="6">
        <x:f>IF(N207="","",IFERROR(VLOOKUP(N207,Master_Data!$A$5:$C$8,3,FALSE),0))</x:f>
      </x:c>
      <x:c r="P207" s="7">
        <x:f>IF(M207="","",M207*O207)</x:f>
      </x:c>
      <x:c r="Q207" s="7">
        <x:f>IF(M207="","",M207+P207)</x:f>
      </x:c>
      <x:c r="R207" s="7">
        <x:f>IF(K207&lt;&gt;"Paid",0,IF(C207="Income",Q207,-Q207))</x:f>
      </x:c>
      <x:c r="S207" s="14">
        <x:f>IF(A207="","",DATE(YEAR(A207),MONTH(A207),1))</x:f>
      </x:c>
      <x:c r="T207" s="14">
        <x:f>IF(L207="","",DATE(YEAR(L207),MONTH(L207),1))</x:f>
      </x:c>
    </x:row>
    <x:row r="208">
      <x:c r="A208" s="11" t="n"/>
      <x:c r="B208" s="5" t="n"/>
      <x:c r="C208" s="12" t="n"/>
      <x:c r="D208" s="12" t="n"/>
      <x:c r="E208" s="12" t="n"/>
      <x:c r="F208" s="12" t="n"/>
      <x:c r="G208" s="13">
        <x:f>IF(F208="","",IFERROR(VLOOKUP(F208,Master_Data!$E$24:$G$33,2,FALSE),"9999"))</x:f>
      </x:c>
      <x:c r="H208" s="12" t="n"/>
      <x:c r="I208" s="12" t="n"/>
      <x:c r="J208" s="12" t="n"/>
      <x:c r="K208" s="12" t="n"/>
      <x:c r="L208" s="11" t="n"/>
      <x:c r="M208" s="9" t="n"/>
      <x:c r="N208" s="12" t="n"/>
      <x:c r="O208" s="6">
        <x:f>IF(N208="","",IFERROR(VLOOKUP(N208,Master_Data!$A$5:$C$8,3,FALSE),0))</x:f>
      </x:c>
      <x:c r="P208" s="7">
        <x:f>IF(M208="","",M208*O208)</x:f>
      </x:c>
      <x:c r="Q208" s="7">
        <x:f>IF(M208="","",M208+P208)</x:f>
      </x:c>
      <x:c r="R208" s="7">
        <x:f>IF(K208&lt;&gt;"Paid",0,IF(C208="Income",Q208,-Q208))</x:f>
      </x:c>
      <x:c r="S208" s="14">
        <x:f>IF(A208="","",DATE(YEAR(A208),MONTH(A208),1))</x:f>
      </x:c>
      <x:c r="T208" s="14">
        <x:f>IF(L208="","",DATE(YEAR(L208),MONTH(L208),1))</x:f>
      </x:c>
    </x:row>
    <x:row r="209">
      <x:c r="A209" s="11" t="n"/>
      <x:c r="B209" s="5" t="n"/>
      <x:c r="C209" s="12" t="n"/>
      <x:c r="D209" s="12" t="n"/>
      <x:c r="E209" s="12" t="n"/>
      <x:c r="F209" s="12" t="n"/>
      <x:c r="G209" s="13">
        <x:f>IF(F209="","",IFERROR(VLOOKUP(F209,Master_Data!$E$24:$G$33,2,FALSE),"9999"))</x:f>
      </x:c>
      <x:c r="H209" s="12" t="n"/>
      <x:c r="I209" s="12" t="n"/>
      <x:c r="J209" s="12" t="n"/>
      <x:c r="K209" s="12" t="n"/>
      <x:c r="L209" s="11" t="n"/>
      <x:c r="M209" s="9" t="n"/>
      <x:c r="N209" s="12" t="n"/>
      <x:c r="O209" s="6">
        <x:f>IF(N209="","",IFERROR(VLOOKUP(N209,Master_Data!$A$5:$C$8,3,FALSE),0))</x:f>
      </x:c>
      <x:c r="P209" s="7">
        <x:f>IF(M209="","",M209*O209)</x:f>
      </x:c>
      <x:c r="Q209" s="7">
        <x:f>IF(M209="","",M209+P209)</x:f>
      </x:c>
      <x:c r="R209" s="7">
        <x:f>IF(K209&lt;&gt;"Paid",0,IF(C209="Income",Q209,-Q209))</x:f>
      </x:c>
      <x:c r="S209" s="14">
        <x:f>IF(A209="","",DATE(YEAR(A209),MONTH(A209),1))</x:f>
      </x:c>
      <x:c r="T209" s="14">
        <x:f>IF(L209="","",DATE(YEAR(L209),MONTH(L209),1))</x:f>
      </x:c>
    </x:row>
    <x:row r="210">
      <x:c r="A210" s="11" t="n"/>
      <x:c r="B210" s="5" t="n"/>
      <x:c r="C210" s="12" t="n"/>
      <x:c r="D210" s="12" t="n"/>
      <x:c r="E210" s="12" t="n"/>
      <x:c r="F210" s="12" t="n"/>
      <x:c r="G210" s="13">
        <x:f>IF(F210="","",IFERROR(VLOOKUP(F210,Master_Data!$E$24:$G$33,2,FALSE),"9999"))</x:f>
      </x:c>
      <x:c r="H210" s="12" t="n"/>
      <x:c r="I210" s="12" t="n"/>
      <x:c r="J210" s="12" t="n"/>
      <x:c r="K210" s="12" t="n"/>
      <x:c r="L210" s="11" t="n"/>
      <x:c r="M210" s="9" t="n"/>
      <x:c r="N210" s="12" t="n"/>
      <x:c r="O210" s="6">
        <x:f>IF(N210="","",IFERROR(VLOOKUP(N210,Master_Data!$A$5:$C$8,3,FALSE),0))</x:f>
      </x:c>
      <x:c r="P210" s="7">
        <x:f>IF(M210="","",M210*O210)</x:f>
      </x:c>
      <x:c r="Q210" s="7">
        <x:f>IF(M210="","",M210+P210)</x:f>
      </x:c>
      <x:c r="R210" s="7">
        <x:f>IF(K210&lt;&gt;"Paid",0,IF(C210="Income",Q210,-Q210))</x:f>
      </x:c>
      <x:c r="S210" s="14">
        <x:f>IF(A210="","",DATE(YEAR(A210),MONTH(A210),1))</x:f>
      </x:c>
      <x:c r="T210" s="14">
        <x:f>IF(L210="","",DATE(YEAR(L210),MONTH(L210),1))</x:f>
      </x:c>
    </x:row>
    <x:row r="211">
      <x:c r="A211" s="11" t="n"/>
      <x:c r="B211" s="5" t="n"/>
      <x:c r="C211" s="12" t="n"/>
      <x:c r="D211" s="12" t="n"/>
      <x:c r="E211" s="12" t="n"/>
      <x:c r="F211" s="12" t="n"/>
      <x:c r="G211" s="13">
        <x:f>IF(F211="","",IFERROR(VLOOKUP(F211,Master_Data!$E$24:$G$33,2,FALSE),"9999"))</x:f>
      </x:c>
      <x:c r="H211" s="12" t="n"/>
      <x:c r="I211" s="12" t="n"/>
      <x:c r="J211" s="12" t="n"/>
      <x:c r="K211" s="12" t="n"/>
      <x:c r="L211" s="11" t="n"/>
      <x:c r="M211" s="9" t="n"/>
      <x:c r="N211" s="12" t="n"/>
      <x:c r="O211" s="6">
        <x:f>IF(N211="","",IFERROR(VLOOKUP(N211,Master_Data!$A$5:$C$8,3,FALSE),0))</x:f>
      </x:c>
      <x:c r="P211" s="7">
        <x:f>IF(M211="","",M211*O211)</x:f>
      </x:c>
      <x:c r="Q211" s="7">
        <x:f>IF(M211="","",M211+P211)</x:f>
      </x:c>
      <x:c r="R211" s="7">
        <x:f>IF(K211&lt;&gt;"Paid",0,IF(C211="Income",Q211,-Q211))</x:f>
      </x:c>
      <x:c r="S211" s="14">
        <x:f>IF(A211="","",DATE(YEAR(A211),MONTH(A211),1))</x:f>
      </x:c>
      <x:c r="T211" s="14">
        <x:f>IF(L211="","",DATE(YEAR(L211),MONTH(L211),1))</x:f>
      </x:c>
    </x:row>
    <x:row r="212">
      <x:c r="A212" s="11" t="n"/>
      <x:c r="B212" s="5" t="n"/>
      <x:c r="C212" s="12" t="n"/>
      <x:c r="D212" s="12" t="n"/>
      <x:c r="E212" s="12" t="n"/>
      <x:c r="F212" s="12" t="n"/>
      <x:c r="G212" s="13">
        <x:f>IF(F212="","",IFERROR(VLOOKUP(F212,Master_Data!$E$24:$G$33,2,FALSE),"9999"))</x:f>
      </x:c>
      <x:c r="H212" s="12" t="n"/>
      <x:c r="I212" s="12" t="n"/>
      <x:c r="J212" s="12" t="n"/>
      <x:c r="K212" s="12" t="n"/>
      <x:c r="L212" s="11" t="n"/>
      <x:c r="M212" s="9" t="n"/>
      <x:c r="N212" s="12" t="n"/>
      <x:c r="O212" s="6">
        <x:f>IF(N212="","",IFERROR(VLOOKUP(N212,Master_Data!$A$5:$C$8,3,FALSE),0))</x:f>
      </x:c>
      <x:c r="P212" s="7">
        <x:f>IF(M212="","",M212*O212)</x:f>
      </x:c>
      <x:c r="Q212" s="7">
        <x:f>IF(M212="","",M212+P212)</x:f>
      </x:c>
      <x:c r="R212" s="7">
        <x:f>IF(K212&lt;&gt;"Paid",0,IF(C212="Income",Q212,-Q212))</x:f>
      </x:c>
      <x:c r="S212" s="14">
        <x:f>IF(A212="","",DATE(YEAR(A212),MONTH(A212),1))</x:f>
      </x:c>
      <x:c r="T212" s="14">
        <x:f>IF(L212="","",DATE(YEAR(L212),MONTH(L212),1))</x:f>
      </x:c>
    </x:row>
    <x:row r="213">
      <x:c r="A213" s="11" t="n"/>
      <x:c r="B213" s="5" t="n"/>
      <x:c r="C213" s="12" t="n"/>
      <x:c r="D213" s="12" t="n"/>
      <x:c r="E213" s="12" t="n"/>
      <x:c r="F213" s="12" t="n"/>
      <x:c r="G213" s="13">
        <x:f>IF(F213="","",IFERROR(VLOOKUP(F213,Master_Data!$E$24:$G$33,2,FALSE),"9999"))</x:f>
      </x:c>
      <x:c r="H213" s="12" t="n"/>
      <x:c r="I213" s="12" t="n"/>
      <x:c r="J213" s="12" t="n"/>
      <x:c r="K213" s="12" t="n"/>
      <x:c r="L213" s="11" t="n"/>
      <x:c r="M213" s="9" t="n"/>
      <x:c r="N213" s="12" t="n"/>
      <x:c r="O213" s="6">
        <x:f>IF(N213="","",IFERROR(VLOOKUP(N213,Master_Data!$A$5:$C$8,3,FALSE),0))</x:f>
      </x:c>
      <x:c r="P213" s="7">
        <x:f>IF(M213="","",M213*O213)</x:f>
      </x:c>
      <x:c r="Q213" s="7">
        <x:f>IF(M213="","",M213+P213)</x:f>
      </x:c>
      <x:c r="R213" s="7">
        <x:f>IF(K213&lt;&gt;"Paid",0,IF(C213="Income",Q213,-Q213))</x:f>
      </x:c>
      <x:c r="S213" s="14">
        <x:f>IF(A213="","",DATE(YEAR(A213),MONTH(A213),1))</x:f>
      </x:c>
      <x:c r="T213" s="14">
        <x:f>IF(L213="","",DATE(YEAR(L213),MONTH(L213),1))</x:f>
      </x:c>
    </x:row>
    <x:row r="214">
      <x:c r="A214" s="11" t="n"/>
      <x:c r="B214" s="5" t="n"/>
      <x:c r="C214" s="12" t="n"/>
      <x:c r="D214" s="12" t="n"/>
      <x:c r="E214" s="12" t="n"/>
      <x:c r="F214" s="12" t="n"/>
      <x:c r="G214" s="13">
        <x:f>IF(F214="","",IFERROR(VLOOKUP(F214,Master_Data!$E$24:$G$33,2,FALSE),"9999"))</x:f>
      </x:c>
      <x:c r="H214" s="12" t="n"/>
      <x:c r="I214" s="12" t="n"/>
      <x:c r="J214" s="12" t="n"/>
      <x:c r="K214" s="12" t="n"/>
      <x:c r="L214" s="11" t="n"/>
      <x:c r="M214" s="9" t="n"/>
      <x:c r="N214" s="12" t="n"/>
      <x:c r="O214" s="6">
        <x:f>IF(N214="","",IFERROR(VLOOKUP(N214,Master_Data!$A$5:$C$8,3,FALSE),0))</x:f>
      </x:c>
      <x:c r="P214" s="7">
        <x:f>IF(M214="","",M214*O214)</x:f>
      </x:c>
      <x:c r="Q214" s="7">
        <x:f>IF(M214="","",M214+P214)</x:f>
      </x:c>
      <x:c r="R214" s="7">
        <x:f>IF(K214&lt;&gt;"Paid",0,IF(C214="Income",Q214,-Q214))</x:f>
      </x:c>
      <x:c r="S214" s="14">
        <x:f>IF(A214="","",DATE(YEAR(A214),MONTH(A214),1))</x:f>
      </x:c>
      <x:c r="T214" s="14">
        <x:f>IF(L214="","",DATE(YEAR(L214),MONTH(L214),1))</x:f>
      </x:c>
    </x:row>
    <x:row r="215">
      <x:c r="A215" s="11" t="n"/>
      <x:c r="B215" s="5" t="n"/>
      <x:c r="C215" s="12" t="n"/>
      <x:c r="D215" s="12" t="n"/>
      <x:c r="E215" s="12" t="n"/>
      <x:c r="F215" s="12" t="n"/>
      <x:c r="G215" s="13">
        <x:f>IF(F215="","",IFERROR(VLOOKUP(F215,Master_Data!$E$24:$G$33,2,FALSE),"9999"))</x:f>
      </x:c>
      <x:c r="H215" s="12" t="n"/>
      <x:c r="I215" s="12" t="n"/>
      <x:c r="J215" s="12" t="n"/>
      <x:c r="K215" s="12" t="n"/>
      <x:c r="L215" s="11" t="n"/>
      <x:c r="M215" s="9" t="n"/>
      <x:c r="N215" s="12" t="n"/>
      <x:c r="O215" s="6">
        <x:f>IF(N215="","",IFERROR(VLOOKUP(N215,Master_Data!$A$5:$C$8,3,FALSE),0))</x:f>
      </x:c>
      <x:c r="P215" s="7">
        <x:f>IF(M215="","",M215*O215)</x:f>
      </x:c>
      <x:c r="Q215" s="7">
        <x:f>IF(M215="","",M215+P215)</x:f>
      </x:c>
      <x:c r="R215" s="7">
        <x:f>IF(K215&lt;&gt;"Paid",0,IF(C215="Income",Q215,-Q215))</x:f>
      </x:c>
      <x:c r="S215" s="14">
        <x:f>IF(A215="","",DATE(YEAR(A215),MONTH(A215),1))</x:f>
      </x:c>
      <x:c r="T215" s="14">
        <x:f>IF(L215="","",DATE(YEAR(L215),MONTH(L215),1))</x:f>
      </x:c>
    </x:row>
    <x:row r="216">
      <x:c r="A216" s="11" t="n"/>
      <x:c r="B216" s="5" t="n"/>
      <x:c r="C216" s="12" t="n"/>
      <x:c r="D216" s="12" t="n"/>
      <x:c r="E216" s="12" t="n"/>
      <x:c r="F216" s="12" t="n"/>
      <x:c r="G216" s="13">
        <x:f>IF(F216="","",IFERROR(VLOOKUP(F216,Master_Data!$E$24:$G$33,2,FALSE),"9999"))</x:f>
      </x:c>
      <x:c r="H216" s="12" t="n"/>
      <x:c r="I216" s="12" t="n"/>
      <x:c r="J216" s="12" t="n"/>
      <x:c r="K216" s="12" t="n"/>
      <x:c r="L216" s="11" t="n"/>
      <x:c r="M216" s="9" t="n"/>
      <x:c r="N216" s="12" t="n"/>
      <x:c r="O216" s="6">
        <x:f>IF(N216="","",IFERROR(VLOOKUP(N216,Master_Data!$A$5:$C$8,3,FALSE),0))</x:f>
      </x:c>
      <x:c r="P216" s="7">
        <x:f>IF(M216="","",M216*O216)</x:f>
      </x:c>
      <x:c r="Q216" s="7">
        <x:f>IF(M216="","",M216+P216)</x:f>
      </x:c>
      <x:c r="R216" s="7">
        <x:f>IF(K216&lt;&gt;"Paid",0,IF(C216="Income",Q216,-Q216))</x:f>
      </x:c>
      <x:c r="S216" s="14">
        <x:f>IF(A216="","",DATE(YEAR(A216),MONTH(A216),1))</x:f>
      </x:c>
      <x:c r="T216" s="14">
        <x:f>IF(L216="","",DATE(YEAR(L216),MONTH(L216),1))</x:f>
      </x:c>
    </x:row>
    <x:row r="217">
      <x:c r="A217" s="11" t="n"/>
      <x:c r="B217" s="5" t="n"/>
      <x:c r="C217" s="12" t="n"/>
      <x:c r="D217" s="12" t="n"/>
      <x:c r="E217" s="12" t="n"/>
      <x:c r="F217" s="12" t="n"/>
      <x:c r="G217" s="13">
        <x:f>IF(F217="","",IFERROR(VLOOKUP(F217,Master_Data!$E$24:$G$33,2,FALSE),"9999"))</x:f>
      </x:c>
      <x:c r="H217" s="12" t="n"/>
      <x:c r="I217" s="12" t="n"/>
      <x:c r="J217" s="12" t="n"/>
      <x:c r="K217" s="12" t="n"/>
      <x:c r="L217" s="11" t="n"/>
      <x:c r="M217" s="9" t="n"/>
      <x:c r="N217" s="12" t="n"/>
      <x:c r="O217" s="6">
        <x:f>IF(N217="","",IFERROR(VLOOKUP(N217,Master_Data!$A$5:$C$8,3,FALSE),0))</x:f>
      </x:c>
      <x:c r="P217" s="7">
        <x:f>IF(M217="","",M217*O217)</x:f>
      </x:c>
      <x:c r="Q217" s="7">
        <x:f>IF(M217="","",M217+P217)</x:f>
      </x:c>
      <x:c r="R217" s="7">
        <x:f>IF(K217&lt;&gt;"Paid",0,IF(C217="Income",Q217,-Q217))</x:f>
      </x:c>
      <x:c r="S217" s="14">
        <x:f>IF(A217="","",DATE(YEAR(A217),MONTH(A217),1))</x:f>
      </x:c>
      <x:c r="T217" s="14">
        <x:f>IF(L217="","",DATE(YEAR(L217),MONTH(L217),1))</x:f>
      </x:c>
    </x:row>
    <x:row r="218">
      <x:c r="A218" s="11" t="n"/>
      <x:c r="B218" s="5" t="n"/>
      <x:c r="C218" s="12" t="n"/>
      <x:c r="D218" s="12" t="n"/>
      <x:c r="E218" s="12" t="n"/>
      <x:c r="F218" s="12" t="n"/>
      <x:c r="G218" s="13">
        <x:f>IF(F218="","",IFERROR(VLOOKUP(F218,Master_Data!$E$24:$G$33,2,FALSE),"9999"))</x:f>
      </x:c>
      <x:c r="H218" s="12" t="n"/>
      <x:c r="I218" s="12" t="n"/>
      <x:c r="J218" s="12" t="n"/>
      <x:c r="K218" s="12" t="n"/>
      <x:c r="L218" s="11" t="n"/>
      <x:c r="M218" s="9" t="n"/>
      <x:c r="N218" s="12" t="n"/>
      <x:c r="O218" s="6">
        <x:f>IF(N218="","",IFERROR(VLOOKUP(N218,Master_Data!$A$5:$C$8,3,FALSE),0))</x:f>
      </x:c>
      <x:c r="P218" s="7">
        <x:f>IF(M218="","",M218*O218)</x:f>
      </x:c>
      <x:c r="Q218" s="7">
        <x:f>IF(M218="","",M218+P218)</x:f>
      </x:c>
      <x:c r="R218" s="7">
        <x:f>IF(K218&lt;&gt;"Paid",0,IF(C218="Income",Q218,-Q218))</x:f>
      </x:c>
      <x:c r="S218" s="14">
        <x:f>IF(A218="","",DATE(YEAR(A218),MONTH(A218),1))</x:f>
      </x:c>
      <x:c r="T218" s="14">
        <x:f>IF(L218="","",DATE(YEAR(L218),MONTH(L218),1))</x:f>
      </x:c>
    </x:row>
    <x:row r="219">
      <x:c r="A219" s="11" t="n"/>
      <x:c r="B219" s="5" t="n"/>
      <x:c r="C219" s="12" t="n"/>
      <x:c r="D219" s="12" t="n"/>
      <x:c r="E219" s="12" t="n"/>
      <x:c r="F219" s="12" t="n"/>
      <x:c r="G219" s="13">
        <x:f>IF(F219="","",IFERROR(VLOOKUP(F219,Master_Data!$E$24:$G$33,2,FALSE),"9999"))</x:f>
      </x:c>
      <x:c r="H219" s="12" t="n"/>
      <x:c r="I219" s="12" t="n"/>
      <x:c r="J219" s="12" t="n"/>
      <x:c r="K219" s="12" t="n"/>
      <x:c r="L219" s="11" t="n"/>
      <x:c r="M219" s="9" t="n"/>
      <x:c r="N219" s="12" t="n"/>
      <x:c r="O219" s="6">
        <x:f>IF(N219="","",IFERROR(VLOOKUP(N219,Master_Data!$A$5:$C$8,3,FALSE),0))</x:f>
      </x:c>
      <x:c r="P219" s="7">
        <x:f>IF(M219="","",M219*O219)</x:f>
      </x:c>
      <x:c r="Q219" s="7">
        <x:f>IF(M219="","",M219+P219)</x:f>
      </x:c>
      <x:c r="R219" s="7">
        <x:f>IF(K219&lt;&gt;"Paid",0,IF(C219="Income",Q219,-Q219))</x:f>
      </x:c>
      <x:c r="S219" s="14">
        <x:f>IF(A219="","",DATE(YEAR(A219),MONTH(A219),1))</x:f>
      </x:c>
      <x:c r="T219" s="14">
        <x:f>IF(L219="","",DATE(YEAR(L219),MONTH(L219),1))</x:f>
      </x:c>
    </x:row>
    <x:row r="220">
      <x:c r="A220" s="11" t="n"/>
      <x:c r="B220" s="5" t="n"/>
      <x:c r="C220" s="12" t="n"/>
      <x:c r="D220" s="12" t="n"/>
      <x:c r="E220" s="12" t="n"/>
      <x:c r="F220" s="12" t="n"/>
      <x:c r="G220" s="13">
        <x:f>IF(F220="","",IFERROR(VLOOKUP(F220,Master_Data!$E$24:$G$33,2,FALSE),"9999"))</x:f>
      </x:c>
      <x:c r="H220" s="12" t="n"/>
      <x:c r="I220" s="12" t="n"/>
      <x:c r="J220" s="12" t="n"/>
      <x:c r="K220" s="12" t="n"/>
      <x:c r="L220" s="11" t="n"/>
      <x:c r="M220" s="9" t="n"/>
      <x:c r="N220" s="12" t="n"/>
      <x:c r="O220" s="6">
        <x:f>IF(N220="","",IFERROR(VLOOKUP(N220,Master_Data!$A$5:$C$8,3,FALSE),0))</x:f>
      </x:c>
      <x:c r="P220" s="7">
        <x:f>IF(M220="","",M220*O220)</x:f>
      </x:c>
      <x:c r="Q220" s="7">
        <x:f>IF(M220="","",M220+P220)</x:f>
      </x:c>
      <x:c r="R220" s="7">
        <x:f>IF(K220&lt;&gt;"Paid",0,IF(C220="Income",Q220,-Q220))</x:f>
      </x:c>
      <x:c r="S220" s="14">
        <x:f>IF(A220="","",DATE(YEAR(A220),MONTH(A220),1))</x:f>
      </x:c>
      <x:c r="T220" s="14">
        <x:f>IF(L220="","",DATE(YEAR(L220),MONTH(L220),1))</x:f>
      </x:c>
    </x:row>
    <x:row r="221">
      <x:c r="A221" s="11" t="n"/>
      <x:c r="B221" s="5" t="n"/>
      <x:c r="C221" s="12" t="n"/>
      <x:c r="D221" s="12" t="n"/>
      <x:c r="E221" s="12" t="n"/>
      <x:c r="F221" s="12" t="n"/>
      <x:c r="G221" s="13">
        <x:f>IF(F221="","",IFERROR(VLOOKUP(F221,Master_Data!$E$24:$G$33,2,FALSE),"9999"))</x:f>
      </x:c>
      <x:c r="H221" s="12" t="n"/>
      <x:c r="I221" s="12" t="n"/>
      <x:c r="J221" s="12" t="n"/>
      <x:c r="K221" s="12" t="n"/>
      <x:c r="L221" s="11" t="n"/>
      <x:c r="M221" s="9" t="n"/>
      <x:c r="N221" s="12" t="n"/>
      <x:c r="O221" s="6">
        <x:f>IF(N221="","",IFERROR(VLOOKUP(N221,Master_Data!$A$5:$C$8,3,FALSE),0))</x:f>
      </x:c>
      <x:c r="P221" s="7">
        <x:f>IF(M221="","",M221*O221)</x:f>
      </x:c>
      <x:c r="Q221" s="7">
        <x:f>IF(M221="","",M221+P221)</x:f>
      </x:c>
      <x:c r="R221" s="7">
        <x:f>IF(K221&lt;&gt;"Paid",0,IF(C221="Income",Q221,-Q221))</x:f>
      </x:c>
      <x:c r="S221" s="14">
        <x:f>IF(A221="","",DATE(YEAR(A221),MONTH(A221),1))</x:f>
      </x:c>
      <x:c r="T221" s="14">
        <x:f>IF(L221="","",DATE(YEAR(L221),MONTH(L221),1))</x:f>
      </x:c>
    </x:row>
    <x:row r="222">
      <x:c r="A222" s="11" t="n"/>
      <x:c r="B222" s="5" t="n"/>
      <x:c r="C222" s="12" t="n"/>
      <x:c r="D222" s="12" t="n"/>
      <x:c r="E222" s="12" t="n"/>
      <x:c r="F222" s="12" t="n"/>
      <x:c r="G222" s="13">
        <x:f>IF(F222="","",IFERROR(VLOOKUP(F222,Master_Data!$E$24:$G$33,2,FALSE),"9999"))</x:f>
      </x:c>
      <x:c r="H222" s="12" t="n"/>
      <x:c r="I222" s="12" t="n"/>
      <x:c r="J222" s="12" t="n"/>
      <x:c r="K222" s="12" t="n"/>
      <x:c r="L222" s="11" t="n"/>
      <x:c r="M222" s="9" t="n"/>
      <x:c r="N222" s="12" t="n"/>
      <x:c r="O222" s="6">
        <x:f>IF(N222="","",IFERROR(VLOOKUP(N222,Master_Data!$A$5:$C$8,3,FALSE),0))</x:f>
      </x:c>
      <x:c r="P222" s="7">
        <x:f>IF(M222="","",M222*O222)</x:f>
      </x:c>
      <x:c r="Q222" s="7">
        <x:f>IF(M222="","",M222+P222)</x:f>
      </x:c>
      <x:c r="R222" s="7">
        <x:f>IF(K222&lt;&gt;"Paid",0,IF(C222="Income",Q222,-Q222))</x:f>
      </x:c>
      <x:c r="S222" s="14">
        <x:f>IF(A222="","",DATE(YEAR(A222),MONTH(A222),1))</x:f>
      </x:c>
      <x:c r="T222" s="14">
        <x:f>IF(L222="","",DATE(YEAR(L222),MONTH(L222),1))</x:f>
      </x:c>
    </x:row>
    <x:row r="223">
      <x:c r="A223" s="11" t="n"/>
      <x:c r="B223" s="5" t="n"/>
      <x:c r="C223" s="12" t="n"/>
      <x:c r="D223" s="12" t="n"/>
      <x:c r="E223" s="12" t="n"/>
      <x:c r="F223" s="12" t="n"/>
      <x:c r="G223" s="13">
        <x:f>IF(F223="","",IFERROR(VLOOKUP(F223,Master_Data!$E$24:$G$33,2,FALSE),"9999"))</x:f>
      </x:c>
      <x:c r="H223" s="12" t="n"/>
      <x:c r="I223" s="12" t="n"/>
      <x:c r="J223" s="12" t="n"/>
      <x:c r="K223" s="12" t="n"/>
      <x:c r="L223" s="11" t="n"/>
      <x:c r="M223" s="9" t="n"/>
      <x:c r="N223" s="12" t="n"/>
      <x:c r="O223" s="6">
        <x:f>IF(N223="","",IFERROR(VLOOKUP(N223,Master_Data!$A$5:$C$8,3,FALSE),0))</x:f>
      </x:c>
      <x:c r="P223" s="7">
        <x:f>IF(M223="","",M223*O223)</x:f>
      </x:c>
      <x:c r="Q223" s="7">
        <x:f>IF(M223="","",M223+P223)</x:f>
      </x:c>
      <x:c r="R223" s="7">
        <x:f>IF(K223&lt;&gt;"Paid",0,IF(C223="Income",Q223,-Q223))</x:f>
      </x:c>
      <x:c r="S223" s="14">
        <x:f>IF(A223="","",DATE(YEAR(A223),MONTH(A223),1))</x:f>
      </x:c>
      <x:c r="T223" s="14">
        <x:f>IF(L223="","",DATE(YEAR(L223),MONTH(L223),1))</x:f>
      </x:c>
    </x:row>
    <x:row r="224">
      <x:c r="A224" s="11" t="n"/>
      <x:c r="B224" s="5" t="n"/>
      <x:c r="C224" s="12" t="n"/>
      <x:c r="D224" s="12" t="n"/>
      <x:c r="E224" s="12" t="n"/>
      <x:c r="F224" s="12" t="n"/>
      <x:c r="G224" s="13">
        <x:f>IF(F224="","",IFERROR(VLOOKUP(F224,Master_Data!$E$24:$G$33,2,FALSE),"9999"))</x:f>
      </x:c>
      <x:c r="H224" s="12" t="n"/>
      <x:c r="I224" s="12" t="n"/>
      <x:c r="J224" s="12" t="n"/>
      <x:c r="K224" s="12" t="n"/>
      <x:c r="L224" s="11" t="n"/>
      <x:c r="M224" s="9" t="n"/>
      <x:c r="N224" s="12" t="n"/>
      <x:c r="O224" s="6">
        <x:f>IF(N224="","",IFERROR(VLOOKUP(N224,Master_Data!$A$5:$C$8,3,FALSE),0))</x:f>
      </x:c>
      <x:c r="P224" s="7">
        <x:f>IF(M224="","",M224*O224)</x:f>
      </x:c>
      <x:c r="Q224" s="7">
        <x:f>IF(M224="","",M224+P224)</x:f>
      </x:c>
      <x:c r="R224" s="7">
        <x:f>IF(K224&lt;&gt;"Paid",0,IF(C224="Income",Q224,-Q224))</x:f>
      </x:c>
      <x:c r="S224" s="14">
        <x:f>IF(A224="","",DATE(YEAR(A224),MONTH(A224),1))</x:f>
      </x:c>
      <x:c r="T224" s="14">
        <x:f>IF(L224="","",DATE(YEAR(L224),MONTH(L224),1))</x:f>
      </x:c>
    </x:row>
    <x:row r="225">
      <x:c r="A225" s="11" t="n"/>
      <x:c r="B225" s="5" t="n"/>
      <x:c r="C225" s="12" t="n"/>
      <x:c r="D225" s="12" t="n"/>
      <x:c r="E225" s="12" t="n"/>
      <x:c r="F225" s="12" t="n"/>
      <x:c r="G225" s="13">
        <x:f>IF(F225="","",IFERROR(VLOOKUP(F225,Master_Data!$E$24:$G$33,2,FALSE),"9999"))</x:f>
      </x:c>
      <x:c r="H225" s="12" t="n"/>
      <x:c r="I225" s="12" t="n"/>
      <x:c r="J225" s="12" t="n"/>
      <x:c r="K225" s="12" t="n"/>
      <x:c r="L225" s="11" t="n"/>
      <x:c r="M225" s="9" t="n"/>
      <x:c r="N225" s="12" t="n"/>
      <x:c r="O225" s="6">
        <x:f>IF(N225="","",IFERROR(VLOOKUP(N225,Master_Data!$A$5:$C$8,3,FALSE),0))</x:f>
      </x:c>
      <x:c r="P225" s="7">
        <x:f>IF(M225="","",M225*O225)</x:f>
      </x:c>
      <x:c r="Q225" s="7">
        <x:f>IF(M225="","",M225+P225)</x:f>
      </x:c>
      <x:c r="R225" s="7">
        <x:f>IF(K225&lt;&gt;"Paid",0,IF(C225="Income",Q225,-Q225))</x:f>
      </x:c>
      <x:c r="S225" s="14">
        <x:f>IF(A225="","",DATE(YEAR(A225),MONTH(A225),1))</x:f>
      </x:c>
      <x:c r="T225" s="14">
        <x:f>IF(L225="","",DATE(YEAR(L225),MONTH(L225),1))</x:f>
      </x:c>
    </x:row>
    <x:row r="226">
      <x:c r="A226" s="11" t="n"/>
      <x:c r="B226" s="5" t="n"/>
      <x:c r="C226" s="12" t="n"/>
      <x:c r="D226" s="12" t="n"/>
      <x:c r="E226" s="12" t="n"/>
      <x:c r="F226" s="12" t="n"/>
      <x:c r="G226" s="13">
        <x:f>IF(F226="","",IFERROR(VLOOKUP(F226,Master_Data!$E$24:$G$33,2,FALSE),"9999"))</x:f>
      </x:c>
      <x:c r="H226" s="12" t="n"/>
      <x:c r="I226" s="12" t="n"/>
      <x:c r="J226" s="12" t="n"/>
      <x:c r="K226" s="12" t="n"/>
      <x:c r="L226" s="11" t="n"/>
      <x:c r="M226" s="9" t="n"/>
      <x:c r="N226" s="12" t="n"/>
      <x:c r="O226" s="6">
        <x:f>IF(N226="","",IFERROR(VLOOKUP(N226,Master_Data!$A$5:$C$8,3,FALSE),0))</x:f>
      </x:c>
      <x:c r="P226" s="7">
        <x:f>IF(M226="","",M226*O226)</x:f>
      </x:c>
      <x:c r="Q226" s="7">
        <x:f>IF(M226="","",M226+P226)</x:f>
      </x:c>
      <x:c r="R226" s="7">
        <x:f>IF(K226&lt;&gt;"Paid",0,IF(C226="Income",Q226,-Q226))</x:f>
      </x:c>
      <x:c r="S226" s="14">
        <x:f>IF(A226="","",DATE(YEAR(A226),MONTH(A226),1))</x:f>
      </x:c>
      <x:c r="T226" s="14">
        <x:f>IF(L226="","",DATE(YEAR(L226),MONTH(L226),1))</x:f>
      </x:c>
    </x:row>
    <x:row r="227">
      <x:c r="A227" s="11" t="n"/>
      <x:c r="B227" s="5" t="n"/>
      <x:c r="C227" s="12" t="n"/>
      <x:c r="D227" s="12" t="n"/>
      <x:c r="E227" s="12" t="n"/>
      <x:c r="F227" s="12" t="n"/>
      <x:c r="G227" s="13">
        <x:f>IF(F227="","",IFERROR(VLOOKUP(F227,Master_Data!$E$24:$G$33,2,FALSE),"9999"))</x:f>
      </x:c>
      <x:c r="H227" s="12" t="n"/>
      <x:c r="I227" s="12" t="n"/>
      <x:c r="J227" s="12" t="n"/>
      <x:c r="K227" s="12" t="n"/>
      <x:c r="L227" s="11" t="n"/>
      <x:c r="M227" s="9" t="n"/>
      <x:c r="N227" s="12" t="n"/>
      <x:c r="O227" s="6">
        <x:f>IF(N227="","",IFERROR(VLOOKUP(N227,Master_Data!$A$5:$C$8,3,FALSE),0))</x:f>
      </x:c>
      <x:c r="P227" s="7">
        <x:f>IF(M227="","",M227*O227)</x:f>
      </x:c>
      <x:c r="Q227" s="7">
        <x:f>IF(M227="","",M227+P227)</x:f>
      </x:c>
      <x:c r="R227" s="7">
        <x:f>IF(K227&lt;&gt;"Paid",0,IF(C227="Income",Q227,-Q227))</x:f>
      </x:c>
      <x:c r="S227" s="14">
        <x:f>IF(A227="","",DATE(YEAR(A227),MONTH(A227),1))</x:f>
      </x:c>
      <x:c r="T227" s="14">
        <x:f>IF(L227="","",DATE(YEAR(L227),MONTH(L227),1))</x:f>
      </x:c>
    </x:row>
    <x:row r="228">
      <x:c r="A228" s="11" t="n"/>
      <x:c r="B228" s="5" t="n"/>
      <x:c r="C228" s="12" t="n"/>
      <x:c r="D228" s="12" t="n"/>
      <x:c r="E228" s="12" t="n"/>
      <x:c r="F228" s="12" t="n"/>
      <x:c r="G228" s="13">
        <x:f>IF(F228="","",IFERROR(VLOOKUP(F228,Master_Data!$E$24:$G$33,2,FALSE),"9999"))</x:f>
      </x:c>
      <x:c r="H228" s="12" t="n"/>
      <x:c r="I228" s="12" t="n"/>
      <x:c r="J228" s="12" t="n"/>
      <x:c r="K228" s="12" t="n"/>
      <x:c r="L228" s="11" t="n"/>
      <x:c r="M228" s="9" t="n"/>
      <x:c r="N228" s="12" t="n"/>
      <x:c r="O228" s="6">
        <x:f>IF(N228="","",IFERROR(VLOOKUP(N228,Master_Data!$A$5:$C$8,3,FALSE),0))</x:f>
      </x:c>
      <x:c r="P228" s="7">
        <x:f>IF(M228="","",M228*O228)</x:f>
      </x:c>
      <x:c r="Q228" s="7">
        <x:f>IF(M228="","",M228+P228)</x:f>
      </x:c>
      <x:c r="R228" s="7">
        <x:f>IF(K228&lt;&gt;"Paid",0,IF(C228="Income",Q228,-Q228))</x:f>
      </x:c>
      <x:c r="S228" s="14">
        <x:f>IF(A228="","",DATE(YEAR(A228),MONTH(A228),1))</x:f>
      </x:c>
      <x:c r="T228" s="14">
        <x:f>IF(L228="","",DATE(YEAR(L228),MONTH(L228),1))</x:f>
      </x:c>
    </x:row>
    <x:row r="229">
      <x:c r="A229" s="11" t="n"/>
      <x:c r="B229" s="5" t="n"/>
      <x:c r="C229" s="12" t="n"/>
      <x:c r="D229" s="12" t="n"/>
      <x:c r="E229" s="12" t="n"/>
      <x:c r="F229" s="12" t="n"/>
      <x:c r="G229" s="13">
        <x:f>IF(F229="","",IFERROR(VLOOKUP(F229,Master_Data!$E$24:$G$33,2,FALSE),"9999"))</x:f>
      </x:c>
      <x:c r="H229" s="12" t="n"/>
      <x:c r="I229" s="12" t="n"/>
      <x:c r="J229" s="12" t="n"/>
      <x:c r="K229" s="12" t="n"/>
      <x:c r="L229" s="11" t="n"/>
      <x:c r="M229" s="9" t="n"/>
      <x:c r="N229" s="12" t="n"/>
      <x:c r="O229" s="6">
        <x:f>IF(N229="","",IFERROR(VLOOKUP(N229,Master_Data!$A$5:$C$8,3,FALSE),0))</x:f>
      </x:c>
      <x:c r="P229" s="7">
        <x:f>IF(M229="","",M229*O229)</x:f>
      </x:c>
      <x:c r="Q229" s="7">
        <x:f>IF(M229="","",M229+P229)</x:f>
      </x:c>
      <x:c r="R229" s="7">
        <x:f>IF(K229&lt;&gt;"Paid",0,IF(C229="Income",Q229,-Q229))</x:f>
      </x:c>
      <x:c r="S229" s="14">
        <x:f>IF(A229="","",DATE(YEAR(A229),MONTH(A229),1))</x:f>
      </x:c>
      <x:c r="T229" s="14">
        <x:f>IF(L229="","",DATE(YEAR(L229),MONTH(L229),1))</x:f>
      </x:c>
    </x:row>
    <x:row r="230">
      <x:c r="A230" s="11" t="n"/>
      <x:c r="B230" s="5" t="n"/>
      <x:c r="C230" s="12" t="n"/>
      <x:c r="D230" s="12" t="n"/>
      <x:c r="E230" s="12" t="n"/>
      <x:c r="F230" s="12" t="n"/>
      <x:c r="G230" s="13">
        <x:f>IF(F230="","",IFERROR(VLOOKUP(F230,Master_Data!$E$24:$G$33,2,FALSE),"9999"))</x:f>
      </x:c>
      <x:c r="H230" s="12" t="n"/>
      <x:c r="I230" s="12" t="n"/>
      <x:c r="J230" s="12" t="n"/>
      <x:c r="K230" s="12" t="n"/>
      <x:c r="L230" s="11" t="n"/>
      <x:c r="M230" s="9" t="n"/>
      <x:c r="N230" s="12" t="n"/>
      <x:c r="O230" s="6">
        <x:f>IF(N230="","",IFERROR(VLOOKUP(N230,Master_Data!$A$5:$C$8,3,FALSE),0))</x:f>
      </x:c>
      <x:c r="P230" s="7">
        <x:f>IF(M230="","",M230*O230)</x:f>
      </x:c>
      <x:c r="Q230" s="7">
        <x:f>IF(M230="","",M230+P230)</x:f>
      </x:c>
      <x:c r="R230" s="7">
        <x:f>IF(K230&lt;&gt;"Paid",0,IF(C230="Income",Q230,-Q230))</x:f>
      </x:c>
      <x:c r="S230" s="14">
        <x:f>IF(A230="","",DATE(YEAR(A230),MONTH(A230),1))</x:f>
      </x:c>
      <x:c r="T230" s="14">
        <x:f>IF(L230="","",DATE(YEAR(L230),MONTH(L230),1))</x:f>
      </x:c>
    </x:row>
    <x:row r="231">
      <x:c r="A231" s="11" t="n"/>
      <x:c r="B231" s="5" t="n"/>
      <x:c r="C231" s="12" t="n"/>
      <x:c r="D231" s="12" t="n"/>
      <x:c r="E231" s="12" t="n"/>
      <x:c r="F231" s="12" t="n"/>
      <x:c r="G231" s="13">
        <x:f>IF(F231="","",IFERROR(VLOOKUP(F231,Master_Data!$E$24:$G$33,2,FALSE),"9999"))</x:f>
      </x:c>
      <x:c r="H231" s="12" t="n"/>
      <x:c r="I231" s="12" t="n"/>
      <x:c r="J231" s="12" t="n"/>
      <x:c r="K231" s="12" t="n"/>
      <x:c r="L231" s="11" t="n"/>
      <x:c r="M231" s="9" t="n"/>
      <x:c r="N231" s="12" t="n"/>
      <x:c r="O231" s="6">
        <x:f>IF(N231="","",IFERROR(VLOOKUP(N231,Master_Data!$A$5:$C$8,3,FALSE),0))</x:f>
      </x:c>
      <x:c r="P231" s="7">
        <x:f>IF(M231="","",M231*O231)</x:f>
      </x:c>
      <x:c r="Q231" s="7">
        <x:f>IF(M231="","",M231+P231)</x:f>
      </x:c>
      <x:c r="R231" s="7">
        <x:f>IF(K231&lt;&gt;"Paid",0,IF(C231="Income",Q231,-Q231))</x:f>
      </x:c>
      <x:c r="S231" s="14">
        <x:f>IF(A231="","",DATE(YEAR(A231),MONTH(A231),1))</x:f>
      </x:c>
      <x:c r="T231" s="14">
        <x:f>IF(L231="","",DATE(YEAR(L231),MONTH(L231),1))</x:f>
      </x:c>
    </x:row>
    <x:row r="232">
      <x:c r="A232" s="11" t="n"/>
      <x:c r="B232" s="5" t="n"/>
      <x:c r="C232" s="12" t="n"/>
      <x:c r="D232" s="12" t="n"/>
      <x:c r="E232" s="12" t="n"/>
      <x:c r="F232" s="12" t="n"/>
      <x:c r="G232" s="13">
        <x:f>IF(F232="","",IFERROR(VLOOKUP(F232,Master_Data!$E$24:$G$33,2,FALSE),"9999"))</x:f>
      </x:c>
      <x:c r="H232" s="12" t="n"/>
      <x:c r="I232" s="12" t="n"/>
      <x:c r="J232" s="12" t="n"/>
      <x:c r="K232" s="12" t="n"/>
      <x:c r="L232" s="11" t="n"/>
      <x:c r="M232" s="9" t="n"/>
      <x:c r="N232" s="12" t="n"/>
      <x:c r="O232" s="6">
        <x:f>IF(N232="","",IFERROR(VLOOKUP(N232,Master_Data!$A$5:$C$8,3,FALSE),0))</x:f>
      </x:c>
      <x:c r="P232" s="7">
        <x:f>IF(M232="","",M232*O232)</x:f>
      </x:c>
      <x:c r="Q232" s="7">
        <x:f>IF(M232="","",M232+P232)</x:f>
      </x:c>
      <x:c r="R232" s="7">
        <x:f>IF(K232&lt;&gt;"Paid",0,IF(C232="Income",Q232,-Q232))</x:f>
      </x:c>
      <x:c r="S232" s="14">
        <x:f>IF(A232="","",DATE(YEAR(A232),MONTH(A232),1))</x:f>
      </x:c>
      <x:c r="T232" s="14">
        <x:f>IF(L232="","",DATE(YEAR(L232),MONTH(L232),1))</x:f>
      </x:c>
    </x:row>
    <x:row r="233">
      <x:c r="A233" s="11" t="n"/>
      <x:c r="B233" s="5" t="n"/>
      <x:c r="C233" s="12" t="n"/>
      <x:c r="D233" s="12" t="n"/>
      <x:c r="E233" s="12" t="n"/>
      <x:c r="F233" s="12" t="n"/>
      <x:c r="G233" s="13">
        <x:f>IF(F233="","",IFERROR(VLOOKUP(F233,Master_Data!$E$24:$G$33,2,FALSE),"9999"))</x:f>
      </x:c>
      <x:c r="H233" s="12" t="n"/>
      <x:c r="I233" s="12" t="n"/>
      <x:c r="J233" s="12" t="n"/>
      <x:c r="K233" s="12" t="n"/>
      <x:c r="L233" s="11" t="n"/>
      <x:c r="M233" s="9" t="n"/>
      <x:c r="N233" s="12" t="n"/>
      <x:c r="O233" s="6">
        <x:f>IF(N233="","",IFERROR(VLOOKUP(N233,Master_Data!$A$5:$C$8,3,FALSE),0))</x:f>
      </x:c>
      <x:c r="P233" s="7">
        <x:f>IF(M233="","",M233*O233)</x:f>
      </x:c>
      <x:c r="Q233" s="7">
        <x:f>IF(M233="","",M233+P233)</x:f>
      </x:c>
      <x:c r="R233" s="7">
        <x:f>IF(K233&lt;&gt;"Paid",0,IF(C233="Income",Q233,-Q233))</x:f>
      </x:c>
      <x:c r="S233" s="14">
        <x:f>IF(A233="","",DATE(YEAR(A233),MONTH(A233),1))</x:f>
      </x:c>
      <x:c r="T233" s="14">
        <x:f>IF(L233="","",DATE(YEAR(L233),MONTH(L233),1))</x:f>
      </x:c>
    </x:row>
    <x:row r="234">
      <x:c r="A234" s="11" t="n"/>
      <x:c r="B234" s="5" t="n"/>
      <x:c r="C234" s="12" t="n"/>
      <x:c r="D234" s="12" t="n"/>
      <x:c r="E234" s="12" t="n"/>
      <x:c r="F234" s="12" t="n"/>
      <x:c r="G234" s="13">
        <x:f>IF(F234="","",IFERROR(VLOOKUP(F234,Master_Data!$E$24:$G$33,2,FALSE),"9999"))</x:f>
      </x:c>
      <x:c r="H234" s="12" t="n"/>
      <x:c r="I234" s="12" t="n"/>
      <x:c r="J234" s="12" t="n"/>
      <x:c r="K234" s="12" t="n"/>
      <x:c r="L234" s="11" t="n"/>
      <x:c r="M234" s="9" t="n"/>
      <x:c r="N234" s="12" t="n"/>
      <x:c r="O234" s="6">
        <x:f>IF(N234="","",IFERROR(VLOOKUP(N234,Master_Data!$A$5:$C$8,3,FALSE),0))</x:f>
      </x:c>
      <x:c r="P234" s="7">
        <x:f>IF(M234="","",M234*O234)</x:f>
      </x:c>
      <x:c r="Q234" s="7">
        <x:f>IF(M234="","",M234+P234)</x:f>
      </x:c>
      <x:c r="R234" s="7">
        <x:f>IF(K234&lt;&gt;"Paid",0,IF(C234="Income",Q234,-Q234))</x:f>
      </x:c>
      <x:c r="S234" s="14">
        <x:f>IF(A234="","",DATE(YEAR(A234),MONTH(A234),1))</x:f>
      </x:c>
      <x:c r="T234" s="14">
        <x:f>IF(L234="","",DATE(YEAR(L234),MONTH(L234),1))</x:f>
      </x:c>
    </x:row>
    <x:row r="235">
      <x:c r="A235" s="11" t="n"/>
      <x:c r="B235" s="5" t="n"/>
      <x:c r="C235" s="12" t="n"/>
      <x:c r="D235" s="12" t="n"/>
      <x:c r="E235" s="12" t="n"/>
      <x:c r="F235" s="12" t="n"/>
      <x:c r="G235" s="13">
        <x:f>IF(F235="","",IFERROR(VLOOKUP(F235,Master_Data!$E$24:$G$33,2,FALSE),"9999"))</x:f>
      </x:c>
      <x:c r="H235" s="12" t="n"/>
      <x:c r="I235" s="12" t="n"/>
      <x:c r="J235" s="12" t="n"/>
      <x:c r="K235" s="12" t="n"/>
      <x:c r="L235" s="11" t="n"/>
      <x:c r="M235" s="9" t="n"/>
      <x:c r="N235" s="12" t="n"/>
      <x:c r="O235" s="6">
        <x:f>IF(N235="","",IFERROR(VLOOKUP(N235,Master_Data!$A$5:$C$8,3,FALSE),0))</x:f>
      </x:c>
      <x:c r="P235" s="7">
        <x:f>IF(M235="","",M235*O235)</x:f>
      </x:c>
      <x:c r="Q235" s="7">
        <x:f>IF(M235="","",M235+P235)</x:f>
      </x:c>
      <x:c r="R235" s="7">
        <x:f>IF(K235&lt;&gt;"Paid",0,IF(C235="Income",Q235,-Q235))</x:f>
      </x:c>
      <x:c r="S235" s="14">
        <x:f>IF(A235="","",DATE(YEAR(A235),MONTH(A235),1))</x:f>
      </x:c>
      <x:c r="T235" s="14">
        <x:f>IF(L235="","",DATE(YEAR(L235),MONTH(L235),1))</x:f>
      </x:c>
    </x:row>
    <x:row r="236">
      <x:c r="A236" s="11" t="n"/>
      <x:c r="B236" s="5" t="n"/>
      <x:c r="C236" s="12" t="n"/>
      <x:c r="D236" s="12" t="n"/>
      <x:c r="E236" s="12" t="n"/>
      <x:c r="F236" s="12" t="n"/>
      <x:c r="G236" s="13">
        <x:f>IF(F236="","",IFERROR(VLOOKUP(F236,Master_Data!$E$24:$G$33,2,FALSE),"9999"))</x:f>
      </x:c>
      <x:c r="H236" s="12" t="n"/>
      <x:c r="I236" s="12" t="n"/>
      <x:c r="J236" s="12" t="n"/>
      <x:c r="K236" s="12" t="n"/>
      <x:c r="L236" s="11" t="n"/>
      <x:c r="M236" s="9" t="n"/>
      <x:c r="N236" s="12" t="n"/>
      <x:c r="O236" s="6">
        <x:f>IF(N236="","",IFERROR(VLOOKUP(N236,Master_Data!$A$5:$C$8,3,FALSE),0))</x:f>
      </x:c>
      <x:c r="P236" s="7">
        <x:f>IF(M236="","",M236*O236)</x:f>
      </x:c>
      <x:c r="Q236" s="7">
        <x:f>IF(M236="","",M236+P236)</x:f>
      </x:c>
      <x:c r="R236" s="7">
        <x:f>IF(K236&lt;&gt;"Paid",0,IF(C236="Income",Q236,-Q236))</x:f>
      </x:c>
      <x:c r="S236" s="14">
        <x:f>IF(A236="","",DATE(YEAR(A236),MONTH(A236),1))</x:f>
      </x:c>
      <x:c r="T236" s="14">
        <x:f>IF(L236="","",DATE(YEAR(L236),MONTH(L236),1))</x:f>
      </x:c>
    </x:row>
    <x:row r="237">
      <x:c r="A237" s="11" t="n"/>
      <x:c r="B237" s="5" t="n"/>
      <x:c r="C237" s="12" t="n"/>
      <x:c r="D237" s="12" t="n"/>
      <x:c r="E237" s="12" t="n"/>
      <x:c r="F237" s="12" t="n"/>
      <x:c r="G237" s="13">
        <x:f>IF(F237="","",IFERROR(VLOOKUP(F237,Master_Data!$E$24:$G$33,2,FALSE),"9999"))</x:f>
      </x:c>
      <x:c r="H237" s="12" t="n"/>
      <x:c r="I237" s="12" t="n"/>
      <x:c r="J237" s="12" t="n"/>
      <x:c r="K237" s="12" t="n"/>
      <x:c r="L237" s="11" t="n"/>
      <x:c r="M237" s="9" t="n"/>
      <x:c r="N237" s="12" t="n"/>
      <x:c r="O237" s="6">
        <x:f>IF(N237="","",IFERROR(VLOOKUP(N237,Master_Data!$A$5:$C$8,3,FALSE),0))</x:f>
      </x:c>
      <x:c r="P237" s="7">
        <x:f>IF(M237="","",M237*O237)</x:f>
      </x:c>
      <x:c r="Q237" s="7">
        <x:f>IF(M237="","",M237+P237)</x:f>
      </x:c>
      <x:c r="R237" s="7">
        <x:f>IF(K237&lt;&gt;"Paid",0,IF(C237="Income",Q237,-Q237))</x:f>
      </x:c>
      <x:c r="S237" s="14">
        <x:f>IF(A237="","",DATE(YEAR(A237),MONTH(A237),1))</x:f>
      </x:c>
      <x:c r="T237" s="14">
        <x:f>IF(L237="","",DATE(YEAR(L237),MONTH(L237),1))</x:f>
      </x:c>
    </x:row>
    <x:row r="238">
      <x:c r="A238" s="11" t="n"/>
      <x:c r="B238" s="5" t="n"/>
      <x:c r="C238" s="12" t="n"/>
      <x:c r="D238" s="12" t="n"/>
      <x:c r="E238" s="12" t="n"/>
      <x:c r="F238" s="12" t="n"/>
      <x:c r="G238" s="13">
        <x:f>IF(F238="","",IFERROR(VLOOKUP(F238,Master_Data!$E$24:$G$33,2,FALSE),"9999"))</x:f>
      </x:c>
      <x:c r="H238" s="12" t="n"/>
      <x:c r="I238" s="12" t="n"/>
      <x:c r="J238" s="12" t="n"/>
      <x:c r="K238" s="12" t="n"/>
      <x:c r="L238" s="11" t="n"/>
      <x:c r="M238" s="9" t="n"/>
      <x:c r="N238" s="12" t="n"/>
      <x:c r="O238" s="6">
        <x:f>IF(N238="","",IFERROR(VLOOKUP(N238,Master_Data!$A$5:$C$8,3,FALSE),0))</x:f>
      </x:c>
      <x:c r="P238" s="7">
        <x:f>IF(M238="","",M238*O238)</x:f>
      </x:c>
      <x:c r="Q238" s="7">
        <x:f>IF(M238="","",M238+P238)</x:f>
      </x:c>
      <x:c r="R238" s="7">
        <x:f>IF(K238&lt;&gt;"Paid",0,IF(C238="Income",Q238,-Q238))</x:f>
      </x:c>
      <x:c r="S238" s="14">
        <x:f>IF(A238="","",DATE(YEAR(A238),MONTH(A238),1))</x:f>
      </x:c>
      <x:c r="T238" s="14">
        <x:f>IF(L238="","",DATE(YEAR(L238),MONTH(L238),1))</x:f>
      </x:c>
    </x:row>
    <x:row r="239">
      <x:c r="A239" s="11" t="n"/>
      <x:c r="B239" s="5" t="n"/>
      <x:c r="C239" s="12" t="n"/>
      <x:c r="D239" s="12" t="n"/>
      <x:c r="E239" s="12" t="n"/>
      <x:c r="F239" s="12" t="n"/>
      <x:c r="G239" s="13">
        <x:f>IF(F239="","",IFERROR(VLOOKUP(F239,Master_Data!$E$24:$G$33,2,FALSE),"9999"))</x:f>
      </x:c>
      <x:c r="H239" s="12" t="n"/>
      <x:c r="I239" s="12" t="n"/>
      <x:c r="J239" s="12" t="n"/>
      <x:c r="K239" s="12" t="n"/>
      <x:c r="L239" s="11" t="n"/>
      <x:c r="M239" s="9" t="n"/>
      <x:c r="N239" s="12" t="n"/>
      <x:c r="O239" s="6">
        <x:f>IF(N239="","",IFERROR(VLOOKUP(N239,Master_Data!$A$5:$C$8,3,FALSE),0))</x:f>
      </x:c>
      <x:c r="P239" s="7">
        <x:f>IF(M239="","",M239*O239)</x:f>
      </x:c>
      <x:c r="Q239" s="7">
        <x:f>IF(M239="","",M239+P239)</x:f>
      </x:c>
      <x:c r="R239" s="7">
        <x:f>IF(K239&lt;&gt;"Paid",0,IF(C239="Income",Q239,-Q239))</x:f>
      </x:c>
      <x:c r="S239" s="14">
        <x:f>IF(A239="","",DATE(YEAR(A239),MONTH(A239),1))</x:f>
      </x:c>
      <x:c r="T239" s="14">
        <x:f>IF(L239="","",DATE(YEAR(L239),MONTH(L239),1))</x:f>
      </x:c>
    </x:row>
    <x:row r="240">
      <x:c r="A240" s="11" t="n"/>
      <x:c r="B240" s="5" t="n"/>
      <x:c r="C240" s="12" t="n"/>
      <x:c r="D240" s="12" t="n"/>
      <x:c r="E240" s="12" t="n"/>
      <x:c r="F240" s="12" t="n"/>
      <x:c r="G240" s="13">
        <x:f>IF(F240="","",IFERROR(VLOOKUP(F240,Master_Data!$E$24:$G$33,2,FALSE),"9999"))</x:f>
      </x:c>
      <x:c r="H240" s="12" t="n"/>
      <x:c r="I240" s="12" t="n"/>
      <x:c r="J240" s="12" t="n"/>
      <x:c r="K240" s="12" t="n"/>
      <x:c r="L240" s="11" t="n"/>
      <x:c r="M240" s="9" t="n"/>
      <x:c r="N240" s="12" t="n"/>
      <x:c r="O240" s="6">
        <x:f>IF(N240="","",IFERROR(VLOOKUP(N240,Master_Data!$A$5:$C$8,3,FALSE),0))</x:f>
      </x:c>
      <x:c r="P240" s="7">
        <x:f>IF(M240="","",M240*O240)</x:f>
      </x:c>
      <x:c r="Q240" s="7">
        <x:f>IF(M240="","",M240+P240)</x:f>
      </x:c>
      <x:c r="R240" s="7">
        <x:f>IF(K240&lt;&gt;"Paid",0,IF(C240="Income",Q240,-Q240))</x:f>
      </x:c>
      <x:c r="S240" s="14">
        <x:f>IF(A240="","",DATE(YEAR(A240),MONTH(A240),1))</x:f>
      </x:c>
      <x:c r="T240" s="14">
        <x:f>IF(L240="","",DATE(YEAR(L240),MONTH(L240),1))</x:f>
      </x:c>
    </x:row>
    <x:row r="241">
      <x:c r="A241" s="11" t="n"/>
      <x:c r="B241" s="5" t="n"/>
      <x:c r="C241" s="12" t="n"/>
      <x:c r="D241" s="12" t="n"/>
      <x:c r="E241" s="12" t="n"/>
      <x:c r="F241" s="12" t="n"/>
      <x:c r="G241" s="13">
        <x:f>IF(F241="","",IFERROR(VLOOKUP(F241,Master_Data!$E$24:$G$33,2,FALSE),"9999"))</x:f>
      </x:c>
      <x:c r="H241" s="12" t="n"/>
      <x:c r="I241" s="12" t="n"/>
      <x:c r="J241" s="12" t="n"/>
      <x:c r="K241" s="12" t="n"/>
      <x:c r="L241" s="11" t="n"/>
      <x:c r="M241" s="9" t="n"/>
      <x:c r="N241" s="12" t="n"/>
      <x:c r="O241" s="6">
        <x:f>IF(N241="","",IFERROR(VLOOKUP(N241,Master_Data!$A$5:$C$8,3,FALSE),0))</x:f>
      </x:c>
      <x:c r="P241" s="7">
        <x:f>IF(M241="","",M241*O241)</x:f>
      </x:c>
      <x:c r="Q241" s="7">
        <x:f>IF(M241="","",M241+P241)</x:f>
      </x:c>
      <x:c r="R241" s="7">
        <x:f>IF(K241&lt;&gt;"Paid",0,IF(C241="Income",Q241,-Q241))</x:f>
      </x:c>
      <x:c r="S241" s="14">
        <x:f>IF(A241="","",DATE(YEAR(A241),MONTH(A241),1))</x:f>
      </x:c>
      <x:c r="T241" s="14">
        <x:f>IF(L241="","",DATE(YEAR(L241),MONTH(L241),1))</x:f>
      </x:c>
    </x:row>
    <x:row r="242">
      <x:c r="A242" s="11" t="n"/>
      <x:c r="B242" s="5" t="n"/>
      <x:c r="C242" s="12" t="n"/>
      <x:c r="D242" s="12" t="n"/>
      <x:c r="E242" s="12" t="n"/>
      <x:c r="F242" s="12" t="n"/>
      <x:c r="G242" s="13">
        <x:f>IF(F242="","",IFERROR(VLOOKUP(F242,Master_Data!$E$24:$G$33,2,FALSE),"9999"))</x:f>
      </x:c>
      <x:c r="H242" s="12" t="n"/>
      <x:c r="I242" s="12" t="n"/>
      <x:c r="J242" s="12" t="n"/>
      <x:c r="K242" s="12" t="n"/>
      <x:c r="L242" s="11" t="n"/>
      <x:c r="M242" s="9" t="n"/>
      <x:c r="N242" s="12" t="n"/>
      <x:c r="O242" s="6">
        <x:f>IF(N242="","",IFERROR(VLOOKUP(N242,Master_Data!$A$5:$C$8,3,FALSE),0))</x:f>
      </x:c>
      <x:c r="P242" s="7">
        <x:f>IF(M242="","",M242*O242)</x:f>
      </x:c>
      <x:c r="Q242" s="7">
        <x:f>IF(M242="","",M242+P242)</x:f>
      </x:c>
      <x:c r="R242" s="7">
        <x:f>IF(K242&lt;&gt;"Paid",0,IF(C242="Income",Q242,-Q242))</x:f>
      </x:c>
      <x:c r="S242" s="14">
        <x:f>IF(A242="","",DATE(YEAR(A242),MONTH(A242),1))</x:f>
      </x:c>
      <x:c r="T242" s="14">
        <x:f>IF(L242="","",DATE(YEAR(L242),MONTH(L242),1))</x:f>
      </x:c>
    </x:row>
    <x:row r="243">
      <x:c r="A243" s="11" t="n"/>
      <x:c r="B243" s="5" t="n"/>
      <x:c r="C243" s="12" t="n"/>
      <x:c r="D243" s="12" t="n"/>
      <x:c r="E243" s="12" t="n"/>
      <x:c r="F243" s="12" t="n"/>
      <x:c r="G243" s="13">
        <x:f>IF(F243="","",IFERROR(VLOOKUP(F243,Master_Data!$E$24:$G$33,2,FALSE),"9999"))</x:f>
      </x:c>
      <x:c r="H243" s="12" t="n"/>
      <x:c r="I243" s="12" t="n"/>
      <x:c r="J243" s="12" t="n"/>
      <x:c r="K243" s="12" t="n"/>
      <x:c r="L243" s="11" t="n"/>
      <x:c r="M243" s="9" t="n"/>
      <x:c r="N243" s="12" t="n"/>
      <x:c r="O243" s="6">
        <x:f>IF(N243="","",IFERROR(VLOOKUP(N243,Master_Data!$A$5:$C$8,3,FALSE),0))</x:f>
      </x:c>
      <x:c r="P243" s="7">
        <x:f>IF(M243="","",M243*O243)</x:f>
      </x:c>
      <x:c r="Q243" s="7">
        <x:f>IF(M243="","",M243+P243)</x:f>
      </x:c>
      <x:c r="R243" s="7">
        <x:f>IF(K243&lt;&gt;"Paid",0,IF(C243="Income",Q243,-Q243))</x:f>
      </x:c>
      <x:c r="S243" s="14">
        <x:f>IF(A243="","",DATE(YEAR(A243),MONTH(A243),1))</x:f>
      </x:c>
      <x:c r="T243" s="14">
        <x:f>IF(L243="","",DATE(YEAR(L243),MONTH(L243),1))</x:f>
      </x:c>
    </x:row>
    <x:row r="244">
      <x:c r="A244" s="11" t="n"/>
      <x:c r="B244" s="5" t="n"/>
      <x:c r="C244" s="12" t="n"/>
      <x:c r="D244" s="12" t="n"/>
      <x:c r="E244" s="12" t="n"/>
      <x:c r="F244" s="12" t="n"/>
      <x:c r="G244" s="13">
        <x:f>IF(F244="","",IFERROR(VLOOKUP(F244,Master_Data!$E$24:$G$33,2,FALSE),"9999"))</x:f>
      </x:c>
      <x:c r="H244" s="12" t="n"/>
      <x:c r="I244" s="12" t="n"/>
      <x:c r="J244" s="12" t="n"/>
      <x:c r="K244" s="12" t="n"/>
      <x:c r="L244" s="11" t="n"/>
      <x:c r="M244" s="9" t="n"/>
      <x:c r="N244" s="12" t="n"/>
      <x:c r="O244" s="6">
        <x:f>IF(N244="","",IFERROR(VLOOKUP(N244,Master_Data!$A$5:$C$8,3,FALSE),0))</x:f>
      </x:c>
      <x:c r="P244" s="7">
        <x:f>IF(M244="","",M244*O244)</x:f>
      </x:c>
      <x:c r="Q244" s="7">
        <x:f>IF(M244="","",M244+P244)</x:f>
      </x:c>
      <x:c r="R244" s="7">
        <x:f>IF(K244&lt;&gt;"Paid",0,IF(C244="Income",Q244,-Q244))</x:f>
      </x:c>
      <x:c r="S244" s="14">
        <x:f>IF(A244="","",DATE(YEAR(A244),MONTH(A244),1))</x:f>
      </x:c>
      <x:c r="T244" s="14">
        <x:f>IF(L244="","",DATE(YEAR(L244),MONTH(L244),1))</x:f>
      </x:c>
    </x:row>
    <x:row r="245">
      <x:c r="A245" s="11" t="n"/>
      <x:c r="B245" s="5" t="n"/>
      <x:c r="C245" s="12" t="n"/>
      <x:c r="D245" s="12" t="n"/>
      <x:c r="E245" s="12" t="n"/>
      <x:c r="F245" s="12" t="n"/>
      <x:c r="G245" s="13">
        <x:f>IF(F245="","",IFERROR(VLOOKUP(F245,Master_Data!$E$24:$G$33,2,FALSE),"9999"))</x:f>
      </x:c>
      <x:c r="H245" s="12" t="n"/>
      <x:c r="I245" s="12" t="n"/>
      <x:c r="J245" s="12" t="n"/>
      <x:c r="K245" s="12" t="n"/>
      <x:c r="L245" s="11" t="n"/>
      <x:c r="M245" s="9" t="n"/>
      <x:c r="N245" s="12" t="n"/>
      <x:c r="O245" s="6">
        <x:f>IF(N245="","",IFERROR(VLOOKUP(N245,Master_Data!$A$5:$C$8,3,FALSE),0))</x:f>
      </x:c>
      <x:c r="P245" s="7">
        <x:f>IF(M245="","",M245*O245)</x:f>
      </x:c>
      <x:c r="Q245" s="7">
        <x:f>IF(M245="","",M245+P245)</x:f>
      </x:c>
      <x:c r="R245" s="7">
        <x:f>IF(K245&lt;&gt;"Paid",0,IF(C245="Income",Q245,-Q245))</x:f>
      </x:c>
      <x:c r="S245" s="14">
        <x:f>IF(A245="","",DATE(YEAR(A245),MONTH(A245),1))</x:f>
      </x:c>
      <x:c r="T245" s="14">
        <x:f>IF(L245="","",DATE(YEAR(L245),MONTH(L245),1))</x:f>
      </x:c>
    </x:row>
    <x:row r="246">
      <x:c r="A246" s="11" t="n"/>
      <x:c r="B246" s="5" t="n"/>
      <x:c r="C246" s="12" t="n"/>
      <x:c r="D246" s="12" t="n"/>
      <x:c r="E246" s="12" t="n"/>
      <x:c r="F246" s="12" t="n"/>
      <x:c r="G246" s="13">
        <x:f>IF(F246="","",IFERROR(VLOOKUP(F246,Master_Data!$E$24:$G$33,2,FALSE),"9999"))</x:f>
      </x:c>
      <x:c r="H246" s="12" t="n"/>
      <x:c r="I246" s="12" t="n"/>
      <x:c r="J246" s="12" t="n"/>
      <x:c r="K246" s="12" t="n"/>
      <x:c r="L246" s="11" t="n"/>
      <x:c r="M246" s="9" t="n"/>
      <x:c r="N246" s="12" t="n"/>
      <x:c r="O246" s="6">
        <x:f>IF(N246="","",IFERROR(VLOOKUP(N246,Master_Data!$A$5:$C$8,3,FALSE),0))</x:f>
      </x:c>
      <x:c r="P246" s="7">
        <x:f>IF(M246="","",M246*O246)</x:f>
      </x:c>
      <x:c r="Q246" s="7">
        <x:f>IF(M246="","",M246+P246)</x:f>
      </x:c>
      <x:c r="R246" s="7">
        <x:f>IF(K246&lt;&gt;"Paid",0,IF(C246="Income",Q246,-Q246))</x:f>
      </x:c>
      <x:c r="S246" s="14">
        <x:f>IF(A246="","",DATE(YEAR(A246),MONTH(A246),1))</x:f>
      </x:c>
      <x:c r="T246" s="14">
        <x:f>IF(L246="","",DATE(YEAR(L246),MONTH(L246),1))</x:f>
      </x:c>
    </x:row>
    <x:row r="247">
      <x:c r="A247" s="11" t="n"/>
      <x:c r="B247" s="5" t="n"/>
      <x:c r="C247" s="12" t="n"/>
      <x:c r="D247" s="12" t="n"/>
      <x:c r="E247" s="12" t="n"/>
      <x:c r="F247" s="12" t="n"/>
      <x:c r="G247" s="13">
        <x:f>IF(F247="","",IFERROR(VLOOKUP(F247,Master_Data!$E$24:$G$33,2,FALSE),"9999"))</x:f>
      </x:c>
      <x:c r="H247" s="12" t="n"/>
      <x:c r="I247" s="12" t="n"/>
      <x:c r="J247" s="12" t="n"/>
      <x:c r="K247" s="12" t="n"/>
      <x:c r="L247" s="11" t="n"/>
      <x:c r="M247" s="9" t="n"/>
      <x:c r="N247" s="12" t="n"/>
      <x:c r="O247" s="6">
        <x:f>IF(N247="","",IFERROR(VLOOKUP(N247,Master_Data!$A$5:$C$8,3,FALSE),0))</x:f>
      </x:c>
      <x:c r="P247" s="7">
        <x:f>IF(M247="","",M247*O247)</x:f>
      </x:c>
      <x:c r="Q247" s="7">
        <x:f>IF(M247="","",M247+P247)</x:f>
      </x:c>
      <x:c r="R247" s="7">
        <x:f>IF(K247&lt;&gt;"Paid",0,IF(C247="Income",Q247,-Q247))</x:f>
      </x:c>
      <x:c r="S247" s="14">
        <x:f>IF(A247="","",DATE(YEAR(A247),MONTH(A247),1))</x:f>
      </x:c>
      <x:c r="T247" s="14">
        <x:f>IF(L247="","",DATE(YEAR(L247),MONTH(L247),1))</x:f>
      </x:c>
    </x:row>
    <x:row r="248">
      <x:c r="A248" s="11" t="n"/>
      <x:c r="B248" s="5" t="n"/>
      <x:c r="C248" s="12" t="n"/>
      <x:c r="D248" s="12" t="n"/>
      <x:c r="E248" s="12" t="n"/>
      <x:c r="F248" s="12" t="n"/>
      <x:c r="G248" s="13">
        <x:f>IF(F248="","",IFERROR(VLOOKUP(F248,Master_Data!$E$24:$G$33,2,FALSE),"9999"))</x:f>
      </x:c>
      <x:c r="H248" s="12" t="n"/>
      <x:c r="I248" s="12" t="n"/>
      <x:c r="J248" s="12" t="n"/>
      <x:c r="K248" s="12" t="n"/>
      <x:c r="L248" s="11" t="n"/>
      <x:c r="M248" s="9" t="n"/>
      <x:c r="N248" s="12" t="n"/>
      <x:c r="O248" s="6">
        <x:f>IF(N248="","",IFERROR(VLOOKUP(N248,Master_Data!$A$5:$C$8,3,FALSE),0))</x:f>
      </x:c>
      <x:c r="P248" s="7">
        <x:f>IF(M248="","",M248*O248)</x:f>
      </x:c>
      <x:c r="Q248" s="7">
        <x:f>IF(M248="","",M248+P248)</x:f>
      </x:c>
      <x:c r="R248" s="7">
        <x:f>IF(K248&lt;&gt;"Paid",0,IF(C248="Income",Q248,-Q248))</x:f>
      </x:c>
      <x:c r="S248" s="14">
        <x:f>IF(A248="","",DATE(YEAR(A248),MONTH(A248),1))</x:f>
      </x:c>
      <x:c r="T248" s="14">
        <x:f>IF(L248="","",DATE(YEAR(L248),MONTH(L248),1))</x:f>
      </x:c>
    </x:row>
    <x:row r="249">
      <x:c r="A249" s="11" t="n"/>
      <x:c r="B249" s="5" t="n"/>
      <x:c r="C249" s="12" t="n"/>
      <x:c r="D249" s="12" t="n"/>
      <x:c r="E249" s="12" t="n"/>
      <x:c r="F249" s="12" t="n"/>
      <x:c r="G249" s="13">
        <x:f>IF(F249="","",IFERROR(VLOOKUP(F249,Master_Data!$E$24:$G$33,2,FALSE),"9999"))</x:f>
      </x:c>
      <x:c r="H249" s="12" t="n"/>
      <x:c r="I249" s="12" t="n"/>
      <x:c r="J249" s="12" t="n"/>
      <x:c r="K249" s="12" t="n"/>
      <x:c r="L249" s="11" t="n"/>
      <x:c r="M249" s="9" t="n"/>
      <x:c r="N249" s="12" t="n"/>
      <x:c r="O249" s="6">
        <x:f>IF(N249="","",IFERROR(VLOOKUP(N249,Master_Data!$A$5:$C$8,3,FALSE),0))</x:f>
      </x:c>
      <x:c r="P249" s="7">
        <x:f>IF(M249="","",M249*O249)</x:f>
      </x:c>
      <x:c r="Q249" s="7">
        <x:f>IF(M249="","",M249+P249)</x:f>
      </x:c>
      <x:c r="R249" s="7">
        <x:f>IF(K249&lt;&gt;"Paid",0,IF(C249="Income",Q249,-Q249))</x:f>
      </x:c>
      <x:c r="S249" s="14">
        <x:f>IF(A249="","",DATE(YEAR(A249),MONTH(A249),1))</x:f>
      </x:c>
      <x:c r="T249" s="14">
        <x:f>IF(L249="","",DATE(YEAR(L249),MONTH(L249),1))</x:f>
      </x:c>
    </x:row>
    <x:row r="250">
      <x:c r="A250" s="11" t="n"/>
      <x:c r="B250" s="5" t="n"/>
      <x:c r="C250" s="12" t="n"/>
      <x:c r="D250" s="12" t="n"/>
      <x:c r="E250" s="12" t="n"/>
      <x:c r="F250" s="12" t="n"/>
      <x:c r="G250" s="13">
        <x:f>IF(F250="","",IFERROR(VLOOKUP(F250,Master_Data!$E$24:$G$33,2,FALSE),"9999"))</x:f>
      </x:c>
      <x:c r="H250" s="12" t="n"/>
      <x:c r="I250" s="12" t="n"/>
      <x:c r="J250" s="12" t="n"/>
      <x:c r="K250" s="12" t="n"/>
      <x:c r="L250" s="11" t="n"/>
      <x:c r="M250" s="9" t="n"/>
      <x:c r="N250" s="12" t="n"/>
      <x:c r="O250" s="6">
        <x:f>IF(N250="","",IFERROR(VLOOKUP(N250,Master_Data!$A$5:$C$8,3,FALSE),0))</x:f>
      </x:c>
      <x:c r="P250" s="7">
        <x:f>IF(M250="","",M250*O250)</x:f>
      </x:c>
      <x:c r="Q250" s="7">
        <x:f>IF(M250="","",M250+P250)</x:f>
      </x:c>
      <x:c r="R250" s="7">
        <x:f>IF(K250&lt;&gt;"Paid",0,IF(C250="Income",Q250,-Q250))</x:f>
      </x:c>
      <x:c r="S250" s="14">
        <x:f>IF(A250="","",DATE(YEAR(A250),MONTH(A250),1))</x:f>
      </x:c>
      <x:c r="T250" s="14">
        <x:f>IF(L250="","",DATE(YEAR(L250),MONTH(L250),1))</x:f>
      </x:c>
    </x:row>
    <x:row r="251">
      <x:c r="A251" s="11" t="n"/>
      <x:c r="B251" s="5" t="n"/>
      <x:c r="C251" s="12" t="n"/>
      <x:c r="D251" s="12" t="n"/>
      <x:c r="E251" s="12" t="n"/>
      <x:c r="F251" s="12" t="n"/>
      <x:c r="G251" s="13">
        <x:f>IF(F251="","",IFERROR(VLOOKUP(F251,Master_Data!$E$24:$G$33,2,FALSE),"9999"))</x:f>
      </x:c>
      <x:c r="H251" s="12" t="n"/>
      <x:c r="I251" s="12" t="n"/>
      <x:c r="J251" s="12" t="n"/>
      <x:c r="K251" s="12" t="n"/>
      <x:c r="L251" s="11" t="n"/>
      <x:c r="M251" s="9" t="n"/>
      <x:c r="N251" s="12" t="n"/>
      <x:c r="O251" s="6">
        <x:f>IF(N251="","",IFERROR(VLOOKUP(N251,Master_Data!$A$5:$C$8,3,FALSE),0))</x:f>
      </x:c>
      <x:c r="P251" s="7">
        <x:f>IF(M251="","",M251*O251)</x:f>
      </x:c>
      <x:c r="Q251" s="7">
        <x:f>IF(M251="","",M251+P251)</x:f>
      </x:c>
      <x:c r="R251" s="7">
        <x:f>IF(K251&lt;&gt;"Paid",0,IF(C251="Income",Q251,-Q251))</x:f>
      </x:c>
      <x:c r="S251" s="14">
        <x:f>IF(A251="","",DATE(YEAR(A251),MONTH(A251),1))</x:f>
      </x:c>
      <x:c r="T251" s="14">
        <x:f>IF(L251="","",DATE(YEAR(L251),MONTH(L251),1))</x:f>
      </x:c>
    </x:row>
    <x:row r="252">
      <x:c r="A252" s="11" t="n"/>
      <x:c r="B252" s="5" t="n"/>
      <x:c r="C252" s="12" t="n"/>
      <x:c r="D252" s="12" t="n"/>
      <x:c r="E252" s="12" t="n"/>
      <x:c r="F252" s="12" t="n"/>
      <x:c r="G252" s="13">
        <x:f>IF(F252="","",IFERROR(VLOOKUP(F252,Master_Data!$E$24:$G$33,2,FALSE),"9999"))</x:f>
      </x:c>
      <x:c r="H252" s="12" t="n"/>
      <x:c r="I252" s="12" t="n"/>
      <x:c r="J252" s="12" t="n"/>
      <x:c r="K252" s="12" t="n"/>
      <x:c r="L252" s="11" t="n"/>
      <x:c r="M252" s="9" t="n"/>
      <x:c r="N252" s="12" t="n"/>
      <x:c r="O252" s="6">
        <x:f>IF(N252="","",IFERROR(VLOOKUP(N252,Master_Data!$A$5:$C$8,3,FALSE),0))</x:f>
      </x:c>
      <x:c r="P252" s="7">
        <x:f>IF(M252="","",M252*O252)</x:f>
      </x:c>
      <x:c r="Q252" s="7">
        <x:f>IF(M252="","",M252+P252)</x:f>
      </x:c>
      <x:c r="R252" s="7">
        <x:f>IF(K252&lt;&gt;"Paid",0,IF(C252="Income",Q252,-Q252))</x:f>
      </x:c>
      <x:c r="S252" s="14">
        <x:f>IF(A252="","",DATE(YEAR(A252),MONTH(A252),1))</x:f>
      </x:c>
      <x:c r="T252" s="14">
        <x:f>IF(L252="","",DATE(YEAR(L252),MONTH(L252),1))</x:f>
      </x:c>
    </x:row>
    <x:row r="253">
      <x:c r="A253" s="11" t="n"/>
      <x:c r="B253" s="5" t="n"/>
      <x:c r="C253" s="12" t="n"/>
      <x:c r="D253" s="12" t="n"/>
      <x:c r="E253" s="12" t="n"/>
      <x:c r="F253" s="12" t="n"/>
      <x:c r="G253" s="13">
        <x:f>IF(F253="","",IFERROR(VLOOKUP(F253,Master_Data!$E$24:$G$33,2,FALSE),"9999"))</x:f>
      </x:c>
      <x:c r="H253" s="12" t="n"/>
      <x:c r="I253" s="12" t="n"/>
      <x:c r="J253" s="12" t="n"/>
      <x:c r="K253" s="12" t="n"/>
      <x:c r="L253" s="11" t="n"/>
      <x:c r="M253" s="9" t="n"/>
      <x:c r="N253" s="12" t="n"/>
      <x:c r="O253" s="6">
        <x:f>IF(N253="","",IFERROR(VLOOKUP(N253,Master_Data!$A$5:$C$8,3,FALSE),0))</x:f>
      </x:c>
      <x:c r="P253" s="7">
        <x:f>IF(M253="","",M253*O253)</x:f>
      </x:c>
      <x:c r="Q253" s="7">
        <x:f>IF(M253="","",M253+P253)</x:f>
      </x:c>
      <x:c r="R253" s="7">
        <x:f>IF(K253&lt;&gt;"Paid",0,IF(C253="Income",Q253,-Q253))</x:f>
      </x:c>
      <x:c r="S253" s="14">
        <x:f>IF(A253="","",DATE(YEAR(A253),MONTH(A253),1))</x:f>
      </x:c>
      <x:c r="T253" s="14">
        <x:f>IF(L253="","",DATE(YEAR(L253),MONTH(L253),1))</x:f>
      </x:c>
    </x:row>
    <x:row r="254">
      <x:c r="A254" s="11" t="n"/>
      <x:c r="B254" s="5" t="n"/>
      <x:c r="C254" s="12" t="n"/>
      <x:c r="D254" s="12" t="n"/>
      <x:c r="E254" s="12" t="n"/>
      <x:c r="F254" s="12" t="n"/>
      <x:c r="G254" s="13">
        <x:f>IF(F254="","",IFERROR(VLOOKUP(F254,Master_Data!$E$24:$G$33,2,FALSE),"9999"))</x:f>
      </x:c>
      <x:c r="H254" s="12" t="n"/>
      <x:c r="I254" s="12" t="n"/>
      <x:c r="J254" s="12" t="n"/>
      <x:c r="K254" s="12" t="n"/>
      <x:c r="L254" s="11" t="n"/>
      <x:c r="M254" s="9" t="n"/>
      <x:c r="N254" s="12" t="n"/>
      <x:c r="O254" s="6">
        <x:f>IF(N254="","",IFERROR(VLOOKUP(N254,Master_Data!$A$5:$C$8,3,FALSE),0))</x:f>
      </x:c>
      <x:c r="P254" s="7">
        <x:f>IF(M254="","",M254*O254)</x:f>
      </x:c>
      <x:c r="Q254" s="7">
        <x:f>IF(M254="","",M254+P254)</x:f>
      </x:c>
      <x:c r="R254" s="7">
        <x:f>IF(K254&lt;&gt;"Paid",0,IF(C254="Income",Q254,-Q254))</x:f>
      </x:c>
      <x:c r="S254" s="14">
        <x:f>IF(A254="","",DATE(YEAR(A254),MONTH(A254),1))</x:f>
      </x:c>
      <x:c r="T254" s="14">
        <x:f>IF(L254="","",DATE(YEAR(L254),MONTH(L254),1))</x:f>
      </x:c>
    </x:row>
    <x:row r="255">
      <x:c r="A255" s="11" t="n"/>
      <x:c r="B255" s="5" t="n"/>
      <x:c r="C255" s="12" t="n"/>
      <x:c r="D255" s="12" t="n"/>
      <x:c r="E255" s="12" t="n"/>
      <x:c r="F255" s="12" t="n"/>
      <x:c r="G255" s="13">
        <x:f>IF(F255="","",IFERROR(VLOOKUP(F255,Master_Data!$E$24:$G$33,2,FALSE),"9999"))</x:f>
      </x:c>
      <x:c r="H255" s="12" t="n"/>
      <x:c r="I255" s="12" t="n"/>
      <x:c r="J255" s="12" t="n"/>
      <x:c r="K255" s="12" t="n"/>
      <x:c r="L255" s="11" t="n"/>
      <x:c r="M255" s="9" t="n"/>
      <x:c r="N255" s="12" t="n"/>
      <x:c r="O255" s="6">
        <x:f>IF(N255="","",IFERROR(VLOOKUP(N255,Master_Data!$A$5:$C$8,3,FALSE),0))</x:f>
      </x:c>
      <x:c r="P255" s="7">
        <x:f>IF(M255="","",M255*O255)</x:f>
      </x:c>
      <x:c r="Q255" s="7">
        <x:f>IF(M255="","",M255+P255)</x:f>
      </x:c>
      <x:c r="R255" s="7">
        <x:f>IF(K255&lt;&gt;"Paid",0,IF(C255="Income",Q255,-Q255))</x:f>
      </x:c>
      <x:c r="S255" s="14">
        <x:f>IF(A255="","",DATE(YEAR(A255),MONTH(A255),1))</x:f>
      </x:c>
      <x:c r="T255" s="14">
        <x:f>IF(L255="","",DATE(YEAR(L255),MONTH(L255),1))</x:f>
      </x:c>
    </x:row>
    <x:row r="256">
      <x:c r="A256" s="11" t="n"/>
      <x:c r="B256" s="5" t="n"/>
      <x:c r="C256" s="12" t="n"/>
      <x:c r="D256" s="12" t="n"/>
      <x:c r="E256" s="12" t="n"/>
      <x:c r="F256" s="12" t="n"/>
      <x:c r="G256" s="13">
        <x:f>IF(F256="","",IFERROR(VLOOKUP(F256,Master_Data!$E$24:$G$33,2,FALSE),"9999"))</x:f>
      </x:c>
      <x:c r="H256" s="12" t="n"/>
      <x:c r="I256" s="12" t="n"/>
      <x:c r="J256" s="12" t="n"/>
      <x:c r="K256" s="12" t="n"/>
      <x:c r="L256" s="11" t="n"/>
      <x:c r="M256" s="9" t="n"/>
      <x:c r="N256" s="12" t="n"/>
      <x:c r="O256" s="6">
        <x:f>IF(N256="","",IFERROR(VLOOKUP(N256,Master_Data!$A$5:$C$8,3,FALSE),0))</x:f>
      </x:c>
      <x:c r="P256" s="7">
        <x:f>IF(M256="","",M256*O256)</x:f>
      </x:c>
      <x:c r="Q256" s="7">
        <x:f>IF(M256="","",M256+P256)</x:f>
      </x:c>
      <x:c r="R256" s="7">
        <x:f>IF(K256&lt;&gt;"Paid",0,IF(C256="Income",Q256,-Q256))</x:f>
      </x:c>
      <x:c r="S256" s="14">
        <x:f>IF(A256="","",DATE(YEAR(A256),MONTH(A256),1))</x:f>
      </x:c>
      <x:c r="T256" s="14">
        <x:f>IF(L256="","",DATE(YEAR(L256),MONTH(L256),1))</x:f>
      </x:c>
    </x:row>
    <x:row r="257">
      <x:c r="A257" s="11" t="n"/>
      <x:c r="B257" s="5" t="n"/>
      <x:c r="C257" s="12" t="n"/>
      <x:c r="D257" s="12" t="n"/>
      <x:c r="E257" s="12" t="n"/>
      <x:c r="F257" s="12" t="n"/>
      <x:c r="G257" s="13">
        <x:f>IF(F257="","",IFERROR(VLOOKUP(F257,Master_Data!$E$24:$G$33,2,FALSE),"9999"))</x:f>
      </x:c>
      <x:c r="H257" s="12" t="n"/>
      <x:c r="I257" s="12" t="n"/>
      <x:c r="J257" s="12" t="n"/>
      <x:c r="K257" s="12" t="n"/>
      <x:c r="L257" s="11" t="n"/>
      <x:c r="M257" s="9" t="n"/>
      <x:c r="N257" s="12" t="n"/>
      <x:c r="O257" s="6">
        <x:f>IF(N257="","",IFERROR(VLOOKUP(N257,Master_Data!$A$5:$C$8,3,FALSE),0))</x:f>
      </x:c>
      <x:c r="P257" s="7">
        <x:f>IF(M257="","",M257*O257)</x:f>
      </x:c>
      <x:c r="Q257" s="7">
        <x:f>IF(M257="","",M257+P257)</x:f>
      </x:c>
      <x:c r="R257" s="7">
        <x:f>IF(K257&lt;&gt;"Paid",0,IF(C257="Income",Q257,-Q257))</x:f>
      </x:c>
      <x:c r="S257" s="14">
        <x:f>IF(A257="","",DATE(YEAR(A257),MONTH(A257),1))</x:f>
      </x:c>
      <x:c r="T257" s="14">
        <x:f>IF(L257="","",DATE(YEAR(L257),MONTH(L257),1))</x:f>
      </x:c>
    </x:row>
    <x:row r="258">
      <x:c r="A258" s="11" t="n"/>
      <x:c r="B258" s="5" t="n"/>
      <x:c r="C258" s="12" t="n"/>
      <x:c r="D258" s="12" t="n"/>
      <x:c r="E258" s="12" t="n"/>
      <x:c r="F258" s="12" t="n"/>
      <x:c r="G258" s="13">
        <x:f>IF(F258="","",IFERROR(VLOOKUP(F258,Master_Data!$E$24:$G$33,2,FALSE),"9999"))</x:f>
      </x:c>
      <x:c r="H258" s="12" t="n"/>
      <x:c r="I258" s="12" t="n"/>
      <x:c r="J258" s="12" t="n"/>
      <x:c r="K258" s="12" t="n"/>
      <x:c r="L258" s="11" t="n"/>
      <x:c r="M258" s="9" t="n"/>
      <x:c r="N258" s="12" t="n"/>
      <x:c r="O258" s="6">
        <x:f>IF(N258="","",IFERROR(VLOOKUP(N258,Master_Data!$A$5:$C$8,3,FALSE),0))</x:f>
      </x:c>
      <x:c r="P258" s="7">
        <x:f>IF(M258="","",M258*O258)</x:f>
      </x:c>
      <x:c r="Q258" s="7">
        <x:f>IF(M258="","",M258+P258)</x:f>
      </x:c>
      <x:c r="R258" s="7">
        <x:f>IF(K258&lt;&gt;"Paid",0,IF(C258="Income",Q258,-Q258))</x:f>
      </x:c>
      <x:c r="S258" s="14">
        <x:f>IF(A258="","",DATE(YEAR(A258),MONTH(A258),1))</x:f>
      </x:c>
      <x:c r="T258" s="14">
        <x:f>IF(L258="","",DATE(YEAR(L258),MONTH(L258),1))</x:f>
      </x:c>
    </x:row>
    <x:row r="259">
      <x:c r="A259" s="11" t="n"/>
      <x:c r="B259" s="5" t="n"/>
      <x:c r="C259" s="12" t="n"/>
      <x:c r="D259" s="12" t="n"/>
      <x:c r="E259" s="12" t="n"/>
      <x:c r="F259" s="12" t="n"/>
      <x:c r="G259" s="13">
        <x:f>IF(F259="","",IFERROR(VLOOKUP(F259,Master_Data!$E$24:$G$33,2,FALSE),"9999"))</x:f>
      </x:c>
      <x:c r="H259" s="12" t="n"/>
      <x:c r="I259" s="12" t="n"/>
      <x:c r="J259" s="12" t="n"/>
      <x:c r="K259" s="12" t="n"/>
      <x:c r="L259" s="11" t="n"/>
      <x:c r="M259" s="9" t="n"/>
      <x:c r="N259" s="12" t="n"/>
      <x:c r="O259" s="6">
        <x:f>IF(N259="","",IFERROR(VLOOKUP(N259,Master_Data!$A$5:$C$8,3,FALSE),0))</x:f>
      </x:c>
      <x:c r="P259" s="7">
        <x:f>IF(M259="","",M259*O259)</x:f>
      </x:c>
      <x:c r="Q259" s="7">
        <x:f>IF(M259="","",M259+P259)</x:f>
      </x:c>
      <x:c r="R259" s="7">
        <x:f>IF(K259&lt;&gt;"Paid",0,IF(C259="Income",Q259,-Q259))</x:f>
      </x:c>
      <x:c r="S259" s="14">
        <x:f>IF(A259="","",DATE(YEAR(A259),MONTH(A259),1))</x:f>
      </x:c>
      <x:c r="T259" s="14">
        <x:f>IF(L259="","",DATE(YEAR(L259),MONTH(L259),1))</x:f>
      </x:c>
    </x:row>
    <x:row r="260">
      <x:c r="A260" s="11" t="n"/>
      <x:c r="B260" s="5" t="n"/>
      <x:c r="C260" s="12" t="n"/>
      <x:c r="D260" s="12" t="n"/>
      <x:c r="E260" s="12" t="n"/>
      <x:c r="F260" s="12" t="n"/>
      <x:c r="G260" s="13">
        <x:f>IF(F260="","",IFERROR(VLOOKUP(F260,Master_Data!$E$24:$G$33,2,FALSE),"9999"))</x:f>
      </x:c>
      <x:c r="H260" s="12" t="n"/>
      <x:c r="I260" s="12" t="n"/>
      <x:c r="J260" s="12" t="n"/>
      <x:c r="K260" s="12" t="n"/>
      <x:c r="L260" s="11" t="n"/>
      <x:c r="M260" s="9" t="n"/>
      <x:c r="N260" s="12" t="n"/>
      <x:c r="O260" s="6">
        <x:f>IF(N260="","",IFERROR(VLOOKUP(N260,Master_Data!$A$5:$C$8,3,FALSE),0))</x:f>
      </x:c>
      <x:c r="P260" s="7">
        <x:f>IF(M260="","",M260*O260)</x:f>
      </x:c>
      <x:c r="Q260" s="7">
        <x:f>IF(M260="","",M260+P260)</x:f>
      </x:c>
      <x:c r="R260" s="7">
        <x:f>IF(K260&lt;&gt;"Paid",0,IF(C260="Income",Q260,-Q260))</x:f>
      </x:c>
      <x:c r="S260" s="14">
        <x:f>IF(A260="","",DATE(YEAR(A260),MONTH(A260),1))</x:f>
      </x:c>
      <x:c r="T260" s="14">
        <x:f>IF(L260="","",DATE(YEAR(L260),MONTH(L260),1))</x:f>
      </x:c>
    </x:row>
    <x:row r="261">
      <x:c r="A261" s="11" t="n"/>
      <x:c r="B261" s="5" t="n"/>
      <x:c r="C261" s="12" t="n"/>
      <x:c r="D261" s="12" t="n"/>
      <x:c r="E261" s="12" t="n"/>
      <x:c r="F261" s="12" t="n"/>
      <x:c r="G261" s="13">
        <x:f>IF(F261="","",IFERROR(VLOOKUP(F261,Master_Data!$E$24:$G$33,2,FALSE),"9999"))</x:f>
      </x:c>
      <x:c r="H261" s="12" t="n"/>
      <x:c r="I261" s="12" t="n"/>
      <x:c r="J261" s="12" t="n"/>
      <x:c r="K261" s="12" t="n"/>
      <x:c r="L261" s="11" t="n"/>
      <x:c r="M261" s="9" t="n"/>
      <x:c r="N261" s="12" t="n"/>
      <x:c r="O261" s="6">
        <x:f>IF(N261="","",IFERROR(VLOOKUP(N261,Master_Data!$A$5:$C$8,3,FALSE),0))</x:f>
      </x:c>
      <x:c r="P261" s="7">
        <x:f>IF(M261="","",M261*O261)</x:f>
      </x:c>
      <x:c r="Q261" s="7">
        <x:f>IF(M261="","",M261+P261)</x:f>
      </x:c>
      <x:c r="R261" s="7">
        <x:f>IF(K261&lt;&gt;"Paid",0,IF(C261="Income",Q261,-Q261))</x:f>
      </x:c>
      <x:c r="S261" s="14">
        <x:f>IF(A261="","",DATE(YEAR(A261),MONTH(A261),1))</x:f>
      </x:c>
      <x:c r="T261" s="14">
        <x:f>IF(L261="","",DATE(YEAR(L261),MONTH(L261),1))</x:f>
      </x:c>
    </x:row>
    <x:row r="262">
      <x:c r="A262" s="11" t="n"/>
      <x:c r="B262" s="5" t="n"/>
      <x:c r="C262" s="12" t="n"/>
      <x:c r="D262" s="12" t="n"/>
      <x:c r="E262" s="12" t="n"/>
      <x:c r="F262" s="12" t="n"/>
      <x:c r="G262" s="13">
        <x:f>IF(F262="","",IFERROR(VLOOKUP(F262,Master_Data!$E$24:$G$33,2,FALSE),"9999"))</x:f>
      </x:c>
      <x:c r="H262" s="12" t="n"/>
      <x:c r="I262" s="12" t="n"/>
      <x:c r="J262" s="12" t="n"/>
      <x:c r="K262" s="12" t="n"/>
      <x:c r="L262" s="11" t="n"/>
      <x:c r="M262" s="9" t="n"/>
      <x:c r="N262" s="12" t="n"/>
      <x:c r="O262" s="6">
        <x:f>IF(N262="","",IFERROR(VLOOKUP(N262,Master_Data!$A$5:$C$8,3,FALSE),0))</x:f>
      </x:c>
      <x:c r="P262" s="7">
        <x:f>IF(M262="","",M262*O262)</x:f>
      </x:c>
      <x:c r="Q262" s="7">
        <x:f>IF(M262="","",M262+P262)</x:f>
      </x:c>
      <x:c r="R262" s="7">
        <x:f>IF(K262&lt;&gt;"Paid",0,IF(C262="Income",Q262,-Q262))</x:f>
      </x:c>
      <x:c r="S262" s="14">
        <x:f>IF(A262="","",DATE(YEAR(A262),MONTH(A262),1))</x:f>
      </x:c>
      <x:c r="T262" s="14">
        <x:f>IF(L262="","",DATE(YEAR(L262),MONTH(L262),1))</x:f>
      </x:c>
    </x:row>
    <x:row r="263">
      <x:c r="A263" s="11" t="n"/>
      <x:c r="B263" s="5" t="n"/>
      <x:c r="C263" s="12" t="n"/>
      <x:c r="D263" s="12" t="n"/>
      <x:c r="E263" s="12" t="n"/>
      <x:c r="F263" s="12" t="n"/>
      <x:c r="G263" s="13">
        <x:f>IF(F263="","",IFERROR(VLOOKUP(F263,Master_Data!$E$24:$G$33,2,FALSE),"9999"))</x:f>
      </x:c>
      <x:c r="H263" s="12" t="n"/>
      <x:c r="I263" s="12" t="n"/>
      <x:c r="J263" s="12" t="n"/>
      <x:c r="K263" s="12" t="n"/>
      <x:c r="L263" s="11" t="n"/>
      <x:c r="M263" s="9" t="n"/>
      <x:c r="N263" s="12" t="n"/>
      <x:c r="O263" s="6">
        <x:f>IF(N263="","",IFERROR(VLOOKUP(N263,Master_Data!$A$5:$C$8,3,FALSE),0))</x:f>
      </x:c>
      <x:c r="P263" s="7">
        <x:f>IF(M263="","",M263*O263)</x:f>
      </x:c>
      <x:c r="Q263" s="7">
        <x:f>IF(M263="","",M263+P263)</x:f>
      </x:c>
      <x:c r="R263" s="7">
        <x:f>IF(K263&lt;&gt;"Paid",0,IF(C263="Income",Q263,-Q263))</x:f>
      </x:c>
      <x:c r="S263" s="14">
        <x:f>IF(A263="","",DATE(YEAR(A263),MONTH(A263),1))</x:f>
      </x:c>
      <x:c r="T263" s="14">
        <x:f>IF(L263="","",DATE(YEAR(L263),MONTH(L263),1))</x:f>
      </x:c>
    </x:row>
    <x:row r="264">
      <x:c r="A264" s="11" t="n"/>
      <x:c r="B264" s="5" t="n"/>
      <x:c r="C264" s="12" t="n"/>
      <x:c r="D264" s="12" t="n"/>
      <x:c r="E264" s="12" t="n"/>
      <x:c r="F264" s="12" t="n"/>
      <x:c r="G264" s="13">
        <x:f>IF(F264="","",IFERROR(VLOOKUP(F264,Master_Data!$E$24:$G$33,2,FALSE),"9999"))</x:f>
      </x:c>
      <x:c r="H264" s="12" t="n"/>
      <x:c r="I264" s="12" t="n"/>
      <x:c r="J264" s="12" t="n"/>
      <x:c r="K264" s="12" t="n"/>
      <x:c r="L264" s="11" t="n"/>
      <x:c r="M264" s="9" t="n"/>
      <x:c r="N264" s="12" t="n"/>
      <x:c r="O264" s="6">
        <x:f>IF(N264="","",IFERROR(VLOOKUP(N264,Master_Data!$A$5:$C$8,3,FALSE),0))</x:f>
      </x:c>
      <x:c r="P264" s="7">
        <x:f>IF(M264="","",M264*O264)</x:f>
      </x:c>
      <x:c r="Q264" s="7">
        <x:f>IF(M264="","",M264+P264)</x:f>
      </x:c>
      <x:c r="R264" s="7">
        <x:f>IF(K264&lt;&gt;"Paid",0,IF(C264="Income",Q264,-Q264))</x:f>
      </x:c>
      <x:c r="S264" s="14">
        <x:f>IF(A264="","",DATE(YEAR(A264),MONTH(A264),1))</x:f>
      </x:c>
      <x:c r="T264" s="14">
        <x:f>IF(L264="","",DATE(YEAR(L264),MONTH(L264),1))</x:f>
      </x:c>
    </x:row>
    <x:row r="265">
      <x:c r="A265" s="11" t="n"/>
      <x:c r="B265" s="5" t="n"/>
      <x:c r="C265" s="12" t="n"/>
      <x:c r="D265" s="12" t="n"/>
      <x:c r="E265" s="12" t="n"/>
      <x:c r="F265" s="12" t="n"/>
      <x:c r="G265" s="13">
        <x:f>IF(F265="","",IFERROR(VLOOKUP(F265,Master_Data!$E$24:$G$33,2,FALSE),"9999"))</x:f>
      </x:c>
      <x:c r="H265" s="12" t="n"/>
      <x:c r="I265" s="12" t="n"/>
      <x:c r="J265" s="12" t="n"/>
      <x:c r="K265" s="12" t="n"/>
      <x:c r="L265" s="11" t="n"/>
      <x:c r="M265" s="9" t="n"/>
      <x:c r="N265" s="12" t="n"/>
      <x:c r="O265" s="6">
        <x:f>IF(N265="","",IFERROR(VLOOKUP(N265,Master_Data!$A$5:$C$8,3,FALSE),0))</x:f>
      </x:c>
      <x:c r="P265" s="7">
        <x:f>IF(M265="","",M265*O265)</x:f>
      </x:c>
      <x:c r="Q265" s="7">
        <x:f>IF(M265="","",M265+P265)</x:f>
      </x:c>
      <x:c r="R265" s="7">
        <x:f>IF(K265&lt;&gt;"Paid",0,IF(C265="Income",Q265,-Q265))</x:f>
      </x:c>
      <x:c r="S265" s="14">
        <x:f>IF(A265="","",DATE(YEAR(A265),MONTH(A265),1))</x:f>
      </x:c>
      <x:c r="T265" s="14">
        <x:f>IF(L265="","",DATE(YEAR(L265),MONTH(L265),1))</x:f>
      </x:c>
    </x:row>
    <x:row r="266">
      <x:c r="A266" s="11" t="n"/>
      <x:c r="B266" s="5" t="n"/>
      <x:c r="C266" s="12" t="n"/>
      <x:c r="D266" s="12" t="n"/>
      <x:c r="E266" s="12" t="n"/>
      <x:c r="F266" s="12" t="n"/>
      <x:c r="G266" s="13">
        <x:f>IF(F266="","",IFERROR(VLOOKUP(F266,Master_Data!$E$24:$G$33,2,FALSE),"9999"))</x:f>
      </x:c>
      <x:c r="H266" s="12" t="n"/>
      <x:c r="I266" s="12" t="n"/>
      <x:c r="J266" s="12" t="n"/>
      <x:c r="K266" s="12" t="n"/>
      <x:c r="L266" s="11" t="n"/>
      <x:c r="M266" s="9" t="n"/>
      <x:c r="N266" s="12" t="n"/>
      <x:c r="O266" s="6">
        <x:f>IF(N266="","",IFERROR(VLOOKUP(N266,Master_Data!$A$5:$C$8,3,FALSE),0))</x:f>
      </x:c>
      <x:c r="P266" s="7">
        <x:f>IF(M266="","",M266*O266)</x:f>
      </x:c>
      <x:c r="Q266" s="7">
        <x:f>IF(M266="","",M266+P266)</x:f>
      </x:c>
      <x:c r="R266" s="7">
        <x:f>IF(K266&lt;&gt;"Paid",0,IF(C266="Income",Q266,-Q266))</x:f>
      </x:c>
      <x:c r="S266" s="14">
        <x:f>IF(A266="","",DATE(YEAR(A266),MONTH(A266),1))</x:f>
      </x:c>
      <x:c r="T266" s="14">
        <x:f>IF(L266="","",DATE(YEAR(L266),MONTH(L266),1))</x:f>
      </x:c>
    </x:row>
    <x:row r="267">
      <x:c r="A267" s="11" t="n"/>
      <x:c r="B267" s="5" t="n"/>
      <x:c r="C267" s="12" t="n"/>
      <x:c r="D267" s="12" t="n"/>
      <x:c r="E267" s="12" t="n"/>
      <x:c r="F267" s="12" t="n"/>
      <x:c r="G267" s="13">
        <x:f>IF(F267="","",IFERROR(VLOOKUP(F267,Master_Data!$E$24:$G$33,2,FALSE),"9999"))</x:f>
      </x:c>
      <x:c r="H267" s="12" t="n"/>
      <x:c r="I267" s="12" t="n"/>
      <x:c r="J267" s="12" t="n"/>
      <x:c r="K267" s="12" t="n"/>
      <x:c r="L267" s="11" t="n"/>
      <x:c r="M267" s="9" t="n"/>
      <x:c r="N267" s="12" t="n"/>
      <x:c r="O267" s="6">
        <x:f>IF(N267="","",IFERROR(VLOOKUP(N267,Master_Data!$A$5:$C$8,3,FALSE),0))</x:f>
      </x:c>
      <x:c r="P267" s="7">
        <x:f>IF(M267="","",M267*O267)</x:f>
      </x:c>
      <x:c r="Q267" s="7">
        <x:f>IF(M267="","",M267+P267)</x:f>
      </x:c>
      <x:c r="R267" s="7">
        <x:f>IF(K267&lt;&gt;"Paid",0,IF(C267="Income",Q267,-Q267))</x:f>
      </x:c>
      <x:c r="S267" s="14">
        <x:f>IF(A267="","",DATE(YEAR(A267),MONTH(A267),1))</x:f>
      </x:c>
      <x:c r="T267" s="14">
        <x:f>IF(L267="","",DATE(YEAR(L267),MONTH(L267),1))</x:f>
      </x:c>
    </x:row>
    <x:row r="268">
      <x:c r="A268" s="11" t="n"/>
      <x:c r="B268" s="5" t="n"/>
      <x:c r="C268" s="12" t="n"/>
      <x:c r="D268" s="12" t="n"/>
      <x:c r="E268" s="12" t="n"/>
      <x:c r="F268" s="12" t="n"/>
      <x:c r="G268" s="13">
        <x:f>IF(F268="","",IFERROR(VLOOKUP(F268,Master_Data!$E$24:$G$33,2,FALSE),"9999"))</x:f>
      </x:c>
      <x:c r="H268" s="12" t="n"/>
      <x:c r="I268" s="12" t="n"/>
      <x:c r="J268" s="12" t="n"/>
      <x:c r="K268" s="12" t="n"/>
      <x:c r="L268" s="11" t="n"/>
      <x:c r="M268" s="9" t="n"/>
      <x:c r="N268" s="12" t="n"/>
      <x:c r="O268" s="6">
        <x:f>IF(N268="","",IFERROR(VLOOKUP(N268,Master_Data!$A$5:$C$8,3,FALSE),0))</x:f>
      </x:c>
      <x:c r="P268" s="7">
        <x:f>IF(M268="","",M268*O268)</x:f>
      </x:c>
      <x:c r="Q268" s="7">
        <x:f>IF(M268="","",M268+P268)</x:f>
      </x:c>
      <x:c r="R268" s="7">
        <x:f>IF(K268&lt;&gt;"Paid",0,IF(C268="Income",Q268,-Q268))</x:f>
      </x:c>
      <x:c r="S268" s="14">
        <x:f>IF(A268="","",DATE(YEAR(A268),MONTH(A268),1))</x:f>
      </x:c>
      <x:c r="T268" s="14">
        <x:f>IF(L268="","",DATE(YEAR(L268),MONTH(L268),1))</x:f>
      </x:c>
    </x:row>
    <x:row r="269">
      <x:c r="A269" s="11" t="n"/>
      <x:c r="B269" s="5" t="n"/>
      <x:c r="C269" s="12" t="n"/>
      <x:c r="D269" s="12" t="n"/>
      <x:c r="E269" s="12" t="n"/>
      <x:c r="F269" s="12" t="n"/>
      <x:c r="G269" s="13">
        <x:f>IF(F269="","",IFERROR(VLOOKUP(F269,Master_Data!$E$24:$G$33,2,FALSE),"9999"))</x:f>
      </x:c>
      <x:c r="H269" s="12" t="n"/>
      <x:c r="I269" s="12" t="n"/>
      <x:c r="J269" s="12" t="n"/>
      <x:c r="K269" s="12" t="n"/>
      <x:c r="L269" s="11" t="n"/>
      <x:c r="M269" s="9" t="n"/>
      <x:c r="N269" s="12" t="n"/>
      <x:c r="O269" s="6">
        <x:f>IF(N269="","",IFERROR(VLOOKUP(N269,Master_Data!$A$5:$C$8,3,FALSE),0))</x:f>
      </x:c>
      <x:c r="P269" s="7">
        <x:f>IF(M269="","",M269*O269)</x:f>
      </x:c>
      <x:c r="Q269" s="7">
        <x:f>IF(M269="","",M269+P269)</x:f>
      </x:c>
      <x:c r="R269" s="7">
        <x:f>IF(K269&lt;&gt;"Paid",0,IF(C269="Income",Q269,-Q269))</x:f>
      </x:c>
      <x:c r="S269" s="14">
        <x:f>IF(A269="","",DATE(YEAR(A269),MONTH(A269),1))</x:f>
      </x:c>
      <x:c r="T269" s="14">
        <x:f>IF(L269="","",DATE(YEAR(L269),MONTH(L269),1))</x:f>
      </x:c>
    </x:row>
    <x:row r="270">
      <x:c r="A270" s="11" t="n"/>
      <x:c r="B270" s="5" t="n"/>
      <x:c r="C270" s="12" t="n"/>
      <x:c r="D270" s="12" t="n"/>
      <x:c r="E270" s="12" t="n"/>
      <x:c r="F270" s="12" t="n"/>
      <x:c r="G270" s="13">
        <x:f>IF(F270="","",IFERROR(VLOOKUP(F270,Master_Data!$E$24:$G$33,2,FALSE),"9999"))</x:f>
      </x:c>
      <x:c r="H270" s="12" t="n"/>
      <x:c r="I270" s="12" t="n"/>
      <x:c r="J270" s="12" t="n"/>
      <x:c r="K270" s="12" t="n"/>
      <x:c r="L270" s="11" t="n"/>
      <x:c r="M270" s="9" t="n"/>
      <x:c r="N270" s="12" t="n"/>
      <x:c r="O270" s="6">
        <x:f>IF(N270="","",IFERROR(VLOOKUP(N270,Master_Data!$A$5:$C$8,3,FALSE),0))</x:f>
      </x:c>
      <x:c r="P270" s="7">
        <x:f>IF(M270="","",M270*O270)</x:f>
      </x:c>
      <x:c r="Q270" s="7">
        <x:f>IF(M270="","",M270+P270)</x:f>
      </x:c>
      <x:c r="R270" s="7">
        <x:f>IF(K270&lt;&gt;"Paid",0,IF(C270="Income",Q270,-Q270))</x:f>
      </x:c>
      <x:c r="S270" s="14">
        <x:f>IF(A270="","",DATE(YEAR(A270),MONTH(A270),1))</x:f>
      </x:c>
      <x:c r="T270" s="14">
        <x:f>IF(L270="","",DATE(YEAR(L270),MONTH(L270),1))</x:f>
      </x:c>
    </x:row>
    <x:row r="271">
      <x:c r="A271" s="11" t="n"/>
      <x:c r="B271" s="5" t="n"/>
      <x:c r="C271" s="12" t="n"/>
      <x:c r="D271" s="12" t="n"/>
      <x:c r="E271" s="12" t="n"/>
      <x:c r="F271" s="12" t="n"/>
      <x:c r="G271" s="13">
        <x:f>IF(F271="","",IFERROR(VLOOKUP(F271,Master_Data!$E$24:$G$33,2,FALSE),"9999"))</x:f>
      </x:c>
      <x:c r="H271" s="12" t="n"/>
      <x:c r="I271" s="12" t="n"/>
      <x:c r="J271" s="12" t="n"/>
      <x:c r="K271" s="12" t="n"/>
      <x:c r="L271" s="11" t="n"/>
      <x:c r="M271" s="9" t="n"/>
      <x:c r="N271" s="12" t="n"/>
      <x:c r="O271" s="6">
        <x:f>IF(N271="","",IFERROR(VLOOKUP(N271,Master_Data!$A$5:$C$8,3,FALSE),0))</x:f>
      </x:c>
      <x:c r="P271" s="7">
        <x:f>IF(M271="","",M271*O271)</x:f>
      </x:c>
      <x:c r="Q271" s="7">
        <x:f>IF(M271="","",M271+P271)</x:f>
      </x:c>
      <x:c r="R271" s="7">
        <x:f>IF(K271&lt;&gt;"Paid",0,IF(C271="Income",Q271,-Q271))</x:f>
      </x:c>
      <x:c r="S271" s="14">
        <x:f>IF(A271="","",DATE(YEAR(A271),MONTH(A271),1))</x:f>
      </x:c>
      <x:c r="T271" s="14">
        <x:f>IF(L271="","",DATE(YEAR(L271),MONTH(L271),1))</x:f>
      </x:c>
    </x:row>
    <x:row r="272">
      <x:c r="A272" s="11" t="n"/>
      <x:c r="B272" s="5" t="n"/>
      <x:c r="C272" s="12" t="n"/>
      <x:c r="D272" s="12" t="n"/>
      <x:c r="E272" s="12" t="n"/>
      <x:c r="F272" s="12" t="n"/>
      <x:c r="G272" s="13">
        <x:f>IF(F272="","",IFERROR(VLOOKUP(F272,Master_Data!$E$24:$G$33,2,FALSE),"9999"))</x:f>
      </x:c>
      <x:c r="H272" s="12" t="n"/>
      <x:c r="I272" s="12" t="n"/>
      <x:c r="J272" s="12" t="n"/>
      <x:c r="K272" s="12" t="n"/>
      <x:c r="L272" s="11" t="n"/>
      <x:c r="M272" s="9" t="n"/>
      <x:c r="N272" s="12" t="n"/>
      <x:c r="O272" s="6">
        <x:f>IF(N272="","",IFERROR(VLOOKUP(N272,Master_Data!$A$5:$C$8,3,FALSE),0))</x:f>
      </x:c>
      <x:c r="P272" s="7">
        <x:f>IF(M272="","",M272*O272)</x:f>
      </x:c>
      <x:c r="Q272" s="7">
        <x:f>IF(M272="","",M272+P272)</x:f>
      </x:c>
      <x:c r="R272" s="7">
        <x:f>IF(K272&lt;&gt;"Paid",0,IF(C272="Income",Q272,-Q272))</x:f>
      </x:c>
      <x:c r="S272" s="14">
        <x:f>IF(A272="","",DATE(YEAR(A272),MONTH(A272),1))</x:f>
      </x:c>
      <x:c r="T272" s="14">
        <x:f>IF(L272="","",DATE(YEAR(L272),MONTH(L272),1))</x:f>
      </x:c>
    </x:row>
    <x:row r="273">
      <x:c r="A273" s="11" t="n"/>
      <x:c r="B273" s="5" t="n"/>
      <x:c r="C273" s="12" t="n"/>
      <x:c r="D273" s="12" t="n"/>
      <x:c r="E273" s="12" t="n"/>
      <x:c r="F273" s="12" t="n"/>
      <x:c r="G273" s="13">
        <x:f>IF(F273="","",IFERROR(VLOOKUP(F273,Master_Data!$E$24:$G$33,2,FALSE),"9999"))</x:f>
      </x:c>
      <x:c r="H273" s="12" t="n"/>
      <x:c r="I273" s="12" t="n"/>
      <x:c r="J273" s="12" t="n"/>
      <x:c r="K273" s="12" t="n"/>
      <x:c r="L273" s="11" t="n"/>
      <x:c r="M273" s="9" t="n"/>
      <x:c r="N273" s="12" t="n"/>
      <x:c r="O273" s="6">
        <x:f>IF(N273="","",IFERROR(VLOOKUP(N273,Master_Data!$A$5:$C$8,3,FALSE),0))</x:f>
      </x:c>
      <x:c r="P273" s="7">
        <x:f>IF(M273="","",M273*O273)</x:f>
      </x:c>
      <x:c r="Q273" s="7">
        <x:f>IF(M273="","",M273+P273)</x:f>
      </x:c>
      <x:c r="R273" s="7">
        <x:f>IF(K273&lt;&gt;"Paid",0,IF(C273="Income",Q273,-Q273))</x:f>
      </x:c>
      <x:c r="S273" s="14">
        <x:f>IF(A273="","",DATE(YEAR(A273),MONTH(A273),1))</x:f>
      </x:c>
      <x:c r="T273" s="14">
        <x:f>IF(L273="","",DATE(YEAR(L273),MONTH(L273),1))</x:f>
      </x:c>
    </x:row>
    <x:row r="274">
      <x:c r="A274" s="11" t="n"/>
      <x:c r="B274" s="5" t="n"/>
      <x:c r="C274" s="12" t="n"/>
      <x:c r="D274" s="12" t="n"/>
      <x:c r="E274" s="12" t="n"/>
      <x:c r="F274" s="12" t="n"/>
      <x:c r="G274" s="13">
        <x:f>IF(F274="","",IFERROR(VLOOKUP(F274,Master_Data!$E$24:$G$33,2,FALSE),"9999"))</x:f>
      </x:c>
      <x:c r="H274" s="12" t="n"/>
      <x:c r="I274" s="12" t="n"/>
      <x:c r="J274" s="12" t="n"/>
      <x:c r="K274" s="12" t="n"/>
      <x:c r="L274" s="11" t="n"/>
      <x:c r="M274" s="9" t="n"/>
      <x:c r="N274" s="12" t="n"/>
      <x:c r="O274" s="6">
        <x:f>IF(N274="","",IFERROR(VLOOKUP(N274,Master_Data!$A$5:$C$8,3,FALSE),0))</x:f>
      </x:c>
      <x:c r="P274" s="7">
        <x:f>IF(M274="","",M274*O274)</x:f>
      </x:c>
      <x:c r="Q274" s="7">
        <x:f>IF(M274="","",M274+P274)</x:f>
      </x:c>
      <x:c r="R274" s="7">
        <x:f>IF(K274&lt;&gt;"Paid",0,IF(C274="Income",Q274,-Q274))</x:f>
      </x:c>
      <x:c r="S274" s="14">
        <x:f>IF(A274="","",DATE(YEAR(A274),MONTH(A274),1))</x:f>
      </x:c>
      <x:c r="T274" s="14">
        <x:f>IF(L274="","",DATE(YEAR(L274),MONTH(L274),1))</x:f>
      </x:c>
    </x:row>
    <x:row r="275">
      <x:c r="A275" s="11" t="n"/>
      <x:c r="B275" s="5" t="n"/>
      <x:c r="C275" s="12" t="n"/>
      <x:c r="D275" s="12" t="n"/>
      <x:c r="E275" s="12" t="n"/>
      <x:c r="F275" s="12" t="n"/>
      <x:c r="G275" s="13">
        <x:f>IF(F275="","",IFERROR(VLOOKUP(F275,Master_Data!$E$24:$G$33,2,FALSE),"9999"))</x:f>
      </x:c>
      <x:c r="H275" s="12" t="n"/>
      <x:c r="I275" s="12" t="n"/>
      <x:c r="J275" s="12" t="n"/>
      <x:c r="K275" s="12" t="n"/>
      <x:c r="L275" s="11" t="n"/>
      <x:c r="M275" s="9" t="n"/>
      <x:c r="N275" s="12" t="n"/>
      <x:c r="O275" s="6">
        <x:f>IF(N275="","",IFERROR(VLOOKUP(N275,Master_Data!$A$5:$C$8,3,FALSE),0))</x:f>
      </x:c>
      <x:c r="P275" s="7">
        <x:f>IF(M275="","",M275*O275)</x:f>
      </x:c>
      <x:c r="Q275" s="7">
        <x:f>IF(M275="","",M275+P275)</x:f>
      </x:c>
      <x:c r="R275" s="7">
        <x:f>IF(K275&lt;&gt;"Paid",0,IF(C275="Income",Q275,-Q275))</x:f>
      </x:c>
      <x:c r="S275" s="14">
        <x:f>IF(A275="","",DATE(YEAR(A275),MONTH(A275),1))</x:f>
      </x:c>
      <x:c r="T275" s="14">
        <x:f>IF(L275="","",DATE(YEAR(L275),MONTH(L275),1))</x:f>
      </x:c>
    </x:row>
    <x:row r="276">
      <x:c r="A276" s="11" t="n"/>
      <x:c r="B276" s="5" t="n"/>
      <x:c r="C276" s="12" t="n"/>
      <x:c r="D276" s="12" t="n"/>
      <x:c r="E276" s="12" t="n"/>
      <x:c r="F276" s="12" t="n"/>
      <x:c r="G276" s="13">
        <x:f>IF(F276="","",IFERROR(VLOOKUP(F276,Master_Data!$E$24:$G$33,2,FALSE),"9999"))</x:f>
      </x:c>
      <x:c r="H276" s="12" t="n"/>
      <x:c r="I276" s="12" t="n"/>
      <x:c r="J276" s="12" t="n"/>
      <x:c r="K276" s="12" t="n"/>
      <x:c r="L276" s="11" t="n"/>
      <x:c r="M276" s="9" t="n"/>
      <x:c r="N276" s="12" t="n"/>
      <x:c r="O276" s="6">
        <x:f>IF(N276="","",IFERROR(VLOOKUP(N276,Master_Data!$A$5:$C$8,3,FALSE),0))</x:f>
      </x:c>
      <x:c r="P276" s="7">
        <x:f>IF(M276="","",M276*O276)</x:f>
      </x:c>
      <x:c r="Q276" s="7">
        <x:f>IF(M276="","",M276+P276)</x:f>
      </x:c>
      <x:c r="R276" s="7">
        <x:f>IF(K276&lt;&gt;"Paid",0,IF(C276="Income",Q276,-Q276))</x:f>
      </x:c>
      <x:c r="S276" s="14">
        <x:f>IF(A276="","",DATE(YEAR(A276),MONTH(A276),1))</x:f>
      </x:c>
      <x:c r="T276" s="14">
        <x:f>IF(L276="","",DATE(YEAR(L276),MONTH(L276),1))</x:f>
      </x:c>
    </x:row>
    <x:row r="277">
      <x:c r="A277" s="11" t="n"/>
      <x:c r="B277" s="5" t="n"/>
      <x:c r="C277" s="12" t="n"/>
      <x:c r="D277" s="12" t="n"/>
      <x:c r="E277" s="12" t="n"/>
      <x:c r="F277" s="12" t="n"/>
      <x:c r="G277" s="13">
        <x:f>IF(F277="","",IFERROR(VLOOKUP(F277,Master_Data!$E$24:$G$33,2,FALSE),"9999"))</x:f>
      </x:c>
      <x:c r="H277" s="12" t="n"/>
      <x:c r="I277" s="12" t="n"/>
      <x:c r="J277" s="12" t="n"/>
      <x:c r="K277" s="12" t="n"/>
      <x:c r="L277" s="11" t="n"/>
      <x:c r="M277" s="9" t="n"/>
      <x:c r="N277" s="12" t="n"/>
      <x:c r="O277" s="6">
        <x:f>IF(N277="","",IFERROR(VLOOKUP(N277,Master_Data!$A$5:$C$8,3,FALSE),0))</x:f>
      </x:c>
      <x:c r="P277" s="7">
        <x:f>IF(M277="","",M277*O277)</x:f>
      </x:c>
      <x:c r="Q277" s="7">
        <x:f>IF(M277="","",M277+P277)</x:f>
      </x:c>
      <x:c r="R277" s="7">
        <x:f>IF(K277&lt;&gt;"Paid",0,IF(C277="Income",Q277,-Q277))</x:f>
      </x:c>
      <x:c r="S277" s="14">
        <x:f>IF(A277="","",DATE(YEAR(A277),MONTH(A277),1))</x:f>
      </x:c>
      <x:c r="T277" s="14">
        <x:f>IF(L277="","",DATE(YEAR(L277),MONTH(L277),1))</x:f>
      </x:c>
    </x:row>
    <x:row r="278">
      <x:c r="A278" s="11" t="n"/>
      <x:c r="B278" s="5" t="n"/>
      <x:c r="C278" s="12" t="n"/>
      <x:c r="D278" s="12" t="n"/>
      <x:c r="E278" s="12" t="n"/>
      <x:c r="F278" s="12" t="n"/>
      <x:c r="G278" s="13">
        <x:f>IF(F278="","",IFERROR(VLOOKUP(F278,Master_Data!$E$24:$G$33,2,FALSE),"9999"))</x:f>
      </x:c>
      <x:c r="H278" s="12" t="n"/>
      <x:c r="I278" s="12" t="n"/>
      <x:c r="J278" s="12" t="n"/>
      <x:c r="K278" s="12" t="n"/>
      <x:c r="L278" s="11" t="n"/>
      <x:c r="M278" s="9" t="n"/>
      <x:c r="N278" s="12" t="n"/>
      <x:c r="O278" s="6">
        <x:f>IF(N278="","",IFERROR(VLOOKUP(N278,Master_Data!$A$5:$C$8,3,FALSE),0))</x:f>
      </x:c>
      <x:c r="P278" s="7">
        <x:f>IF(M278="","",M278*O278)</x:f>
      </x:c>
      <x:c r="Q278" s="7">
        <x:f>IF(M278="","",M278+P278)</x:f>
      </x:c>
      <x:c r="R278" s="7">
        <x:f>IF(K278&lt;&gt;"Paid",0,IF(C278="Income",Q278,-Q278))</x:f>
      </x:c>
      <x:c r="S278" s="14">
        <x:f>IF(A278="","",DATE(YEAR(A278),MONTH(A278),1))</x:f>
      </x:c>
      <x:c r="T278" s="14">
        <x:f>IF(L278="","",DATE(YEAR(L278),MONTH(L278),1))</x:f>
      </x:c>
    </x:row>
    <x:row r="279">
      <x:c r="A279" s="11" t="n"/>
      <x:c r="B279" s="5" t="n"/>
      <x:c r="C279" s="12" t="n"/>
      <x:c r="D279" s="12" t="n"/>
      <x:c r="E279" s="12" t="n"/>
      <x:c r="F279" s="12" t="n"/>
      <x:c r="G279" s="13">
        <x:f>IF(F279="","",IFERROR(VLOOKUP(F279,Master_Data!$E$24:$G$33,2,FALSE),"9999"))</x:f>
      </x:c>
      <x:c r="H279" s="12" t="n"/>
      <x:c r="I279" s="12" t="n"/>
      <x:c r="J279" s="12" t="n"/>
      <x:c r="K279" s="12" t="n"/>
      <x:c r="L279" s="11" t="n"/>
      <x:c r="M279" s="9" t="n"/>
      <x:c r="N279" s="12" t="n"/>
      <x:c r="O279" s="6">
        <x:f>IF(N279="","",IFERROR(VLOOKUP(N279,Master_Data!$A$5:$C$8,3,FALSE),0))</x:f>
      </x:c>
      <x:c r="P279" s="7">
        <x:f>IF(M279="","",M279*O279)</x:f>
      </x:c>
      <x:c r="Q279" s="7">
        <x:f>IF(M279="","",M279+P279)</x:f>
      </x:c>
      <x:c r="R279" s="7">
        <x:f>IF(K279&lt;&gt;"Paid",0,IF(C279="Income",Q279,-Q279))</x:f>
      </x:c>
      <x:c r="S279" s="14">
        <x:f>IF(A279="","",DATE(YEAR(A279),MONTH(A279),1))</x:f>
      </x:c>
      <x:c r="T279" s="14">
        <x:f>IF(L279="","",DATE(YEAR(L279),MONTH(L279),1))</x:f>
      </x:c>
    </x:row>
    <x:row r="280">
      <x:c r="A280" s="11" t="n"/>
      <x:c r="B280" s="5" t="n"/>
      <x:c r="C280" s="12" t="n"/>
      <x:c r="D280" s="12" t="n"/>
      <x:c r="E280" s="12" t="n"/>
      <x:c r="F280" s="12" t="n"/>
      <x:c r="G280" s="13">
        <x:f>IF(F280="","",IFERROR(VLOOKUP(F280,Master_Data!$E$24:$G$33,2,FALSE),"9999"))</x:f>
      </x:c>
      <x:c r="H280" s="12" t="n"/>
      <x:c r="I280" s="12" t="n"/>
      <x:c r="J280" s="12" t="n"/>
      <x:c r="K280" s="12" t="n"/>
      <x:c r="L280" s="11" t="n"/>
      <x:c r="M280" s="9" t="n"/>
      <x:c r="N280" s="12" t="n"/>
      <x:c r="O280" s="6">
        <x:f>IF(N280="","",IFERROR(VLOOKUP(N280,Master_Data!$A$5:$C$8,3,FALSE),0))</x:f>
      </x:c>
      <x:c r="P280" s="7">
        <x:f>IF(M280="","",M280*O280)</x:f>
      </x:c>
      <x:c r="Q280" s="7">
        <x:f>IF(M280="","",M280+P280)</x:f>
      </x:c>
      <x:c r="R280" s="7">
        <x:f>IF(K280&lt;&gt;"Paid",0,IF(C280="Income",Q280,-Q280))</x:f>
      </x:c>
      <x:c r="S280" s="14">
        <x:f>IF(A280="","",DATE(YEAR(A280),MONTH(A280),1))</x:f>
      </x:c>
      <x:c r="T280" s="14">
        <x:f>IF(L280="","",DATE(YEAR(L280),MONTH(L280),1))</x:f>
      </x:c>
    </x:row>
    <x:row r="281">
      <x:c r="A281" s="11" t="n"/>
      <x:c r="B281" s="5" t="n"/>
      <x:c r="C281" s="12" t="n"/>
      <x:c r="D281" s="12" t="n"/>
      <x:c r="E281" s="12" t="n"/>
      <x:c r="F281" s="12" t="n"/>
      <x:c r="G281" s="13">
        <x:f>IF(F281="","",IFERROR(VLOOKUP(F281,Master_Data!$E$24:$G$33,2,FALSE),"9999"))</x:f>
      </x:c>
      <x:c r="H281" s="12" t="n"/>
      <x:c r="I281" s="12" t="n"/>
      <x:c r="J281" s="12" t="n"/>
      <x:c r="K281" s="12" t="n"/>
      <x:c r="L281" s="11" t="n"/>
      <x:c r="M281" s="9" t="n"/>
      <x:c r="N281" s="12" t="n"/>
      <x:c r="O281" s="6">
        <x:f>IF(N281="","",IFERROR(VLOOKUP(N281,Master_Data!$A$5:$C$8,3,FALSE),0))</x:f>
      </x:c>
      <x:c r="P281" s="7">
        <x:f>IF(M281="","",M281*O281)</x:f>
      </x:c>
      <x:c r="Q281" s="7">
        <x:f>IF(M281="","",M281+P281)</x:f>
      </x:c>
      <x:c r="R281" s="7">
        <x:f>IF(K281&lt;&gt;"Paid",0,IF(C281="Income",Q281,-Q281))</x:f>
      </x:c>
      <x:c r="S281" s="14">
        <x:f>IF(A281="","",DATE(YEAR(A281),MONTH(A281),1))</x:f>
      </x:c>
      <x:c r="T281" s="14">
        <x:f>IF(L281="","",DATE(YEAR(L281),MONTH(L281),1))</x:f>
      </x:c>
    </x:row>
    <x:row r="282">
      <x:c r="A282" s="11" t="n"/>
      <x:c r="B282" s="5" t="n"/>
      <x:c r="C282" s="12" t="n"/>
      <x:c r="D282" s="12" t="n"/>
      <x:c r="E282" s="12" t="n"/>
      <x:c r="F282" s="12" t="n"/>
      <x:c r="G282" s="13">
        <x:f>IF(F282="","",IFERROR(VLOOKUP(F282,Master_Data!$E$24:$G$33,2,FALSE),"9999"))</x:f>
      </x:c>
      <x:c r="H282" s="12" t="n"/>
      <x:c r="I282" s="12" t="n"/>
      <x:c r="J282" s="12" t="n"/>
      <x:c r="K282" s="12" t="n"/>
      <x:c r="L282" s="11" t="n"/>
      <x:c r="M282" s="9" t="n"/>
      <x:c r="N282" s="12" t="n"/>
      <x:c r="O282" s="6">
        <x:f>IF(N282="","",IFERROR(VLOOKUP(N282,Master_Data!$A$5:$C$8,3,FALSE),0))</x:f>
      </x:c>
      <x:c r="P282" s="7">
        <x:f>IF(M282="","",M282*O282)</x:f>
      </x:c>
      <x:c r="Q282" s="7">
        <x:f>IF(M282="","",M282+P282)</x:f>
      </x:c>
      <x:c r="R282" s="7">
        <x:f>IF(K282&lt;&gt;"Paid",0,IF(C282="Income",Q282,-Q282))</x:f>
      </x:c>
      <x:c r="S282" s="14">
        <x:f>IF(A282="","",DATE(YEAR(A282),MONTH(A282),1))</x:f>
      </x:c>
      <x:c r="T282" s="14">
        <x:f>IF(L282="","",DATE(YEAR(L282),MONTH(L282),1))</x:f>
      </x:c>
    </x:row>
    <x:row r="283">
      <x:c r="A283" s="11" t="n"/>
      <x:c r="B283" s="5" t="n"/>
      <x:c r="C283" s="12" t="n"/>
      <x:c r="D283" s="12" t="n"/>
      <x:c r="E283" s="12" t="n"/>
      <x:c r="F283" s="12" t="n"/>
      <x:c r="G283" s="13">
        <x:f>IF(F283="","",IFERROR(VLOOKUP(F283,Master_Data!$E$24:$G$33,2,FALSE),"9999"))</x:f>
      </x:c>
      <x:c r="H283" s="12" t="n"/>
      <x:c r="I283" s="12" t="n"/>
      <x:c r="J283" s="12" t="n"/>
      <x:c r="K283" s="12" t="n"/>
      <x:c r="L283" s="11" t="n"/>
      <x:c r="M283" s="9" t="n"/>
      <x:c r="N283" s="12" t="n"/>
      <x:c r="O283" s="6">
        <x:f>IF(N283="","",IFERROR(VLOOKUP(N283,Master_Data!$A$5:$C$8,3,FALSE),0))</x:f>
      </x:c>
      <x:c r="P283" s="7">
        <x:f>IF(M283="","",M283*O283)</x:f>
      </x:c>
      <x:c r="Q283" s="7">
        <x:f>IF(M283="","",M283+P283)</x:f>
      </x:c>
      <x:c r="R283" s="7">
        <x:f>IF(K283&lt;&gt;"Paid",0,IF(C283="Income",Q283,-Q283))</x:f>
      </x:c>
      <x:c r="S283" s="14">
        <x:f>IF(A283="","",DATE(YEAR(A283),MONTH(A283),1))</x:f>
      </x:c>
      <x:c r="T283" s="14">
        <x:f>IF(L283="","",DATE(YEAR(L283),MONTH(L283),1))</x:f>
      </x:c>
    </x:row>
    <x:row r="284">
      <x:c r="A284" s="11" t="n"/>
      <x:c r="B284" s="5" t="n"/>
      <x:c r="C284" s="12" t="n"/>
      <x:c r="D284" s="12" t="n"/>
      <x:c r="E284" s="12" t="n"/>
      <x:c r="F284" s="12" t="n"/>
      <x:c r="G284" s="13">
        <x:f>IF(F284="","",IFERROR(VLOOKUP(F284,Master_Data!$E$24:$G$33,2,FALSE),"9999"))</x:f>
      </x:c>
      <x:c r="H284" s="12" t="n"/>
      <x:c r="I284" s="12" t="n"/>
      <x:c r="J284" s="12" t="n"/>
      <x:c r="K284" s="12" t="n"/>
      <x:c r="L284" s="11" t="n"/>
      <x:c r="M284" s="9" t="n"/>
      <x:c r="N284" s="12" t="n"/>
      <x:c r="O284" s="6">
        <x:f>IF(N284="","",IFERROR(VLOOKUP(N284,Master_Data!$A$5:$C$8,3,FALSE),0))</x:f>
      </x:c>
      <x:c r="P284" s="7">
        <x:f>IF(M284="","",M284*O284)</x:f>
      </x:c>
      <x:c r="Q284" s="7">
        <x:f>IF(M284="","",M284+P284)</x:f>
      </x:c>
      <x:c r="R284" s="7">
        <x:f>IF(K284&lt;&gt;"Paid",0,IF(C284="Income",Q284,-Q284))</x:f>
      </x:c>
      <x:c r="S284" s="14">
        <x:f>IF(A284="","",DATE(YEAR(A284),MONTH(A284),1))</x:f>
      </x:c>
      <x:c r="T284" s="14">
        <x:f>IF(L284="","",DATE(YEAR(L284),MONTH(L284),1))</x:f>
      </x:c>
    </x:row>
    <x:row r="285">
      <x:c r="A285" s="11" t="n"/>
      <x:c r="B285" s="5" t="n"/>
      <x:c r="C285" s="12" t="n"/>
      <x:c r="D285" s="12" t="n"/>
      <x:c r="E285" s="12" t="n"/>
      <x:c r="F285" s="12" t="n"/>
      <x:c r="G285" s="13">
        <x:f>IF(F285="","",IFERROR(VLOOKUP(F285,Master_Data!$E$24:$G$33,2,FALSE),"9999"))</x:f>
      </x:c>
      <x:c r="H285" s="12" t="n"/>
      <x:c r="I285" s="12" t="n"/>
      <x:c r="J285" s="12" t="n"/>
      <x:c r="K285" s="12" t="n"/>
      <x:c r="L285" s="11" t="n"/>
      <x:c r="M285" s="9" t="n"/>
      <x:c r="N285" s="12" t="n"/>
      <x:c r="O285" s="6">
        <x:f>IF(N285="","",IFERROR(VLOOKUP(N285,Master_Data!$A$5:$C$8,3,FALSE),0))</x:f>
      </x:c>
      <x:c r="P285" s="7">
        <x:f>IF(M285="","",M285*O285)</x:f>
      </x:c>
      <x:c r="Q285" s="7">
        <x:f>IF(M285="","",M285+P285)</x:f>
      </x:c>
      <x:c r="R285" s="7">
        <x:f>IF(K285&lt;&gt;"Paid",0,IF(C285="Income",Q285,-Q285))</x:f>
      </x:c>
      <x:c r="S285" s="14">
        <x:f>IF(A285="","",DATE(YEAR(A285),MONTH(A285),1))</x:f>
      </x:c>
      <x:c r="T285" s="14">
        <x:f>IF(L285="","",DATE(YEAR(L285),MONTH(L285),1))</x:f>
      </x:c>
    </x:row>
    <x:row r="286">
      <x:c r="A286" s="11" t="n"/>
      <x:c r="B286" s="5" t="n"/>
      <x:c r="C286" s="12" t="n"/>
      <x:c r="D286" s="12" t="n"/>
      <x:c r="E286" s="12" t="n"/>
      <x:c r="F286" s="12" t="n"/>
      <x:c r="G286" s="13">
        <x:f>IF(F286="","",IFERROR(VLOOKUP(F286,Master_Data!$E$24:$G$33,2,FALSE),"9999"))</x:f>
      </x:c>
      <x:c r="H286" s="12" t="n"/>
      <x:c r="I286" s="12" t="n"/>
      <x:c r="J286" s="12" t="n"/>
      <x:c r="K286" s="12" t="n"/>
      <x:c r="L286" s="11" t="n"/>
      <x:c r="M286" s="9" t="n"/>
      <x:c r="N286" s="12" t="n"/>
      <x:c r="O286" s="6">
        <x:f>IF(N286="","",IFERROR(VLOOKUP(N286,Master_Data!$A$5:$C$8,3,FALSE),0))</x:f>
      </x:c>
      <x:c r="P286" s="7">
        <x:f>IF(M286="","",M286*O286)</x:f>
      </x:c>
      <x:c r="Q286" s="7">
        <x:f>IF(M286="","",M286+P286)</x:f>
      </x:c>
      <x:c r="R286" s="7">
        <x:f>IF(K286&lt;&gt;"Paid",0,IF(C286="Income",Q286,-Q286))</x:f>
      </x:c>
      <x:c r="S286" s="14">
        <x:f>IF(A286="","",DATE(YEAR(A286),MONTH(A286),1))</x:f>
      </x:c>
      <x:c r="T286" s="14">
        <x:f>IF(L286="","",DATE(YEAR(L286),MONTH(L286),1))</x:f>
      </x:c>
    </x:row>
    <x:row r="287">
      <x:c r="A287" s="11" t="n"/>
      <x:c r="B287" s="5" t="n"/>
      <x:c r="C287" s="12" t="n"/>
      <x:c r="D287" s="12" t="n"/>
      <x:c r="E287" s="12" t="n"/>
      <x:c r="F287" s="12" t="n"/>
      <x:c r="G287" s="13">
        <x:f>IF(F287="","",IFERROR(VLOOKUP(F287,Master_Data!$E$24:$G$33,2,FALSE),"9999"))</x:f>
      </x:c>
      <x:c r="H287" s="12" t="n"/>
      <x:c r="I287" s="12" t="n"/>
      <x:c r="J287" s="12" t="n"/>
      <x:c r="K287" s="12" t="n"/>
      <x:c r="L287" s="11" t="n"/>
      <x:c r="M287" s="9" t="n"/>
      <x:c r="N287" s="12" t="n"/>
      <x:c r="O287" s="6">
        <x:f>IF(N287="","",IFERROR(VLOOKUP(N287,Master_Data!$A$5:$C$8,3,FALSE),0))</x:f>
      </x:c>
      <x:c r="P287" s="7">
        <x:f>IF(M287="","",M287*O287)</x:f>
      </x:c>
      <x:c r="Q287" s="7">
        <x:f>IF(M287="","",M287+P287)</x:f>
      </x:c>
      <x:c r="R287" s="7">
        <x:f>IF(K287&lt;&gt;"Paid",0,IF(C287="Income",Q287,-Q287))</x:f>
      </x:c>
      <x:c r="S287" s="14">
        <x:f>IF(A287="","",DATE(YEAR(A287),MONTH(A287),1))</x:f>
      </x:c>
      <x:c r="T287" s="14">
        <x:f>IF(L287="","",DATE(YEAR(L287),MONTH(L287),1))</x:f>
      </x:c>
    </x:row>
    <x:row r="288">
      <x:c r="A288" s="11" t="n"/>
      <x:c r="B288" s="5" t="n"/>
      <x:c r="C288" s="12" t="n"/>
      <x:c r="D288" s="12" t="n"/>
      <x:c r="E288" s="12" t="n"/>
      <x:c r="F288" s="12" t="n"/>
      <x:c r="G288" s="13">
        <x:f>IF(F288="","",IFERROR(VLOOKUP(F288,Master_Data!$E$24:$G$33,2,FALSE),"9999"))</x:f>
      </x:c>
      <x:c r="H288" s="12" t="n"/>
      <x:c r="I288" s="12" t="n"/>
      <x:c r="J288" s="12" t="n"/>
      <x:c r="K288" s="12" t="n"/>
      <x:c r="L288" s="11" t="n"/>
      <x:c r="M288" s="9" t="n"/>
      <x:c r="N288" s="12" t="n"/>
      <x:c r="O288" s="6">
        <x:f>IF(N288="","",IFERROR(VLOOKUP(N288,Master_Data!$A$5:$C$8,3,FALSE),0))</x:f>
      </x:c>
      <x:c r="P288" s="7">
        <x:f>IF(M288="","",M288*O288)</x:f>
      </x:c>
      <x:c r="Q288" s="7">
        <x:f>IF(M288="","",M288+P288)</x:f>
      </x:c>
      <x:c r="R288" s="7">
        <x:f>IF(K288&lt;&gt;"Paid",0,IF(C288="Income",Q288,-Q288))</x:f>
      </x:c>
      <x:c r="S288" s="14">
        <x:f>IF(A288="","",DATE(YEAR(A288),MONTH(A288),1))</x:f>
      </x:c>
      <x:c r="T288" s="14">
        <x:f>IF(L288="","",DATE(YEAR(L288),MONTH(L288),1))</x:f>
      </x:c>
    </x:row>
    <x:row r="289">
      <x:c r="A289" s="11" t="n"/>
      <x:c r="B289" s="5" t="n"/>
      <x:c r="C289" s="12" t="n"/>
      <x:c r="D289" s="12" t="n"/>
      <x:c r="E289" s="12" t="n"/>
      <x:c r="F289" s="12" t="n"/>
      <x:c r="G289" s="13">
        <x:f>IF(F289="","",IFERROR(VLOOKUP(F289,Master_Data!$E$24:$G$33,2,FALSE),"9999"))</x:f>
      </x:c>
      <x:c r="H289" s="12" t="n"/>
      <x:c r="I289" s="12" t="n"/>
      <x:c r="J289" s="12" t="n"/>
      <x:c r="K289" s="12" t="n"/>
      <x:c r="L289" s="11" t="n"/>
      <x:c r="M289" s="9" t="n"/>
      <x:c r="N289" s="12" t="n"/>
      <x:c r="O289" s="6">
        <x:f>IF(N289="","",IFERROR(VLOOKUP(N289,Master_Data!$A$5:$C$8,3,FALSE),0))</x:f>
      </x:c>
      <x:c r="P289" s="7">
        <x:f>IF(M289="","",M289*O289)</x:f>
      </x:c>
      <x:c r="Q289" s="7">
        <x:f>IF(M289="","",M289+P289)</x:f>
      </x:c>
      <x:c r="R289" s="7">
        <x:f>IF(K289&lt;&gt;"Paid",0,IF(C289="Income",Q289,-Q289))</x:f>
      </x:c>
      <x:c r="S289" s="14">
        <x:f>IF(A289="","",DATE(YEAR(A289),MONTH(A289),1))</x:f>
      </x:c>
      <x:c r="T289" s="14">
        <x:f>IF(L289="","",DATE(YEAR(L289),MONTH(L289),1))</x:f>
      </x:c>
    </x:row>
    <x:row r="290">
      <x:c r="A290" s="11" t="n"/>
      <x:c r="B290" s="5" t="n"/>
      <x:c r="C290" s="12" t="n"/>
      <x:c r="D290" s="12" t="n"/>
      <x:c r="E290" s="12" t="n"/>
      <x:c r="F290" s="12" t="n"/>
      <x:c r="G290" s="13">
        <x:f>IF(F290="","",IFERROR(VLOOKUP(F290,Master_Data!$E$24:$G$33,2,FALSE),"9999"))</x:f>
      </x:c>
      <x:c r="H290" s="12" t="n"/>
      <x:c r="I290" s="12" t="n"/>
      <x:c r="J290" s="12" t="n"/>
      <x:c r="K290" s="12" t="n"/>
      <x:c r="L290" s="11" t="n"/>
      <x:c r="M290" s="9" t="n"/>
      <x:c r="N290" s="12" t="n"/>
      <x:c r="O290" s="6">
        <x:f>IF(N290="","",IFERROR(VLOOKUP(N290,Master_Data!$A$5:$C$8,3,FALSE),0))</x:f>
      </x:c>
      <x:c r="P290" s="7">
        <x:f>IF(M290="","",M290*O290)</x:f>
      </x:c>
      <x:c r="Q290" s="7">
        <x:f>IF(M290="","",M290+P290)</x:f>
      </x:c>
      <x:c r="R290" s="7">
        <x:f>IF(K290&lt;&gt;"Paid",0,IF(C290="Income",Q290,-Q290))</x:f>
      </x:c>
      <x:c r="S290" s="14">
        <x:f>IF(A290="","",DATE(YEAR(A290),MONTH(A290),1))</x:f>
      </x:c>
      <x:c r="T290" s="14">
        <x:f>IF(L290="","",DATE(YEAR(L290),MONTH(L290),1))</x:f>
      </x:c>
    </x:row>
    <x:row r="291">
      <x:c r="A291" s="11" t="n"/>
      <x:c r="B291" s="5" t="n"/>
      <x:c r="C291" s="12" t="n"/>
      <x:c r="D291" s="12" t="n"/>
      <x:c r="E291" s="12" t="n"/>
      <x:c r="F291" s="12" t="n"/>
      <x:c r="G291" s="13">
        <x:f>IF(F291="","",IFERROR(VLOOKUP(F291,Master_Data!$E$24:$G$33,2,FALSE),"9999"))</x:f>
      </x:c>
      <x:c r="H291" s="12" t="n"/>
      <x:c r="I291" s="12" t="n"/>
      <x:c r="J291" s="12" t="n"/>
      <x:c r="K291" s="12" t="n"/>
      <x:c r="L291" s="11" t="n"/>
      <x:c r="M291" s="9" t="n"/>
      <x:c r="N291" s="12" t="n"/>
      <x:c r="O291" s="6">
        <x:f>IF(N291="","",IFERROR(VLOOKUP(N291,Master_Data!$A$5:$C$8,3,FALSE),0))</x:f>
      </x:c>
      <x:c r="P291" s="7">
        <x:f>IF(M291="","",M291*O291)</x:f>
      </x:c>
      <x:c r="Q291" s="7">
        <x:f>IF(M291="","",M291+P291)</x:f>
      </x:c>
      <x:c r="R291" s="7">
        <x:f>IF(K291&lt;&gt;"Paid",0,IF(C291="Income",Q291,-Q291))</x:f>
      </x:c>
      <x:c r="S291" s="14">
        <x:f>IF(A291="","",DATE(YEAR(A291),MONTH(A291),1))</x:f>
      </x:c>
      <x:c r="T291" s="14">
        <x:f>IF(L291="","",DATE(YEAR(L291),MONTH(L291),1))</x:f>
      </x:c>
    </x:row>
    <x:row r="292">
      <x:c r="A292" s="11" t="n"/>
      <x:c r="B292" s="5" t="n"/>
      <x:c r="C292" s="12" t="n"/>
      <x:c r="D292" s="12" t="n"/>
      <x:c r="E292" s="12" t="n"/>
      <x:c r="F292" s="12" t="n"/>
      <x:c r="G292" s="13">
        <x:f>IF(F292="","",IFERROR(VLOOKUP(F292,Master_Data!$E$24:$G$33,2,FALSE),"9999"))</x:f>
      </x:c>
      <x:c r="H292" s="12" t="n"/>
      <x:c r="I292" s="12" t="n"/>
      <x:c r="J292" s="12" t="n"/>
      <x:c r="K292" s="12" t="n"/>
      <x:c r="L292" s="11" t="n"/>
      <x:c r="M292" s="9" t="n"/>
      <x:c r="N292" s="12" t="n"/>
      <x:c r="O292" s="6">
        <x:f>IF(N292="","",IFERROR(VLOOKUP(N292,Master_Data!$A$5:$C$8,3,FALSE),0))</x:f>
      </x:c>
      <x:c r="P292" s="7">
        <x:f>IF(M292="","",M292*O292)</x:f>
      </x:c>
      <x:c r="Q292" s="7">
        <x:f>IF(M292="","",M292+P292)</x:f>
      </x:c>
      <x:c r="R292" s="7">
        <x:f>IF(K292&lt;&gt;"Paid",0,IF(C292="Income",Q292,-Q292))</x:f>
      </x:c>
      <x:c r="S292" s="14">
        <x:f>IF(A292="","",DATE(YEAR(A292),MONTH(A292),1))</x:f>
      </x:c>
      <x:c r="T292" s="14">
        <x:f>IF(L292="","",DATE(YEAR(L292),MONTH(L292),1))</x:f>
      </x:c>
    </x:row>
    <x:row r="293">
      <x:c r="A293" s="11" t="n"/>
      <x:c r="B293" s="5" t="n"/>
      <x:c r="C293" s="12" t="n"/>
      <x:c r="D293" s="12" t="n"/>
      <x:c r="E293" s="12" t="n"/>
      <x:c r="F293" s="12" t="n"/>
      <x:c r="G293" s="13">
        <x:f>IF(F293="","",IFERROR(VLOOKUP(F293,Master_Data!$E$24:$G$33,2,FALSE),"9999"))</x:f>
      </x:c>
      <x:c r="H293" s="12" t="n"/>
      <x:c r="I293" s="12" t="n"/>
      <x:c r="J293" s="12" t="n"/>
      <x:c r="K293" s="12" t="n"/>
      <x:c r="L293" s="11" t="n"/>
      <x:c r="M293" s="9" t="n"/>
      <x:c r="N293" s="12" t="n"/>
      <x:c r="O293" s="6">
        <x:f>IF(N293="","",IFERROR(VLOOKUP(N293,Master_Data!$A$5:$C$8,3,FALSE),0))</x:f>
      </x:c>
      <x:c r="P293" s="7">
        <x:f>IF(M293="","",M293*O293)</x:f>
      </x:c>
      <x:c r="Q293" s="7">
        <x:f>IF(M293="","",M293+P293)</x:f>
      </x:c>
      <x:c r="R293" s="7">
        <x:f>IF(K293&lt;&gt;"Paid",0,IF(C293="Income",Q293,-Q293))</x:f>
      </x:c>
      <x:c r="S293" s="14">
        <x:f>IF(A293="","",DATE(YEAR(A293),MONTH(A293),1))</x:f>
      </x:c>
      <x:c r="T293" s="14">
        <x:f>IF(L293="","",DATE(YEAR(L293),MONTH(L293),1))</x:f>
      </x:c>
    </x:row>
    <x:row r="294">
      <x:c r="A294" s="11" t="n"/>
      <x:c r="B294" s="5" t="n"/>
      <x:c r="C294" s="12" t="n"/>
      <x:c r="D294" s="12" t="n"/>
      <x:c r="E294" s="12" t="n"/>
      <x:c r="F294" s="12" t="n"/>
      <x:c r="G294" s="13">
        <x:f>IF(F294="","",IFERROR(VLOOKUP(F294,Master_Data!$E$24:$G$33,2,FALSE),"9999"))</x:f>
      </x:c>
      <x:c r="H294" s="12" t="n"/>
      <x:c r="I294" s="12" t="n"/>
      <x:c r="J294" s="12" t="n"/>
      <x:c r="K294" s="12" t="n"/>
      <x:c r="L294" s="11" t="n"/>
      <x:c r="M294" s="9" t="n"/>
      <x:c r="N294" s="12" t="n"/>
      <x:c r="O294" s="6">
        <x:f>IF(N294="","",IFERROR(VLOOKUP(N294,Master_Data!$A$5:$C$8,3,FALSE),0))</x:f>
      </x:c>
      <x:c r="P294" s="7">
        <x:f>IF(M294="","",M294*O294)</x:f>
      </x:c>
      <x:c r="Q294" s="7">
        <x:f>IF(M294="","",M294+P294)</x:f>
      </x:c>
      <x:c r="R294" s="7">
        <x:f>IF(K294&lt;&gt;"Paid",0,IF(C294="Income",Q294,-Q294))</x:f>
      </x:c>
      <x:c r="S294" s="14">
        <x:f>IF(A294="","",DATE(YEAR(A294),MONTH(A294),1))</x:f>
      </x:c>
      <x:c r="T294" s="14">
        <x:f>IF(L294="","",DATE(YEAR(L294),MONTH(L294),1))</x:f>
      </x:c>
    </x:row>
    <x:row r="295">
      <x:c r="A295" s="11" t="n"/>
      <x:c r="B295" s="5" t="n"/>
      <x:c r="C295" s="12" t="n"/>
      <x:c r="D295" s="12" t="n"/>
      <x:c r="E295" s="12" t="n"/>
      <x:c r="F295" s="12" t="n"/>
      <x:c r="G295" s="13">
        <x:f>IF(F295="","",IFERROR(VLOOKUP(F295,Master_Data!$E$24:$G$33,2,FALSE),"9999"))</x:f>
      </x:c>
      <x:c r="H295" s="12" t="n"/>
      <x:c r="I295" s="12" t="n"/>
      <x:c r="J295" s="12" t="n"/>
      <x:c r="K295" s="12" t="n"/>
      <x:c r="L295" s="11" t="n"/>
      <x:c r="M295" s="9" t="n"/>
      <x:c r="N295" s="12" t="n"/>
      <x:c r="O295" s="6">
        <x:f>IF(N295="","",IFERROR(VLOOKUP(N295,Master_Data!$A$5:$C$8,3,FALSE),0))</x:f>
      </x:c>
      <x:c r="P295" s="7">
        <x:f>IF(M295="","",M295*O295)</x:f>
      </x:c>
      <x:c r="Q295" s="7">
        <x:f>IF(M295="","",M295+P295)</x:f>
      </x:c>
      <x:c r="R295" s="7">
        <x:f>IF(K295&lt;&gt;"Paid",0,IF(C295="Income",Q295,-Q295))</x:f>
      </x:c>
      <x:c r="S295" s="14">
        <x:f>IF(A295="","",DATE(YEAR(A295),MONTH(A295),1))</x:f>
      </x:c>
      <x:c r="T295" s="14">
        <x:f>IF(L295="","",DATE(YEAR(L295),MONTH(L295),1))</x:f>
      </x:c>
    </x:row>
    <x:row r="296">
      <x:c r="A296" s="11" t="n"/>
      <x:c r="B296" s="5" t="n"/>
      <x:c r="C296" s="12" t="n"/>
      <x:c r="D296" s="12" t="n"/>
      <x:c r="E296" s="12" t="n"/>
      <x:c r="F296" s="12" t="n"/>
      <x:c r="G296" s="13">
        <x:f>IF(F296="","",IFERROR(VLOOKUP(F296,Master_Data!$E$24:$G$33,2,FALSE),"9999"))</x:f>
      </x:c>
      <x:c r="H296" s="12" t="n"/>
      <x:c r="I296" s="12" t="n"/>
      <x:c r="J296" s="12" t="n"/>
      <x:c r="K296" s="12" t="n"/>
      <x:c r="L296" s="11" t="n"/>
      <x:c r="M296" s="9" t="n"/>
      <x:c r="N296" s="12" t="n"/>
      <x:c r="O296" s="6">
        <x:f>IF(N296="","",IFERROR(VLOOKUP(N296,Master_Data!$A$5:$C$8,3,FALSE),0))</x:f>
      </x:c>
      <x:c r="P296" s="7">
        <x:f>IF(M296="","",M296*O296)</x:f>
      </x:c>
      <x:c r="Q296" s="7">
        <x:f>IF(M296="","",M296+P296)</x:f>
      </x:c>
      <x:c r="R296" s="7">
        <x:f>IF(K296&lt;&gt;"Paid",0,IF(C296="Income",Q296,-Q296))</x:f>
      </x:c>
      <x:c r="S296" s="14">
        <x:f>IF(A296="","",DATE(YEAR(A296),MONTH(A296),1))</x:f>
      </x:c>
      <x:c r="T296" s="14">
        <x:f>IF(L296="","",DATE(YEAR(L296),MONTH(L296),1))</x:f>
      </x:c>
    </x:row>
    <x:row r="297">
      <x:c r="A297" s="11" t="n"/>
      <x:c r="B297" s="5" t="n"/>
      <x:c r="C297" s="12" t="n"/>
      <x:c r="D297" s="12" t="n"/>
      <x:c r="E297" s="12" t="n"/>
      <x:c r="F297" s="12" t="n"/>
      <x:c r="G297" s="13">
        <x:f>IF(F297="","",IFERROR(VLOOKUP(F297,Master_Data!$E$24:$G$33,2,FALSE),"9999"))</x:f>
      </x:c>
      <x:c r="H297" s="12" t="n"/>
      <x:c r="I297" s="12" t="n"/>
      <x:c r="J297" s="12" t="n"/>
      <x:c r="K297" s="12" t="n"/>
      <x:c r="L297" s="11" t="n"/>
      <x:c r="M297" s="9" t="n"/>
      <x:c r="N297" s="12" t="n"/>
      <x:c r="O297" s="6">
        <x:f>IF(N297="","",IFERROR(VLOOKUP(N297,Master_Data!$A$5:$C$8,3,FALSE),0))</x:f>
      </x:c>
      <x:c r="P297" s="7">
        <x:f>IF(M297="","",M297*O297)</x:f>
      </x:c>
      <x:c r="Q297" s="7">
        <x:f>IF(M297="","",M297+P297)</x:f>
      </x:c>
      <x:c r="R297" s="7">
        <x:f>IF(K297&lt;&gt;"Paid",0,IF(C297="Income",Q297,-Q297))</x:f>
      </x:c>
      <x:c r="S297" s="14">
        <x:f>IF(A297="","",DATE(YEAR(A297),MONTH(A297),1))</x:f>
      </x:c>
      <x:c r="T297" s="14">
        <x:f>IF(L297="","",DATE(YEAR(L297),MONTH(L297),1))</x:f>
      </x:c>
    </x:row>
    <x:row r="298">
      <x:c r="A298" s="11" t="n"/>
      <x:c r="B298" s="5" t="n"/>
      <x:c r="C298" s="12" t="n"/>
      <x:c r="D298" s="12" t="n"/>
      <x:c r="E298" s="12" t="n"/>
      <x:c r="F298" s="12" t="n"/>
      <x:c r="G298" s="13">
        <x:f>IF(F298="","",IFERROR(VLOOKUP(F298,Master_Data!$E$24:$G$33,2,FALSE),"9999"))</x:f>
      </x:c>
      <x:c r="H298" s="12" t="n"/>
      <x:c r="I298" s="12" t="n"/>
      <x:c r="J298" s="12" t="n"/>
      <x:c r="K298" s="12" t="n"/>
      <x:c r="L298" s="11" t="n"/>
      <x:c r="M298" s="9" t="n"/>
      <x:c r="N298" s="12" t="n"/>
      <x:c r="O298" s="6">
        <x:f>IF(N298="","",IFERROR(VLOOKUP(N298,Master_Data!$A$5:$C$8,3,FALSE),0))</x:f>
      </x:c>
      <x:c r="P298" s="7">
        <x:f>IF(M298="","",M298*O298)</x:f>
      </x:c>
      <x:c r="Q298" s="7">
        <x:f>IF(M298="","",M298+P298)</x:f>
      </x:c>
      <x:c r="R298" s="7">
        <x:f>IF(K298&lt;&gt;"Paid",0,IF(C298="Income",Q298,-Q298))</x:f>
      </x:c>
      <x:c r="S298" s="14">
        <x:f>IF(A298="","",DATE(YEAR(A298),MONTH(A298),1))</x:f>
      </x:c>
      <x:c r="T298" s="14">
        <x:f>IF(L298="","",DATE(YEAR(L298),MONTH(L298),1))</x:f>
      </x:c>
    </x:row>
    <x:row r="299">
      <x:c r="A299" s="11" t="n"/>
      <x:c r="B299" s="5" t="n"/>
      <x:c r="C299" s="12" t="n"/>
      <x:c r="D299" s="12" t="n"/>
      <x:c r="E299" s="12" t="n"/>
      <x:c r="F299" s="12" t="n"/>
      <x:c r="G299" s="13">
        <x:f>IF(F299="","",IFERROR(VLOOKUP(F299,Master_Data!$E$24:$G$33,2,FALSE),"9999"))</x:f>
      </x:c>
      <x:c r="H299" s="12" t="n"/>
      <x:c r="I299" s="12" t="n"/>
      <x:c r="J299" s="12" t="n"/>
      <x:c r="K299" s="12" t="n"/>
      <x:c r="L299" s="11" t="n"/>
      <x:c r="M299" s="9" t="n"/>
      <x:c r="N299" s="12" t="n"/>
      <x:c r="O299" s="6">
        <x:f>IF(N299="","",IFERROR(VLOOKUP(N299,Master_Data!$A$5:$C$8,3,FALSE),0))</x:f>
      </x:c>
      <x:c r="P299" s="7">
        <x:f>IF(M299="","",M299*O299)</x:f>
      </x:c>
      <x:c r="Q299" s="7">
        <x:f>IF(M299="","",M299+P299)</x:f>
      </x:c>
      <x:c r="R299" s="7">
        <x:f>IF(K299&lt;&gt;"Paid",0,IF(C299="Income",Q299,-Q299))</x:f>
      </x:c>
      <x:c r="S299" s="14">
        <x:f>IF(A299="","",DATE(YEAR(A299),MONTH(A299),1))</x:f>
      </x:c>
      <x:c r="T299" s="14">
        <x:f>IF(L299="","",DATE(YEAR(L299),MONTH(L299),1))</x:f>
      </x:c>
    </x:row>
    <x:row r="300">
      <x:c r="A300" s="11" t="n"/>
      <x:c r="B300" s="5" t="n"/>
      <x:c r="C300" s="12" t="n"/>
      <x:c r="D300" s="12" t="n"/>
      <x:c r="E300" s="12" t="n"/>
      <x:c r="F300" s="12" t="n"/>
      <x:c r="G300" s="13">
        <x:f>IF(F300="","",IFERROR(VLOOKUP(F300,Master_Data!$E$24:$G$33,2,FALSE),"9999"))</x:f>
      </x:c>
      <x:c r="H300" s="12" t="n"/>
      <x:c r="I300" s="12" t="n"/>
      <x:c r="J300" s="12" t="n"/>
      <x:c r="K300" s="12" t="n"/>
      <x:c r="L300" s="11" t="n"/>
      <x:c r="M300" s="9" t="n"/>
      <x:c r="N300" s="12" t="n"/>
      <x:c r="O300" s="6">
        <x:f>IF(N300="","",IFERROR(VLOOKUP(N300,Master_Data!$A$5:$C$8,3,FALSE),0))</x:f>
      </x:c>
      <x:c r="P300" s="7">
        <x:f>IF(M300="","",M300*O300)</x:f>
      </x:c>
      <x:c r="Q300" s="7">
        <x:f>IF(M300="","",M300+P300)</x:f>
      </x:c>
      <x:c r="R300" s="7">
        <x:f>IF(K300&lt;&gt;"Paid",0,IF(C300="Income",Q300,-Q300))</x:f>
      </x:c>
      <x:c r="S300" s="14">
        <x:f>IF(A300="","",DATE(YEAR(A300),MONTH(A300),1))</x:f>
      </x:c>
      <x:c r="T300" s="14">
        <x:f>IF(L300="","",DATE(YEAR(L300),MONTH(L300),1))</x:f>
      </x:c>
    </x:row>
    <x:row r="301">
      <x:c r="A301" s="11" t="n"/>
      <x:c r="B301" s="5" t="n"/>
      <x:c r="C301" s="12" t="n"/>
      <x:c r="D301" s="12" t="n"/>
      <x:c r="E301" s="12" t="n"/>
      <x:c r="F301" s="12" t="n"/>
      <x:c r="G301" s="13">
        <x:f>IF(F301="","",IFERROR(VLOOKUP(F301,Master_Data!$E$24:$G$33,2,FALSE),"9999"))</x:f>
      </x:c>
      <x:c r="H301" s="12" t="n"/>
      <x:c r="I301" s="12" t="n"/>
      <x:c r="J301" s="12" t="n"/>
      <x:c r="K301" s="12" t="n"/>
      <x:c r="L301" s="11" t="n"/>
      <x:c r="M301" s="9" t="n"/>
      <x:c r="N301" s="12" t="n"/>
      <x:c r="O301" s="6">
        <x:f>IF(N301="","",IFERROR(VLOOKUP(N301,Master_Data!$A$5:$C$8,3,FALSE),0))</x:f>
      </x:c>
      <x:c r="P301" s="7">
        <x:f>IF(M301="","",M301*O301)</x:f>
      </x:c>
      <x:c r="Q301" s="7">
        <x:f>IF(M301="","",M301+P301)</x:f>
      </x:c>
      <x:c r="R301" s="7">
        <x:f>IF(K301&lt;&gt;"Paid",0,IF(C301="Income",Q301,-Q301))</x:f>
      </x:c>
      <x:c r="S301" s="14">
        <x:f>IF(A301="","",DATE(YEAR(A301),MONTH(A301),1))</x:f>
      </x:c>
      <x:c r="T301" s="14">
        <x:f>IF(L301="","",DATE(YEAR(L301),MONTH(L301),1))</x:f>
      </x:c>
    </x:row>
    <x:row r="302">
      <x:c r="A302" s="11" t="n"/>
      <x:c r="B302" s="5" t="n"/>
      <x:c r="C302" s="12" t="n"/>
      <x:c r="D302" s="12" t="n"/>
      <x:c r="E302" s="12" t="n"/>
      <x:c r="F302" s="12" t="n"/>
      <x:c r="G302" s="13">
        <x:f>IF(F302="","",IFERROR(VLOOKUP(F302,Master_Data!$E$24:$G$33,2,FALSE),"9999"))</x:f>
      </x:c>
      <x:c r="H302" s="12" t="n"/>
      <x:c r="I302" s="12" t="n"/>
      <x:c r="J302" s="12" t="n"/>
      <x:c r="K302" s="12" t="n"/>
      <x:c r="L302" s="11" t="n"/>
      <x:c r="M302" s="9" t="n"/>
      <x:c r="N302" s="12" t="n"/>
      <x:c r="O302" s="6">
        <x:f>IF(N302="","",IFERROR(VLOOKUP(N302,Master_Data!$A$5:$C$8,3,FALSE),0))</x:f>
      </x:c>
      <x:c r="P302" s="7">
        <x:f>IF(M302="","",M302*O302)</x:f>
      </x:c>
      <x:c r="Q302" s="7">
        <x:f>IF(M302="","",M302+P302)</x:f>
      </x:c>
      <x:c r="R302" s="7">
        <x:f>IF(K302&lt;&gt;"Paid",0,IF(C302="Income",Q302,-Q302))</x:f>
      </x:c>
      <x:c r="S302" s="14">
        <x:f>IF(A302="","",DATE(YEAR(A302),MONTH(A302),1))</x:f>
      </x:c>
      <x:c r="T302" s="14">
        <x:f>IF(L302="","",DATE(YEAR(L302),MONTH(L302),1))</x:f>
      </x:c>
    </x:row>
    <x:row r="303">
      <x:c r="A303" s="11" t="n"/>
      <x:c r="B303" s="5" t="n"/>
      <x:c r="C303" s="12" t="n"/>
      <x:c r="D303" s="12" t="n"/>
      <x:c r="E303" s="12" t="n"/>
      <x:c r="F303" s="12" t="n"/>
      <x:c r="G303" s="13">
        <x:f>IF(F303="","",IFERROR(VLOOKUP(F303,Master_Data!$E$24:$G$33,2,FALSE),"9999"))</x:f>
      </x:c>
      <x:c r="H303" s="12" t="n"/>
      <x:c r="I303" s="12" t="n"/>
      <x:c r="J303" s="12" t="n"/>
      <x:c r="K303" s="12" t="n"/>
      <x:c r="L303" s="11" t="n"/>
      <x:c r="M303" s="9" t="n"/>
      <x:c r="N303" s="12" t="n"/>
      <x:c r="O303" s="6">
        <x:f>IF(N303="","",IFERROR(VLOOKUP(N303,Master_Data!$A$5:$C$8,3,FALSE),0))</x:f>
      </x:c>
      <x:c r="P303" s="7">
        <x:f>IF(M303="","",M303*O303)</x:f>
      </x:c>
      <x:c r="Q303" s="7">
        <x:f>IF(M303="","",M303+P303)</x:f>
      </x:c>
      <x:c r="R303" s="7">
        <x:f>IF(K303&lt;&gt;"Paid",0,IF(C303="Income",Q303,-Q303))</x:f>
      </x:c>
      <x:c r="S303" s="14">
        <x:f>IF(A303="","",DATE(YEAR(A303),MONTH(A303),1))</x:f>
      </x:c>
      <x:c r="T303" s="14">
        <x:f>IF(L303="","",DATE(YEAR(L303),MONTH(L303),1))</x:f>
      </x:c>
    </x:row>
    <x:row r="304">
      <x:c r="A304" s="11" t="n"/>
      <x:c r="B304" s="5" t="n"/>
      <x:c r="C304" s="12" t="n"/>
      <x:c r="D304" s="12" t="n"/>
      <x:c r="E304" s="12" t="n"/>
      <x:c r="F304" s="12" t="n"/>
      <x:c r="G304" s="13">
        <x:f>IF(F304="","",IFERROR(VLOOKUP(F304,Master_Data!$E$24:$G$33,2,FALSE),"9999"))</x:f>
      </x:c>
      <x:c r="H304" s="12" t="n"/>
      <x:c r="I304" s="12" t="n"/>
      <x:c r="J304" s="12" t="n"/>
      <x:c r="K304" s="12" t="n"/>
      <x:c r="L304" s="11" t="n"/>
      <x:c r="M304" s="9" t="n"/>
      <x:c r="N304" s="12" t="n"/>
      <x:c r="O304" s="6">
        <x:f>IF(N304="","",IFERROR(VLOOKUP(N304,Master_Data!$A$5:$C$8,3,FALSE),0))</x:f>
      </x:c>
      <x:c r="P304" s="7">
        <x:f>IF(M304="","",M304*O304)</x:f>
      </x:c>
      <x:c r="Q304" s="7">
        <x:f>IF(M304="","",M304+P304)</x:f>
      </x:c>
      <x:c r="R304" s="7">
        <x:f>IF(K304&lt;&gt;"Paid",0,IF(C304="Income",Q304,-Q304))</x:f>
      </x:c>
      <x:c r="S304" s="14">
        <x:f>IF(A304="","",DATE(YEAR(A304),MONTH(A304),1))</x:f>
      </x:c>
      <x:c r="T304" s="14">
        <x:f>IF(L304="","",DATE(YEAR(L304),MONTH(L304),1))</x:f>
      </x:c>
    </x:row>
    <x:row r="305">
      <x:c r="A305" s="11" t="n"/>
      <x:c r="B305" s="5" t="n"/>
      <x:c r="C305" s="12" t="n"/>
      <x:c r="D305" s="12" t="n"/>
      <x:c r="E305" s="12" t="n"/>
      <x:c r="F305" s="12" t="n"/>
      <x:c r="G305" s="13">
        <x:f>IF(F305="","",IFERROR(VLOOKUP(F305,Master_Data!$E$24:$G$33,2,FALSE),"9999"))</x:f>
      </x:c>
      <x:c r="H305" s="12" t="n"/>
      <x:c r="I305" s="12" t="n"/>
      <x:c r="J305" s="12" t="n"/>
      <x:c r="K305" s="12" t="n"/>
      <x:c r="L305" s="11" t="n"/>
      <x:c r="M305" s="9" t="n"/>
      <x:c r="N305" s="12" t="n"/>
      <x:c r="O305" s="6">
        <x:f>IF(N305="","",IFERROR(VLOOKUP(N305,Master_Data!$A$5:$C$8,3,FALSE),0))</x:f>
      </x:c>
      <x:c r="P305" s="7">
        <x:f>IF(M305="","",M305*O305)</x:f>
      </x:c>
      <x:c r="Q305" s="7">
        <x:f>IF(M305="","",M305+P305)</x:f>
      </x:c>
      <x:c r="R305" s="7">
        <x:f>IF(K305&lt;&gt;"Paid",0,IF(C305="Income",Q305,-Q305))</x:f>
      </x:c>
      <x:c r="S305" s="14">
        <x:f>IF(A305="","",DATE(YEAR(A305),MONTH(A305),1))</x:f>
      </x:c>
      <x:c r="T305" s="14">
        <x:f>IF(L305="","",DATE(YEAR(L305),MONTH(L305),1))</x:f>
      </x:c>
    </x:row>
    <x:row r="306">
      <x:c r="A306" s="11" t="n"/>
      <x:c r="B306" s="5" t="n"/>
      <x:c r="C306" s="12" t="n"/>
      <x:c r="D306" s="12" t="n"/>
      <x:c r="E306" s="12" t="n"/>
      <x:c r="F306" s="12" t="n"/>
      <x:c r="G306" s="13">
        <x:f>IF(F306="","",IFERROR(VLOOKUP(F306,Master_Data!$E$24:$G$33,2,FALSE),"9999"))</x:f>
      </x:c>
      <x:c r="H306" s="12" t="n"/>
      <x:c r="I306" s="12" t="n"/>
      <x:c r="J306" s="12" t="n"/>
      <x:c r="K306" s="12" t="n"/>
      <x:c r="L306" s="11" t="n"/>
      <x:c r="M306" s="9" t="n"/>
      <x:c r="N306" s="12" t="n"/>
      <x:c r="O306" s="6">
        <x:f>IF(N306="","",IFERROR(VLOOKUP(N306,Master_Data!$A$5:$C$8,3,FALSE),0))</x:f>
      </x:c>
      <x:c r="P306" s="7">
        <x:f>IF(M306="","",M306*O306)</x:f>
      </x:c>
      <x:c r="Q306" s="7">
        <x:f>IF(M306="","",M306+P306)</x:f>
      </x:c>
      <x:c r="R306" s="7">
        <x:f>IF(K306&lt;&gt;"Paid",0,IF(C306="Income",Q306,-Q306))</x:f>
      </x:c>
      <x:c r="S306" s="14">
        <x:f>IF(A306="","",DATE(YEAR(A306),MONTH(A306),1))</x:f>
      </x:c>
      <x:c r="T306" s="14">
        <x:f>IF(L306="","",DATE(YEAR(L306),MONTH(L306),1))</x:f>
      </x:c>
    </x:row>
    <x:row r="307">
      <x:c r="A307" s="11" t="n"/>
      <x:c r="B307" s="5" t="n"/>
      <x:c r="C307" s="12" t="n"/>
      <x:c r="D307" s="12" t="n"/>
      <x:c r="E307" s="12" t="n"/>
      <x:c r="F307" s="12" t="n"/>
      <x:c r="G307" s="13">
        <x:f>IF(F307="","",IFERROR(VLOOKUP(F307,Master_Data!$E$24:$G$33,2,FALSE),"9999"))</x:f>
      </x:c>
      <x:c r="H307" s="12" t="n"/>
      <x:c r="I307" s="12" t="n"/>
      <x:c r="J307" s="12" t="n"/>
      <x:c r="K307" s="12" t="n"/>
      <x:c r="L307" s="11" t="n"/>
      <x:c r="M307" s="9" t="n"/>
      <x:c r="N307" s="12" t="n"/>
      <x:c r="O307" s="6">
        <x:f>IF(N307="","",IFERROR(VLOOKUP(N307,Master_Data!$A$5:$C$8,3,FALSE),0))</x:f>
      </x:c>
      <x:c r="P307" s="7">
        <x:f>IF(M307="","",M307*O307)</x:f>
      </x:c>
      <x:c r="Q307" s="7">
        <x:f>IF(M307="","",M307+P307)</x:f>
      </x:c>
      <x:c r="R307" s="7">
        <x:f>IF(K307&lt;&gt;"Paid",0,IF(C307="Income",Q307,-Q307))</x:f>
      </x:c>
      <x:c r="S307" s="14">
        <x:f>IF(A307="","",DATE(YEAR(A307),MONTH(A307),1))</x:f>
      </x:c>
      <x:c r="T307" s="14">
        <x:f>IF(L307="","",DATE(YEAR(L307),MONTH(L307),1))</x:f>
      </x:c>
    </x:row>
    <x:row r="308">
      <x:c r="A308" s="11" t="n"/>
      <x:c r="B308" s="5" t="n"/>
      <x:c r="C308" s="12" t="n"/>
      <x:c r="D308" s="12" t="n"/>
      <x:c r="E308" s="12" t="n"/>
      <x:c r="F308" s="12" t="n"/>
      <x:c r="G308" s="13">
        <x:f>IF(F308="","",IFERROR(VLOOKUP(F308,Master_Data!$E$24:$G$33,2,FALSE),"9999"))</x:f>
      </x:c>
      <x:c r="H308" s="12" t="n"/>
      <x:c r="I308" s="12" t="n"/>
      <x:c r="J308" s="12" t="n"/>
      <x:c r="K308" s="12" t="n"/>
      <x:c r="L308" s="11" t="n"/>
      <x:c r="M308" s="9" t="n"/>
      <x:c r="N308" s="12" t="n"/>
      <x:c r="O308" s="6">
        <x:f>IF(N308="","",IFERROR(VLOOKUP(N308,Master_Data!$A$5:$C$8,3,FALSE),0))</x:f>
      </x:c>
      <x:c r="P308" s="7">
        <x:f>IF(M308="","",M308*O308)</x:f>
      </x:c>
      <x:c r="Q308" s="7">
        <x:f>IF(M308="","",M308+P308)</x:f>
      </x:c>
      <x:c r="R308" s="7">
        <x:f>IF(K308&lt;&gt;"Paid",0,IF(C308="Income",Q308,-Q308))</x:f>
      </x:c>
      <x:c r="S308" s="14">
        <x:f>IF(A308="","",DATE(YEAR(A308),MONTH(A308),1))</x:f>
      </x:c>
      <x:c r="T308" s="14">
        <x:f>IF(L308="","",DATE(YEAR(L308),MONTH(L308),1))</x:f>
      </x:c>
    </x:row>
    <x:row r="309">
      <x:c r="A309" s="11" t="n"/>
      <x:c r="B309" s="5" t="n"/>
      <x:c r="C309" s="12" t="n"/>
      <x:c r="D309" s="12" t="n"/>
      <x:c r="E309" s="12" t="n"/>
      <x:c r="F309" s="12" t="n"/>
      <x:c r="G309" s="13">
        <x:f>IF(F309="","",IFERROR(VLOOKUP(F309,Master_Data!$E$24:$G$33,2,FALSE),"9999"))</x:f>
      </x:c>
      <x:c r="H309" s="12" t="n"/>
      <x:c r="I309" s="12" t="n"/>
      <x:c r="J309" s="12" t="n"/>
      <x:c r="K309" s="12" t="n"/>
      <x:c r="L309" s="11" t="n"/>
      <x:c r="M309" s="9" t="n"/>
      <x:c r="N309" s="12" t="n"/>
      <x:c r="O309" s="6">
        <x:f>IF(N309="","",IFERROR(VLOOKUP(N309,Master_Data!$A$5:$C$8,3,FALSE),0))</x:f>
      </x:c>
      <x:c r="P309" s="7">
        <x:f>IF(M309="","",M309*O309)</x:f>
      </x:c>
      <x:c r="Q309" s="7">
        <x:f>IF(M309="","",M309+P309)</x:f>
      </x:c>
      <x:c r="R309" s="7">
        <x:f>IF(K309&lt;&gt;"Paid",0,IF(C309="Income",Q309,-Q309))</x:f>
      </x:c>
      <x:c r="S309" s="14">
        <x:f>IF(A309="","",DATE(YEAR(A309),MONTH(A309),1))</x:f>
      </x:c>
      <x:c r="T309" s="14">
        <x:f>IF(L309="","",DATE(YEAR(L309),MONTH(L309),1))</x:f>
      </x:c>
    </x:row>
    <x:row r="310">
      <x:c r="A310" s="11" t="n"/>
      <x:c r="B310" s="5" t="n"/>
      <x:c r="C310" s="12" t="n"/>
      <x:c r="D310" s="12" t="n"/>
      <x:c r="E310" s="12" t="n"/>
      <x:c r="F310" s="12" t="n"/>
      <x:c r="G310" s="13">
        <x:f>IF(F310="","",IFERROR(VLOOKUP(F310,Master_Data!$E$24:$G$33,2,FALSE),"9999"))</x:f>
      </x:c>
      <x:c r="H310" s="12" t="n"/>
      <x:c r="I310" s="12" t="n"/>
      <x:c r="J310" s="12" t="n"/>
      <x:c r="K310" s="12" t="n"/>
      <x:c r="L310" s="11" t="n"/>
      <x:c r="M310" s="9" t="n"/>
      <x:c r="N310" s="12" t="n"/>
      <x:c r="O310" s="6">
        <x:f>IF(N310="","",IFERROR(VLOOKUP(N310,Master_Data!$A$5:$C$8,3,FALSE),0))</x:f>
      </x:c>
      <x:c r="P310" s="7">
        <x:f>IF(M310="","",M310*O310)</x:f>
      </x:c>
      <x:c r="Q310" s="7">
        <x:f>IF(M310="","",M310+P310)</x:f>
      </x:c>
      <x:c r="R310" s="7">
        <x:f>IF(K310&lt;&gt;"Paid",0,IF(C310="Income",Q310,-Q310))</x:f>
      </x:c>
      <x:c r="S310" s="14">
        <x:f>IF(A310="","",DATE(YEAR(A310),MONTH(A310),1))</x:f>
      </x:c>
      <x:c r="T310" s="14">
        <x:f>IF(L310="","",DATE(YEAR(L310),MONTH(L310),1))</x:f>
      </x:c>
    </x:row>
    <x:row r="311">
      <x:c r="A311" s="11" t="n"/>
      <x:c r="B311" s="5" t="n"/>
      <x:c r="C311" s="12" t="n"/>
      <x:c r="D311" s="12" t="n"/>
      <x:c r="E311" s="12" t="n"/>
      <x:c r="F311" s="12" t="n"/>
      <x:c r="G311" s="13">
        <x:f>IF(F311="","",IFERROR(VLOOKUP(F311,Master_Data!$E$24:$G$33,2,FALSE),"9999"))</x:f>
      </x:c>
      <x:c r="H311" s="12" t="n"/>
      <x:c r="I311" s="12" t="n"/>
      <x:c r="J311" s="12" t="n"/>
      <x:c r="K311" s="12" t="n"/>
      <x:c r="L311" s="11" t="n"/>
      <x:c r="M311" s="9" t="n"/>
      <x:c r="N311" s="12" t="n"/>
      <x:c r="O311" s="6">
        <x:f>IF(N311="","",IFERROR(VLOOKUP(N311,Master_Data!$A$5:$C$8,3,FALSE),0))</x:f>
      </x:c>
      <x:c r="P311" s="7">
        <x:f>IF(M311="","",M311*O311)</x:f>
      </x:c>
      <x:c r="Q311" s="7">
        <x:f>IF(M311="","",M311+P311)</x:f>
      </x:c>
      <x:c r="R311" s="7">
        <x:f>IF(K311&lt;&gt;"Paid",0,IF(C311="Income",Q311,-Q311))</x:f>
      </x:c>
      <x:c r="S311" s="14">
        <x:f>IF(A311="","",DATE(YEAR(A311),MONTH(A311),1))</x:f>
      </x:c>
      <x:c r="T311" s="14">
        <x:f>IF(L311="","",DATE(YEAR(L311),MONTH(L311),1))</x:f>
      </x:c>
    </x:row>
    <x:row r="312">
      <x:c r="A312" s="11" t="n"/>
      <x:c r="B312" s="5" t="n"/>
      <x:c r="C312" s="12" t="n"/>
      <x:c r="D312" s="12" t="n"/>
      <x:c r="E312" s="12" t="n"/>
      <x:c r="F312" s="12" t="n"/>
      <x:c r="G312" s="13">
        <x:f>IF(F312="","",IFERROR(VLOOKUP(F312,Master_Data!$E$24:$G$33,2,FALSE),"9999"))</x:f>
      </x:c>
      <x:c r="H312" s="12" t="n"/>
      <x:c r="I312" s="12" t="n"/>
      <x:c r="J312" s="12" t="n"/>
      <x:c r="K312" s="12" t="n"/>
      <x:c r="L312" s="11" t="n"/>
      <x:c r="M312" s="9" t="n"/>
      <x:c r="N312" s="12" t="n"/>
      <x:c r="O312" s="6">
        <x:f>IF(N312="","",IFERROR(VLOOKUP(N312,Master_Data!$A$5:$C$8,3,FALSE),0))</x:f>
      </x:c>
      <x:c r="P312" s="7">
        <x:f>IF(M312="","",M312*O312)</x:f>
      </x:c>
      <x:c r="Q312" s="7">
        <x:f>IF(M312="","",M312+P312)</x:f>
      </x:c>
      <x:c r="R312" s="7">
        <x:f>IF(K312&lt;&gt;"Paid",0,IF(C312="Income",Q312,-Q312))</x:f>
      </x:c>
      <x:c r="S312" s="14">
        <x:f>IF(A312="","",DATE(YEAR(A312),MONTH(A312),1))</x:f>
      </x:c>
      <x:c r="T312" s="14">
        <x:f>IF(L312="","",DATE(YEAR(L312),MONTH(L312),1))</x:f>
      </x:c>
    </x:row>
    <x:row r="313">
      <x:c r="A313" s="11" t="n"/>
      <x:c r="B313" s="5" t="n"/>
      <x:c r="C313" s="12" t="n"/>
      <x:c r="D313" s="12" t="n"/>
      <x:c r="E313" s="12" t="n"/>
      <x:c r="F313" s="12" t="n"/>
      <x:c r="G313" s="13">
        <x:f>IF(F313="","",IFERROR(VLOOKUP(F313,Master_Data!$E$24:$G$33,2,FALSE),"9999"))</x:f>
      </x:c>
      <x:c r="H313" s="12" t="n"/>
      <x:c r="I313" s="12" t="n"/>
      <x:c r="J313" s="12" t="n"/>
      <x:c r="K313" s="12" t="n"/>
      <x:c r="L313" s="11" t="n"/>
      <x:c r="M313" s="9" t="n"/>
      <x:c r="N313" s="12" t="n"/>
      <x:c r="O313" s="6">
        <x:f>IF(N313="","",IFERROR(VLOOKUP(N313,Master_Data!$A$5:$C$8,3,FALSE),0))</x:f>
      </x:c>
      <x:c r="P313" s="7">
        <x:f>IF(M313="","",M313*O313)</x:f>
      </x:c>
      <x:c r="Q313" s="7">
        <x:f>IF(M313="","",M313+P313)</x:f>
      </x:c>
      <x:c r="R313" s="7">
        <x:f>IF(K313&lt;&gt;"Paid",0,IF(C313="Income",Q313,-Q313))</x:f>
      </x:c>
      <x:c r="S313" s="14">
        <x:f>IF(A313="","",DATE(YEAR(A313),MONTH(A313),1))</x:f>
      </x:c>
      <x:c r="T313" s="14">
        <x:f>IF(L313="","",DATE(YEAR(L313),MONTH(L313),1))</x:f>
      </x:c>
    </x:row>
    <x:row r="314">
      <x:c r="A314" s="11" t="n"/>
      <x:c r="B314" s="5" t="n"/>
      <x:c r="C314" s="12" t="n"/>
      <x:c r="D314" s="12" t="n"/>
      <x:c r="E314" s="12" t="n"/>
      <x:c r="F314" s="12" t="n"/>
      <x:c r="G314" s="13">
        <x:f>IF(F314="","",IFERROR(VLOOKUP(F314,Master_Data!$E$24:$G$33,2,FALSE),"9999"))</x:f>
      </x:c>
      <x:c r="H314" s="12" t="n"/>
      <x:c r="I314" s="12" t="n"/>
      <x:c r="J314" s="12" t="n"/>
      <x:c r="K314" s="12" t="n"/>
      <x:c r="L314" s="11" t="n"/>
      <x:c r="M314" s="9" t="n"/>
      <x:c r="N314" s="12" t="n"/>
      <x:c r="O314" s="6">
        <x:f>IF(N314="","",IFERROR(VLOOKUP(N314,Master_Data!$A$5:$C$8,3,FALSE),0))</x:f>
      </x:c>
      <x:c r="P314" s="7">
        <x:f>IF(M314="","",M314*O314)</x:f>
      </x:c>
      <x:c r="Q314" s="7">
        <x:f>IF(M314="","",M314+P314)</x:f>
      </x:c>
      <x:c r="R314" s="7">
        <x:f>IF(K314&lt;&gt;"Paid",0,IF(C314="Income",Q314,-Q314))</x:f>
      </x:c>
      <x:c r="S314" s="14">
        <x:f>IF(A314="","",DATE(YEAR(A314),MONTH(A314),1))</x:f>
      </x:c>
      <x:c r="T314" s="14">
        <x:f>IF(L314="","",DATE(YEAR(L314),MONTH(L314),1))</x:f>
      </x:c>
    </x:row>
    <x:row r="315">
      <x:c r="A315" s="11" t="n"/>
      <x:c r="B315" s="5" t="n"/>
      <x:c r="C315" s="12" t="n"/>
      <x:c r="D315" s="12" t="n"/>
      <x:c r="E315" s="12" t="n"/>
      <x:c r="F315" s="12" t="n"/>
      <x:c r="G315" s="13">
        <x:f>IF(F315="","",IFERROR(VLOOKUP(F315,Master_Data!$E$24:$G$33,2,FALSE),"9999"))</x:f>
      </x:c>
      <x:c r="H315" s="12" t="n"/>
      <x:c r="I315" s="12" t="n"/>
      <x:c r="J315" s="12" t="n"/>
      <x:c r="K315" s="12" t="n"/>
      <x:c r="L315" s="11" t="n"/>
      <x:c r="M315" s="9" t="n"/>
      <x:c r="N315" s="12" t="n"/>
      <x:c r="O315" s="6">
        <x:f>IF(N315="","",IFERROR(VLOOKUP(N315,Master_Data!$A$5:$C$8,3,FALSE),0))</x:f>
      </x:c>
      <x:c r="P315" s="7">
        <x:f>IF(M315="","",M315*O315)</x:f>
      </x:c>
      <x:c r="Q315" s="7">
        <x:f>IF(M315="","",M315+P315)</x:f>
      </x:c>
      <x:c r="R315" s="7">
        <x:f>IF(K315&lt;&gt;"Paid",0,IF(C315="Income",Q315,-Q315))</x:f>
      </x:c>
      <x:c r="S315" s="14">
        <x:f>IF(A315="","",DATE(YEAR(A315),MONTH(A315),1))</x:f>
      </x:c>
      <x:c r="T315" s="14">
        <x:f>IF(L315="","",DATE(YEAR(L315),MONTH(L315),1))</x:f>
      </x:c>
    </x:row>
    <x:row r="316">
      <x:c r="A316" s="11" t="n"/>
      <x:c r="B316" s="5" t="n"/>
      <x:c r="C316" s="12" t="n"/>
      <x:c r="D316" s="12" t="n"/>
      <x:c r="E316" s="12" t="n"/>
      <x:c r="F316" s="12" t="n"/>
      <x:c r="G316" s="13">
        <x:f>IF(F316="","",IFERROR(VLOOKUP(F316,Master_Data!$E$24:$G$33,2,FALSE),"9999"))</x:f>
      </x:c>
      <x:c r="H316" s="12" t="n"/>
      <x:c r="I316" s="12" t="n"/>
      <x:c r="J316" s="12" t="n"/>
      <x:c r="K316" s="12" t="n"/>
      <x:c r="L316" s="11" t="n"/>
      <x:c r="M316" s="9" t="n"/>
      <x:c r="N316" s="12" t="n"/>
      <x:c r="O316" s="6">
        <x:f>IF(N316="","",IFERROR(VLOOKUP(N316,Master_Data!$A$5:$C$8,3,FALSE),0))</x:f>
      </x:c>
      <x:c r="P316" s="7">
        <x:f>IF(M316="","",M316*O316)</x:f>
      </x:c>
      <x:c r="Q316" s="7">
        <x:f>IF(M316="","",M316+P316)</x:f>
      </x:c>
      <x:c r="R316" s="7">
        <x:f>IF(K316&lt;&gt;"Paid",0,IF(C316="Income",Q316,-Q316))</x:f>
      </x:c>
      <x:c r="S316" s="14">
        <x:f>IF(A316="","",DATE(YEAR(A316),MONTH(A316),1))</x:f>
      </x:c>
      <x:c r="T316" s="14">
        <x:f>IF(L316="","",DATE(YEAR(L316),MONTH(L316),1))</x:f>
      </x:c>
    </x:row>
    <x:row r="317">
      <x:c r="A317" s="11" t="n"/>
      <x:c r="B317" s="5" t="n"/>
      <x:c r="C317" s="12" t="n"/>
      <x:c r="D317" s="12" t="n"/>
      <x:c r="E317" s="12" t="n"/>
      <x:c r="F317" s="12" t="n"/>
      <x:c r="G317" s="13">
        <x:f>IF(F317="","",IFERROR(VLOOKUP(F317,Master_Data!$E$24:$G$33,2,FALSE),"9999"))</x:f>
      </x:c>
      <x:c r="H317" s="12" t="n"/>
      <x:c r="I317" s="12" t="n"/>
      <x:c r="J317" s="12" t="n"/>
      <x:c r="K317" s="12" t="n"/>
      <x:c r="L317" s="11" t="n"/>
      <x:c r="M317" s="9" t="n"/>
      <x:c r="N317" s="12" t="n"/>
      <x:c r="O317" s="6">
        <x:f>IF(N317="","",IFERROR(VLOOKUP(N317,Master_Data!$A$5:$C$8,3,FALSE),0))</x:f>
      </x:c>
      <x:c r="P317" s="7">
        <x:f>IF(M317="","",M317*O317)</x:f>
      </x:c>
      <x:c r="Q317" s="7">
        <x:f>IF(M317="","",M317+P317)</x:f>
      </x:c>
      <x:c r="R317" s="7">
        <x:f>IF(K317&lt;&gt;"Paid",0,IF(C317="Income",Q317,-Q317))</x:f>
      </x:c>
      <x:c r="S317" s="14">
        <x:f>IF(A317="","",DATE(YEAR(A317),MONTH(A317),1))</x:f>
      </x:c>
      <x:c r="T317" s="14">
        <x:f>IF(L317="","",DATE(YEAR(L317),MONTH(L317),1))</x:f>
      </x:c>
    </x:row>
    <x:row r="318">
      <x:c r="A318" s="11" t="n"/>
      <x:c r="B318" s="5" t="n"/>
      <x:c r="C318" s="12" t="n"/>
      <x:c r="D318" s="12" t="n"/>
      <x:c r="E318" s="12" t="n"/>
      <x:c r="F318" s="12" t="n"/>
      <x:c r="G318" s="13">
        <x:f>IF(F318="","",IFERROR(VLOOKUP(F318,Master_Data!$E$24:$G$33,2,FALSE),"9999"))</x:f>
      </x:c>
      <x:c r="H318" s="12" t="n"/>
      <x:c r="I318" s="12" t="n"/>
      <x:c r="J318" s="12" t="n"/>
      <x:c r="K318" s="12" t="n"/>
      <x:c r="L318" s="11" t="n"/>
      <x:c r="M318" s="9" t="n"/>
      <x:c r="N318" s="12" t="n"/>
      <x:c r="O318" s="6">
        <x:f>IF(N318="","",IFERROR(VLOOKUP(N318,Master_Data!$A$5:$C$8,3,FALSE),0))</x:f>
      </x:c>
      <x:c r="P318" s="7">
        <x:f>IF(M318="","",M318*O318)</x:f>
      </x:c>
      <x:c r="Q318" s="7">
        <x:f>IF(M318="","",M318+P318)</x:f>
      </x:c>
      <x:c r="R318" s="7">
        <x:f>IF(K318&lt;&gt;"Paid",0,IF(C318="Income",Q318,-Q318))</x:f>
      </x:c>
      <x:c r="S318" s="14">
        <x:f>IF(A318="","",DATE(YEAR(A318),MONTH(A318),1))</x:f>
      </x:c>
      <x:c r="T318" s="14">
        <x:f>IF(L318="","",DATE(YEAR(L318),MONTH(L318),1))</x:f>
      </x:c>
    </x:row>
    <x:row r="319">
      <x:c r="A319" s="11" t="n"/>
      <x:c r="B319" s="5" t="n"/>
      <x:c r="C319" s="12" t="n"/>
      <x:c r="D319" s="12" t="n"/>
      <x:c r="E319" s="12" t="n"/>
      <x:c r="F319" s="12" t="n"/>
      <x:c r="G319" s="13">
        <x:f>IF(F319="","",IFERROR(VLOOKUP(F319,Master_Data!$E$24:$G$33,2,FALSE),"9999"))</x:f>
      </x:c>
      <x:c r="H319" s="12" t="n"/>
      <x:c r="I319" s="12" t="n"/>
      <x:c r="J319" s="12" t="n"/>
      <x:c r="K319" s="12" t="n"/>
      <x:c r="L319" s="11" t="n"/>
      <x:c r="M319" s="9" t="n"/>
      <x:c r="N319" s="12" t="n"/>
      <x:c r="O319" s="6">
        <x:f>IF(N319="","",IFERROR(VLOOKUP(N319,Master_Data!$A$5:$C$8,3,FALSE),0))</x:f>
      </x:c>
      <x:c r="P319" s="7">
        <x:f>IF(M319="","",M319*O319)</x:f>
      </x:c>
      <x:c r="Q319" s="7">
        <x:f>IF(M319="","",M319+P319)</x:f>
      </x:c>
      <x:c r="R319" s="7">
        <x:f>IF(K319&lt;&gt;"Paid",0,IF(C319="Income",Q319,-Q319))</x:f>
      </x:c>
      <x:c r="S319" s="14">
        <x:f>IF(A319="","",DATE(YEAR(A319),MONTH(A319),1))</x:f>
      </x:c>
      <x:c r="T319" s="14">
        <x:f>IF(L319="","",DATE(YEAR(L319),MONTH(L319),1))</x:f>
      </x:c>
    </x:row>
    <x:row r="320">
      <x:c r="A320" s="11" t="n"/>
      <x:c r="B320" s="5" t="n"/>
      <x:c r="C320" s="12" t="n"/>
      <x:c r="D320" s="12" t="n"/>
      <x:c r="E320" s="12" t="n"/>
      <x:c r="F320" s="12" t="n"/>
      <x:c r="G320" s="13">
        <x:f>IF(F320="","",IFERROR(VLOOKUP(F320,Master_Data!$E$24:$G$33,2,FALSE),"9999"))</x:f>
      </x:c>
      <x:c r="H320" s="12" t="n"/>
      <x:c r="I320" s="12" t="n"/>
      <x:c r="J320" s="12" t="n"/>
      <x:c r="K320" s="12" t="n"/>
      <x:c r="L320" s="11" t="n"/>
      <x:c r="M320" s="9" t="n"/>
      <x:c r="N320" s="12" t="n"/>
      <x:c r="O320" s="6">
        <x:f>IF(N320="","",IFERROR(VLOOKUP(N320,Master_Data!$A$5:$C$8,3,FALSE),0))</x:f>
      </x:c>
      <x:c r="P320" s="7">
        <x:f>IF(M320="","",M320*O320)</x:f>
      </x:c>
      <x:c r="Q320" s="7">
        <x:f>IF(M320="","",M320+P320)</x:f>
      </x:c>
      <x:c r="R320" s="7">
        <x:f>IF(K320&lt;&gt;"Paid",0,IF(C320="Income",Q320,-Q320))</x:f>
      </x:c>
      <x:c r="S320" s="14">
        <x:f>IF(A320="","",DATE(YEAR(A320),MONTH(A320),1))</x:f>
      </x:c>
      <x:c r="T320" s="14">
        <x:f>IF(L320="","",DATE(YEAR(L320),MONTH(L320),1))</x:f>
      </x:c>
    </x:row>
    <x:row r="321">
      <x:c r="A321" s="11" t="n"/>
      <x:c r="B321" s="5" t="n"/>
      <x:c r="C321" s="12" t="n"/>
      <x:c r="D321" s="12" t="n"/>
      <x:c r="E321" s="12" t="n"/>
      <x:c r="F321" s="12" t="n"/>
      <x:c r="G321" s="13">
        <x:f>IF(F321="","",IFERROR(VLOOKUP(F321,Master_Data!$E$24:$G$33,2,FALSE),"9999"))</x:f>
      </x:c>
      <x:c r="H321" s="12" t="n"/>
      <x:c r="I321" s="12" t="n"/>
      <x:c r="J321" s="12" t="n"/>
      <x:c r="K321" s="12" t="n"/>
      <x:c r="L321" s="11" t="n"/>
      <x:c r="M321" s="9" t="n"/>
      <x:c r="N321" s="12" t="n"/>
      <x:c r="O321" s="6">
        <x:f>IF(N321="","",IFERROR(VLOOKUP(N321,Master_Data!$A$5:$C$8,3,FALSE),0))</x:f>
      </x:c>
      <x:c r="P321" s="7">
        <x:f>IF(M321="","",M321*O321)</x:f>
      </x:c>
      <x:c r="Q321" s="7">
        <x:f>IF(M321="","",M321+P321)</x:f>
      </x:c>
      <x:c r="R321" s="7">
        <x:f>IF(K321&lt;&gt;"Paid",0,IF(C321="Income",Q321,-Q321))</x:f>
      </x:c>
      <x:c r="S321" s="14">
        <x:f>IF(A321="","",DATE(YEAR(A321),MONTH(A321),1))</x:f>
      </x:c>
      <x:c r="T321" s="14">
        <x:f>IF(L321="","",DATE(YEAR(L321),MONTH(L321),1))</x:f>
      </x:c>
    </x:row>
    <x:row r="322">
      <x:c r="A322" s="11" t="n"/>
      <x:c r="B322" s="5" t="n"/>
      <x:c r="C322" s="12" t="n"/>
      <x:c r="D322" s="12" t="n"/>
      <x:c r="E322" s="12" t="n"/>
      <x:c r="F322" s="12" t="n"/>
      <x:c r="G322" s="13">
        <x:f>IF(F322="","",IFERROR(VLOOKUP(F322,Master_Data!$E$24:$G$33,2,FALSE),"9999"))</x:f>
      </x:c>
      <x:c r="H322" s="12" t="n"/>
      <x:c r="I322" s="12" t="n"/>
      <x:c r="J322" s="12" t="n"/>
      <x:c r="K322" s="12" t="n"/>
      <x:c r="L322" s="11" t="n"/>
      <x:c r="M322" s="9" t="n"/>
      <x:c r="N322" s="12" t="n"/>
      <x:c r="O322" s="6">
        <x:f>IF(N322="","",IFERROR(VLOOKUP(N322,Master_Data!$A$5:$C$8,3,FALSE),0))</x:f>
      </x:c>
      <x:c r="P322" s="7">
        <x:f>IF(M322="","",M322*O322)</x:f>
      </x:c>
      <x:c r="Q322" s="7">
        <x:f>IF(M322="","",M322+P322)</x:f>
      </x:c>
      <x:c r="R322" s="7">
        <x:f>IF(K322&lt;&gt;"Paid",0,IF(C322="Income",Q322,-Q322))</x:f>
      </x:c>
      <x:c r="S322" s="14">
        <x:f>IF(A322="","",DATE(YEAR(A322),MONTH(A322),1))</x:f>
      </x:c>
      <x:c r="T322" s="14">
        <x:f>IF(L322="","",DATE(YEAR(L322),MONTH(L322),1))</x:f>
      </x:c>
    </x:row>
    <x:row r="323">
      <x:c r="A323" s="11" t="n"/>
      <x:c r="B323" s="5" t="n"/>
      <x:c r="C323" s="12" t="n"/>
      <x:c r="D323" s="12" t="n"/>
      <x:c r="E323" s="12" t="n"/>
      <x:c r="F323" s="12" t="n"/>
      <x:c r="G323" s="13">
        <x:f>IF(F323="","",IFERROR(VLOOKUP(F323,Master_Data!$E$24:$G$33,2,FALSE),"9999"))</x:f>
      </x:c>
      <x:c r="H323" s="12" t="n"/>
      <x:c r="I323" s="12" t="n"/>
      <x:c r="J323" s="12" t="n"/>
      <x:c r="K323" s="12" t="n"/>
      <x:c r="L323" s="11" t="n"/>
      <x:c r="M323" s="9" t="n"/>
      <x:c r="N323" s="12" t="n"/>
      <x:c r="O323" s="6">
        <x:f>IF(N323="","",IFERROR(VLOOKUP(N323,Master_Data!$A$5:$C$8,3,FALSE),0))</x:f>
      </x:c>
      <x:c r="P323" s="7">
        <x:f>IF(M323="","",M323*O323)</x:f>
      </x:c>
      <x:c r="Q323" s="7">
        <x:f>IF(M323="","",M323+P323)</x:f>
      </x:c>
      <x:c r="R323" s="7">
        <x:f>IF(K323&lt;&gt;"Paid",0,IF(C323="Income",Q323,-Q323))</x:f>
      </x:c>
      <x:c r="S323" s="14">
        <x:f>IF(A323="","",DATE(YEAR(A323),MONTH(A323),1))</x:f>
      </x:c>
      <x:c r="T323" s="14">
        <x:f>IF(L323="","",DATE(YEAR(L323),MONTH(L323),1))</x:f>
      </x:c>
    </x:row>
    <x:row r="324">
      <x:c r="A324" s="11" t="n"/>
      <x:c r="B324" s="5" t="n"/>
      <x:c r="C324" s="12" t="n"/>
      <x:c r="D324" s="12" t="n"/>
      <x:c r="E324" s="12" t="n"/>
      <x:c r="F324" s="12" t="n"/>
      <x:c r="G324" s="13">
        <x:f>IF(F324="","",IFERROR(VLOOKUP(F324,Master_Data!$E$24:$G$33,2,FALSE),"9999"))</x:f>
      </x:c>
      <x:c r="H324" s="12" t="n"/>
      <x:c r="I324" s="12" t="n"/>
      <x:c r="J324" s="12" t="n"/>
      <x:c r="K324" s="12" t="n"/>
      <x:c r="L324" s="11" t="n"/>
      <x:c r="M324" s="9" t="n"/>
      <x:c r="N324" s="12" t="n"/>
      <x:c r="O324" s="6">
        <x:f>IF(N324="","",IFERROR(VLOOKUP(N324,Master_Data!$A$5:$C$8,3,FALSE),0))</x:f>
      </x:c>
      <x:c r="P324" s="7">
        <x:f>IF(M324="","",M324*O324)</x:f>
      </x:c>
      <x:c r="Q324" s="7">
        <x:f>IF(M324="","",M324+P324)</x:f>
      </x:c>
      <x:c r="R324" s="7">
        <x:f>IF(K324&lt;&gt;"Paid",0,IF(C324="Income",Q324,-Q324))</x:f>
      </x:c>
      <x:c r="S324" s="14">
        <x:f>IF(A324="","",DATE(YEAR(A324),MONTH(A324),1))</x:f>
      </x:c>
      <x:c r="T324" s="14">
        <x:f>IF(L324="","",DATE(YEAR(L324),MONTH(L324),1))</x:f>
      </x:c>
    </x:row>
    <x:row r="325">
      <x:c r="A325" s="11" t="n"/>
      <x:c r="B325" s="5" t="n"/>
      <x:c r="C325" s="12" t="n"/>
      <x:c r="D325" s="12" t="n"/>
      <x:c r="E325" s="12" t="n"/>
      <x:c r="F325" s="12" t="n"/>
      <x:c r="G325" s="13">
        <x:f>IF(F325="","",IFERROR(VLOOKUP(F325,Master_Data!$E$24:$G$33,2,FALSE),"9999"))</x:f>
      </x:c>
      <x:c r="H325" s="12" t="n"/>
      <x:c r="I325" s="12" t="n"/>
      <x:c r="J325" s="12" t="n"/>
      <x:c r="K325" s="12" t="n"/>
      <x:c r="L325" s="11" t="n"/>
      <x:c r="M325" s="9" t="n"/>
      <x:c r="N325" s="12" t="n"/>
      <x:c r="O325" s="6">
        <x:f>IF(N325="","",IFERROR(VLOOKUP(N325,Master_Data!$A$5:$C$8,3,FALSE),0))</x:f>
      </x:c>
      <x:c r="P325" s="7">
        <x:f>IF(M325="","",M325*O325)</x:f>
      </x:c>
      <x:c r="Q325" s="7">
        <x:f>IF(M325="","",M325+P325)</x:f>
      </x:c>
      <x:c r="R325" s="7">
        <x:f>IF(K325&lt;&gt;"Paid",0,IF(C325="Income",Q325,-Q325))</x:f>
      </x:c>
      <x:c r="S325" s="14">
        <x:f>IF(A325="","",DATE(YEAR(A325),MONTH(A325),1))</x:f>
      </x:c>
      <x:c r="T325" s="14">
        <x:f>IF(L325="","",DATE(YEAR(L325),MONTH(L325),1))</x:f>
      </x:c>
    </x:row>
    <x:row r="326">
      <x:c r="A326" s="11" t="n"/>
      <x:c r="B326" s="5" t="n"/>
      <x:c r="C326" s="12" t="n"/>
      <x:c r="D326" s="12" t="n"/>
      <x:c r="E326" s="12" t="n"/>
      <x:c r="F326" s="12" t="n"/>
      <x:c r="G326" s="13">
        <x:f>IF(F326="","",IFERROR(VLOOKUP(F326,Master_Data!$E$24:$G$33,2,FALSE),"9999"))</x:f>
      </x:c>
      <x:c r="H326" s="12" t="n"/>
      <x:c r="I326" s="12" t="n"/>
      <x:c r="J326" s="12" t="n"/>
      <x:c r="K326" s="12" t="n"/>
      <x:c r="L326" s="11" t="n"/>
      <x:c r="M326" s="9" t="n"/>
      <x:c r="N326" s="12" t="n"/>
      <x:c r="O326" s="6">
        <x:f>IF(N326="","",IFERROR(VLOOKUP(N326,Master_Data!$A$5:$C$8,3,FALSE),0))</x:f>
      </x:c>
      <x:c r="P326" s="7">
        <x:f>IF(M326="","",M326*O326)</x:f>
      </x:c>
      <x:c r="Q326" s="7">
        <x:f>IF(M326="","",M326+P326)</x:f>
      </x:c>
      <x:c r="R326" s="7">
        <x:f>IF(K326&lt;&gt;"Paid",0,IF(C326="Income",Q326,-Q326))</x:f>
      </x:c>
      <x:c r="S326" s="14">
        <x:f>IF(A326="","",DATE(YEAR(A326),MONTH(A326),1))</x:f>
      </x:c>
      <x:c r="T326" s="14">
        <x:f>IF(L326="","",DATE(YEAR(L326),MONTH(L326),1))</x:f>
      </x:c>
    </x:row>
    <x:row r="327">
      <x:c r="A327" s="11" t="n"/>
      <x:c r="B327" s="5" t="n"/>
      <x:c r="C327" s="12" t="n"/>
      <x:c r="D327" s="12" t="n"/>
      <x:c r="E327" s="12" t="n"/>
      <x:c r="F327" s="12" t="n"/>
      <x:c r="G327" s="13">
        <x:f>IF(F327="","",IFERROR(VLOOKUP(F327,Master_Data!$E$24:$G$33,2,FALSE),"9999"))</x:f>
      </x:c>
      <x:c r="H327" s="12" t="n"/>
      <x:c r="I327" s="12" t="n"/>
      <x:c r="J327" s="12" t="n"/>
      <x:c r="K327" s="12" t="n"/>
      <x:c r="L327" s="11" t="n"/>
      <x:c r="M327" s="9" t="n"/>
      <x:c r="N327" s="12" t="n"/>
      <x:c r="O327" s="6">
        <x:f>IF(N327="","",IFERROR(VLOOKUP(N327,Master_Data!$A$5:$C$8,3,FALSE),0))</x:f>
      </x:c>
      <x:c r="P327" s="7">
        <x:f>IF(M327="","",M327*O327)</x:f>
      </x:c>
      <x:c r="Q327" s="7">
        <x:f>IF(M327="","",M327+P327)</x:f>
      </x:c>
      <x:c r="R327" s="7">
        <x:f>IF(K327&lt;&gt;"Paid",0,IF(C327="Income",Q327,-Q327))</x:f>
      </x:c>
      <x:c r="S327" s="14">
        <x:f>IF(A327="","",DATE(YEAR(A327),MONTH(A327),1))</x:f>
      </x:c>
      <x:c r="T327" s="14">
        <x:f>IF(L327="","",DATE(YEAR(L327),MONTH(L327),1))</x:f>
      </x:c>
    </x:row>
    <x:row r="328">
      <x:c r="A328" s="11" t="n"/>
      <x:c r="B328" s="5" t="n"/>
      <x:c r="C328" s="12" t="n"/>
      <x:c r="D328" s="12" t="n"/>
      <x:c r="E328" s="12" t="n"/>
      <x:c r="F328" s="12" t="n"/>
      <x:c r="G328" s="13">
        <x:f>IF(F328="","",IFERROR(VLOOKUP(F328,Master_Data!$E$24:$G$33,2,FALSE),"9999"))</x:f>
      </x:c>
      <x:c r="H328" s="12" t="n"/>
      <x:c r="I328" s="12" t="n"/>
      <x:c r="J328" s="12" t="n"/>
      <x:c r="K328" s="12" t="n"/>
      <x:c r="L328" s="11" t="n"/>
      <x:c r="M328" s="9" t="n"/>
      <x:c r="N328" s="12" t="n"/>
      <x:c r="O328" s="6">
        <x:f>IF(N328="","",IFERROR(VLOOKUP(N328,Master_Data!$A$5:$C$8,3,FALSE),0))</x:f>
      </x:c>
      <x:c r="P328" s="7">
        <x:f>IF(M328="","",M328*O328)</x:f>
      </x:c>
      <x:c r="Q328" s="7">
        <x:f>IF(M328="","",M328+P328)</x:f>
      </x:c>
      <x:c r="R328" s="7">
        <x:f>IF(K328&lt;&gt;"Paid",0,IF(C328="Income",Q328,-Q328))</x:f>
      </x:c>
      <x:c r="S328" s="14">
        <x:f>IF(A328="","",DATE(YEAR(A328),MONTH(A328),1))</x:f>
      </x:c>
      <x:c r="T328" s="14">
        <x:f>IF(L328="","",DATE(YEAR(L328),MONTH(L328),1))</x:f>
      </x:c>
    </x:row>
    <x:row r="329">
      <x:c r="A329" s="11" t="n"/>
      <x:c r="B329" s="5" t="n"/>
      <x:c r="C329" s="12" t="n"/>
      <x:c r="D329" s="12" t="n"/>
      <x:c r="E329" s="12" t="n"/>
      <x:c r="F329" s="12" t="n"/>
      <x:c r="G329" s="13">
        <x:f>IF(F329="","",IFERROR(VLOOKUP(F329,Master_Data!$E$24:$G$33,2,FALSE),"9999"))</x:f>
      </x:c>
      <x:c r="H329" s="12" t="n"/>
      <x:c r="I329" s="12" t="n"/>
      <x:c r="J329" s="12" t="n"/>
      <x:c r="K329" s="12" t="n"/>
      <x:c r="L329" s="11" t="n"/>
      <x:c r="M329" s="9" t="n"/>
      <x:c r="N329" s="12" t="n"/>
      <x:c r="O329" s="6">
        <x:f>IF(N329="","",IFERROR(VLOOKUP(N329,Master_Data!$A$5:$C$8,3,FALSE),0))</x:f>
      </x:c>
      <x:c r="P329" s="7">
        <x:f>IF(M329="","",M329*O329)</x:f>
      </x:c>
      <x:c r="Q329" s="7">
        <x:f>IF(M329="","",M329+P329)</x:f>
      </x:c>
      <x:c r="R329" s="7">
        <x:f>IF(K329&lt;&gt;"Paid",0,IF(C329="Income",Q329,-Q329))</x:f>
      </x:c>
      <x:c r="S329" s="14">
        <x:f>IF(A329="","",DATE(YEAR(A329),MONTH(A329),1))</x:f>
      </x:c>
      <x:c r="T329" s="14">
        <x:f>IF(L329="","",DATE(YEAR(L329),MONTH(L329),1))</x:f>
      </x:c>
    </x:row>
    <x:row r="330">
      <x:c r="A330" s="11" t="n"/>
      <x:c r="B330" s="5" t="n"/>
      <x:c r="C330" s="12" t="n"/>
      <x:c r="D330" s="12" t="n"/>
      <x:c r="E330" s="12" t="n"/>
      <x:c r="F330" s="12" t="n"/>
      <x:c r="G330" s="13">
        <x:f>IF(F330="","",IFERROR(VLOOKUP(F330,Master_Data!$E$24:$G$33,2,FALSE),"9999"))</x:f>
      </x:c>
      <x:c r="H330" s="12" t="n"/>
      <x:c r="I330" s="12" t="n"/>
      <x:c r="J330" s="12" t="n"/>
      <x:c r="K330" s="12" t="n"/>
      <x:c r="L330" s="11" t="n"/>
      <x:c r="M330" s="9" t="n"/>
      <x:c r="N330" s="12" t="n"/>
      <x:c r="O330" s="6">
        <x:f>IF(N330="","",IFERROR(VLOOKUP(N330,Master_Data!$A$5:$C$8,3,FALSE),0))</x:f>
      </x:c>
      <x:c r="P330" s="7">
        <x:f>IF(M330="","",M330*O330)</x:f>
      </x:c>
      <x:c r="Q330" s="7">
        <x:f>IF(M330="","",M330+P330)</x:f>
      </x:c>
      <x:c r="R330" s="7">
        <x:f>IF(K330&lt;&gt;"Paid",0,IF(C330="Income",Q330,-Q330))</x:f>
      </x:c>
      <x:c r="S330" s="14">
        <x:f>IF(A330="","",DATE(YEAR(A330),MONTH(A330),1))</x:f>
      </x:c>
      <x:c r="T330" s="14">
        <x:f>IF(L330="","",DATE(YEAR(L330),MONTH(L330),1))</x:f>
      </x:c>
    </x:row>
    <x:row r="331">
      <x:c r="A331" s="11" t="n"/>
      <x:c r="B331" s="5" t="n"/>
      <x:c r="C331" s="12" t="n"/>
      <x:c r="D331" s="12" t="n"/>
      <x:c r="E331" s="12" t="n"/>
      <x:c r="F331" s="12" t="n"/>
      <x:c r="G331" s="13">
        <x:f>IF(F331="","",IFERROR(VLOOKUP(F331,Master_Data!$E$24:$G$33,2,FALSE),"9999"))</x:f>
      </x:c>
      <x:c r="H331" s="12" t="n"/>
      <x:c r="I331" s="12" t="n"/>
      <x:c r="J331" s="12" t="n"/>
      <x:c r="K331" s="12" t="n"/>
      <x:c r="L331" s="11" t="n"/>
      <x:c r="M331" s="9" t="n"/>
      <x:c r="N331" s="12" t="n"/>
      <x:c r="O331" s="6">
        <x:f>IF(N331="","",IFERROR(VLOOKUP(N331,Master_Data!$A$5:$C$8,3,FALSE),0))</x:f>
      </x:c>
      <x:c r="P331" s="7">
        <x:f>IF(M331="","",M331*O331)</x:f>
      </x:c>
      <x:c r="Q331" s="7">
        <x:f>IF(M331="","",M331+P331)</x:f>
      </x:c>
      <x:c r="R331" s="7">
        <x:f>IF(K331&lt;&gt;"Paid",0,IF(C331="Income",Q331,-Q331))</x:f>
      </x:c>
      <x:c r="S331" s="14">
        <x:f>IF(A331="","",DATE(YEAR(A331),MONTH(A331),1))</x:f>
      </x:c>
      <x:c r="T331" s="14">
        <x:f>IF(L331="","",DATE(YEAR(L331),MONTH(L331),1))</x:f>
      </x:c>
    </x:row>
    <x:row r="332">
      <x:c r="A332" s="11" t="n"/>
      <x:c r="B332" s="5" t="n"/>
      <x:c r="C332" s="12" t="n"/>
      <x:c r="D332" s="12" t="n"/>
      <x:c r="E332" s="12" t="n"/>
      <x:c r="F332" s="12" t="n"/>
      <x:c r="G332" s="13">
        <x:f>IF(F332="","",IFERROR(VLOOKUP(F332,Master_Data!$E$24:$G$33,2,FALSE),"9999"))</x:f>
      </x:c>
      <x:c r="H332" s="12" t="n"/>
      <x:c r="I332" s="12" t="n"/>
      <x:c r="J332" s="12" t="n"/>
      <x:c r="K332" s="12" t="n"/>
      <x:c r="L332" s="11" t="n"/>
      <x:c r="M332" s="9" t="n"/>
      <x:c r="N332" s="12" t="n"/>
      <x:c r="O332" s="6">
        <x:f>IF(N332="","",IFERROR(VLOOKUP(N332,Master_Data!$A$5:$C$8,3,FALSE),0))</x:f>
      </x:c>
      <x:c r="P332" s="7">
        <x:f>IF(M332="","",M332*O332)</x:f>
      </x:c>
      <x:c r="Q332" s="7">
        <x:f>IF(M332="","",M332+P332)</x:f>
      </x:c>
      <x:c r="R332" s="7">
        <x:f>IF(K332&lt;&gt;"Paid",0,IF(C332="Income",Q332,-Q332))</x:f>
      </x:c>
      <x:c r="S332" s="14">
        <x:f>IF(A332="","",DATE(YEAR(A332),MONTH(A332),1))</x:f>
      </x:c>
      <x:c r="T332" s="14">
        <x:f>IF(L332="","",DATE(YEAR(L332),MONTH(L332),1))</x:f>
      </x:c>
    </x:row>
    <x:row r="333">
      <x:c r="A333" s="11" t="n"/>
      <x:c r="B333" s="5" t="n"/>
      <x:c r="C333" s="12" t="n"/>
      <x:c r="D333" s="12" t="n"/>
      <x:c r="E333" s="12" t="n"/>
      <x:c r="F333" s="12" t="n"/>
      <x:c r="G333" s="13">
        <x:f>IF(F333="","",IFERROR(VLOOKUP(F333,Master_Data!$E$24:$G$33,2,FALSE),"9999"))</x:f>
      </x:c>
      <x:c r="H333" s="12" t="n"/>
      <x:c r="I333" s="12" t="n"/>
      <x:c r="J333" s="12" t="n"/>
      <x:c r="K333" s="12" t="n"/>
      <x:c r="L333" s="11" t="n"/>
      <x:c r="M333" s="9" t="n"/>
      <x:c r="N333" s="12" t="n"/>
      <x:c r="O333" s="6">
        <x:f>IF(N333="","",IFERROR(VLOOKUP(N333,Master_Data!$A$5:$C$8,3,FALSE),0))</x:f>
      </x:c>
      <x:c r="P333" s="7">
        <x:f>IF(M333="","",M333*O333)</x:f>
      </x:c>
      <x:c r="Q333" s="7">
        <x:f>IF(M333="","",M333+P333)</x:f>
      </x:c>
      <x:c r="R333" s="7">
        <x:f>IF(K333&lt;&gt;"Paid",0,IF(C333="Income",Q333,-Q333))</x:f>
      </x:c>
      <x:c r="S333" s="14">
        <x:f>IF(A333="","",DATE(YEAR(A333),MONTH(A333),1))</x:f>
      </x:c>
      <x:c r="T333" s="14">
        <x:f>IF(L333="","",DATE(YEAR(L333),MONTH(L333),1))</x:f>
      </x:c>
    </x:row>
    <x:row r="334">
      <x:c r="A334" s="11" t="n"/>
      <x:c r="B334" s="5" t="n"/>
      <x:c r="C334" s="12" t="n"/>
      <x:c r="D334" s="12" t="n"/>
      <x:c r="E334" s="12" t="n"/>
      <x:c r="F334" s="12" t="n"/>
      <x:c r="G334" s="13">
        <x:f>IF(F334="","",IFERROR(VLOOKUP(F334,Master_Data!$E$24:$G$33,2,FALSE),"9999"))</x:f>
      </x:c>
      <x:c r="H334" s="12" t="n"/>
      <x:c r="I334" s="12" t="n"/>
      <x:c r="J334" s="12" t="n"/>
      <x:c r="K334" s="12" t="n"/>
      <x:c r="L334" s="11" t="n"/>
      <x:c r="M334" s="9" t="n"/>
      <x:c r="N334" s="12" t="n"/>
      <x:c r="O334" s="6">
        <x:f>IF(N334="","",IFERROR(VLOOKUP(N334,Master_Data!$A$5:$C$8,3,FALSE),0))</x:f>
      </x:c>
      <x:c r="P334" s="7">
        <x:f>IF(M334="","",M334*O334)</x:f>
      </x:c>
      <x:c r="Q334" s="7">
        <x:f>IF(M334="","",M334+P334)</x:f>
      </x:c>
      <x:c r="R334" s="7">
        <x:f>IF(K334&lt;&gt;"Paid",0,IF(C334="Income",Q334,-Q334))</x:f>
      </x:c>
      <x:c r="S334" s="14">
        <x:f>IF(A334="","",DATE(YEAR(A334),MONTH(A334),1))</x:f>
      </x:c>
      <x:c r="T334" s="14">
        <x:f>IF(L334="","",DATE(YEAR(L334),MONTH(L334),1))</x:f>
      </x:c>
    </x:row>
    <x:row r="335">
      <x:c r="A335" s="11" t="n"/>
      <x:c r="B335" s="5" t="n"/>
      <x:c r="C335" s="12" t="n"/>
      <x:c r="D335" s="12" t="n"/>
      <x:c r="E335" s="12" t="n"/>
      <x:c r="F335" s="12" t="n"/>
      <x:c r="G335" s="13">
        <x:f>IF(F335="","",IFERROR(VLOOKUP(F335,Master_Data!$E$24:$G$33,2,FALSE),"9999"))</x:f>
      </x:c>
      <x:c r="H335" s="12" t="n"/>
      <x:c r="I335" s="12" t="n"/>
      <x:c r="J335" s="12" t="n"/>
      <x:c r="K335" s="12" t="n"/>
      <x:c r="L335" s="11" t="n"/>
      <x:c r="M335" s="9" t="n"/>
      <x:c r="N335" s="12" t="n"/>
      <x:c r="O335" s="6">
        <x:f>IF(N335="","",IFERROR(VLOOKUP(N335,Master_Data!$A$5:$C$8,3,FALSE),0))</x:f>
      </x:c>
      <x:c r="P335" s="7">
        <x:f>IF(M335="","",M335*O335)</x:f>
      </x:c>
      <x:c r="Q335" s="7">
        <x:f>IF(M335="","",M335+P335)</x:f>
      </x:c>
      <x:c r="R335" s="7">
        <x:f>IF(K335&lt;&gt;"Paid",0,IF(C335="Income",Q335,-Q335))</x:f>
      </x:c>
      <x:c r="S335" s="14">
        <x:f>IF(A335="","",DATE(YEAR(A335),MONTH(A335),1))</x:f>
      </x:c>
      <x:c r="T335" s="14">
        <x:f>IF(L335="","",DATE(YEAR(L335),MONTH(L335),1))</x:f>
      </x:c>
    </x:row>
    <x:row r="336">
      <x:c r="A336" s="11" t="n"/>
      <x:c r="B336" s="5" t="n"/>
      <x:c r="C336" s="12" t="n"/>
      <x:c r="D336" s="12" t="n"/>
      <x:c r="E336" s="12" t="n"/>
      <x:c r="F336" s="12" t="n"/>
      <x:c r="G336" s="13">
        <x:f>IF(F336="","",IFERROR(VLOOKUP(F336,Master_Data!$E$24:$G$33,2,FALSE),"9999"))</x:f>
      </x:c>
      <x:c r="H336" s="12" t="n"/>
      <x:c r="I336" s="12" t="n"/>
      <x:c r="J336" s="12" t="n"/>
      <x:c r="K336" s="12" t="n"/>
      <x:c r="L336" s="11" t="n"/>
      <x:c r="M336" s="9" t="n"/>
      <x:c r="N336" s="12" t="n"/>
      <x:c r="O336" s="6">
        <x:f>IF(N336="","",IFERROR(VLOOKUP(N336,Master_Data!$A$5:$C$8,3,FALSE),0))</x:f>
      </x:c>
      <x:c r="P336" s="7">
        <x:f>IF(M336="","",M336*O336)</x:f>
      </x:c>
      <x:c r="Q336" s="7">
        <x:f>IF(M336="","",M336+P336)</x:f>
      </x:c>
      <x:c r="R336" s="7">
        <x:f>IF(K336&lt;&gt;"Paid",0,IF(C336="Income",Q336,-Q336))</x:f>
      </x:c>
      <x:c r="S336" s="14">
        <x:f>IF(A336="","",DATE(YEAR(A336),MONTH(A336),1))</x:f>
      </x:c>
      <x:c r="T336" s="14">
        <x:f>IF(L336="","",DATE(YEAR(L336),MONTH(L336),1))</x:f>
      </x:c>
    </x:row>
    <x:row r="337">
      <x:c r="A337" s="11" t="n"/>
      <x:c r="B337" s="5" t="n"/>
      <x:c r="C337" s="12" t="n"/>
      <x:c r="D337" s="12" t="n"/>
      <x:c r="E337" s="12" t="n"/>
      <x:c r="F337" s="12" t="n"/>
      <x:c r="G337" s="13">
        <x:f>IF(F337="","",IFERROR(VLOOKUP(F337,Master_Data!$E$24:$G$33,2,FALSE),"9999"))</x:f>
      </x:c>
      <x:c r="H337" s="12" t="n"/>
      <x:c r="I337" s="12" t="n"/>
      <x:c r="J337" s="12" t="n"/>
      <x:c r="K337" s="12" t="n"/>
      <x:c r="L337" s="11" t="n"/>
      <x:c r="M337" s="9" t="n"/>
      <x:c r="N337" s="12" t="n"/>
      <x:c r="O337" s="6">
        <x:f>IF(N337="","",IFERROR(VLOOKUP(N337,Master_Data!$A$5:$C$8,3,FALSE),0))</x:f>
      </x:c>
      <x:c r="P337" s="7">
        <x:f>IF(M337="","",M337*O337)</x:f>
      </x:c>
      <x:c r="Q337" s="7">
        <x:f>IF(M337="","",M337+P337)</x:f>
      </x:c>
      <x:c r="R337" s="7">
        <x:f>IF(K337&lt;&gt;"Paid",0,IF(C337="Income",Q337,-Q337))</x:f>
      </x:c>
      <x:c r="S337" s="14">
        <x:f>IF(A337="","",DATE(YEAR(A337),MONTH(A337),1))</x:f>
      </x:c>
      <x:c r="T337" s="14">
        <x:f>IF(L337="","",DATE(YEAR(L337),MONTH(L337),1))</x:f>
      </x:c>
    </x:row>
    <x:row r="338">
      <x:c r="A338" s="11" t="n"/>
      <x:c r="B338" s="5" t="n"/>
      <x:c r="C338" s="12" t="n"/>
      <x:c r="D338" s="12" t="n"/>
      <x:c r="E338" s="12" t="n"/>
      <x:c r="F338" s="12" t="n"/>
      <x:c r="G338" s="13">
        <x:f>IF(F338="","",IFERROR(VLOOKUP(F338,Master_Data!$E$24:$G$33,2,FALSE),"9999"))</x:f>
      </x:c>
      <x:c r="H338" s="12" t="n"/>
      <x:c r="I338" s="12" t="n"/>
      <x:c r="J338" s="12" t="n"/>
      <x:c r="K338" s="12" t="n"/>
      <x:c r="L338" s="11" t="n"/>
      <x:c r="M338" s="9" t="n"/>
      <x:c r="N338" s="12" t="n"/>
      <x:c r="O338" s="6">
        <x:f>IF(N338="","",IFERROR(VLOOKUP(N338,Master_Data!$A$5:$C$8,3,FALSE),0))</x:f>
      </x:c>
      <x:c r="P338" s="7">
        <x:f>IF(M338="","",M338*O338)</x:f>
      </x:c>
      <x:c r="Q338" s="7">
        <x:f>IF(M338="","",M338+P338)</x:f>
      </x:c>
      <x:c r="R338" s="7">
        <x:f>IF(K338&lt;&gt;"Paid",0,IF(C338="Income",Q338,-Q338))</x:f>
      </x:c>
      <x:c r="S338" s="14">
        <x:f>IF(A338="","",DATE(YEAR(A338),MONTH(A338),1))</x:f>
      </x:c>
      <x:c r="T338" s="14">
        <x:f>IF(L338="","",DATE(YEAR(L338),MONTH(L338),1))</x:f>
      </x:c>
    </x:row>
    <x:row r="339">
      <x:c r="A339" s="11" t="n"/>
      <x:c r="B339" s="5" t="n"/>
      <x:c r="C339" s="12" t="n"/>
      <x:c r="D339" s="12" t="n"/>
      <x:c r="E339" s="12" t="n"/>
      <x:c r="F339" s="12" t="n"/>
      <x:c r="G339" s="13">
        <x:f>IF(F339="","",IFERROR(VLOOKUP(F339,Master_Data!$E$24:$G$33,2,FALSE),"9999"))</x:f>
      </x:c>
      <x:c r="H339" s="12" t="n"/>
      <x:c r="I339" s="12" t="n"/>
      <x:c r="J339" s="12" t="n"/>
      <x:c r="K339" s="12" t="n"/>
      <x:c r="L339" s="11" t="n"/>
      <x:c r="M339" s="9" t="n"/>
      <x:c r="N339" s="12" t="n"/>
      <x:c r="O339" s="6">
        <x:f>IF(N339="","",IFERROR(VLOOKUP(N339,Master_Data!$A$5:$C$8,3,FALSE),0))</x:f>
      </x:c>
      <x:c r="P339" s="7">
        <x:f>IF(M339="","",M339*O339)</x:f>
      </x:c>
      <x:c r="Q339" s="7">
        <x:f>IF(M339="","",M339+P339)</x:f>
      </x:c>
      <x:c r="R339" s="7">
        <x:f>IF(K339&lt;&gt;"Paid",0,IF(C339="Income",Q339,-Q339))</x:f>
      </x:c>
      <x:c r="S339" s="14">
        <x:f>IF(A339="","",DATE(YEAR(A339),MONTH(A339),1))</x:f>
      </x:c>
      <x:c r="T339" s="14">
        <x:f>IF(L339="","",DATE(YEAR(L339),MONTH(L339),1))</x:f>
      </x:c>
    </x:row>
    <x:row r="340">
      <x:c r="A340" s="11" t="n"/>
      <x:c r="B340" s="5" t="n"/>
      <x:c r="C340" s="12" t="n"/>
      <x:c r="D340" s="12" t="n"/>
      <x:c r="E340" s="12" t="n"/>
      <x:c r="F340" s="12" t="n"/>
      <x:c r="G340" s="13">
        <x:f>IF(F340="","",IFERROR(VLOOKUP(F340,Master_Data!$E$24:$G$33,2,FALSE),"9999"))</x:f>
      </x:c>
      <x:c r="H340" s="12" t="n"/>
      <x:c r="I340" s="12" t="n"/>
      <x:c r="J340" s="12" t="n"/>
      <x:c r="K340" s="12" t="n"/>
      <x:c r="L340" s="11" t="n"/>
      <x:c r="M340" s="9" t="n"/>
      <x:c r="N340" s="12" t="n"/>
      <x:c r="O340" s="6">
        <x:f>IF(N340="","",IFERROR(VLOOKUP(N340,Master_Data!$A$5:$C$8,3,FALSE),0))</x:f>
      </x:c>
      <x:c r="P340" s="7">
        <x:f>IF(M340="","",M340*O340)</x:f>
      </x:c>
      <x:c r="Q340" s="7">
        <x:f>IF(M340="","",M340+P340)</x:f>
      </x:c>
      <x:c r="R340" s="7">
        <x:f>IF(K340&lt;&gt;"Paid",0,IF(C340="Income",Q340,-Q340))</x:f>
      </x:c>
      <x:c r="S340" s="14">
        <x:f>IF(A340="","",DATE(YEAR(A340),MONTH(A340),1))</x:f>
      </x:c>
      <x:c r="T340" s="14">
        <x:f>IF(L340="","",DATE(YEAR(L340),MONTH(L340),1))</x:f>
      </x:c>
    </x:row>
    <x:row r="341">
      <x:c r="A341" s="11" t="n"/>
      <x:c r="B341" s="5" t="n"/>
      <x:c r="C341" s="12" t="n"/>
      <x:c r="D341" s="12" t="n"/>
      <x:c r="E341" s="12" t="n"/>
      <x:c r="F341" s="12" t="n"/>
      <x:c r="G341" s="13">
        <x:f>IF(F341="","",IFERROR(VLOOKUP(F341,Master_Data!$E$24:$G$33,2,FALSE),"9999"))</x:f>
      </x:c>
      <x:c r="H341" s="12" t="n"/>
      <x:c r="I341" s="12" t="n"/>
      <x:c r="J341" s="12" t="n"/>
      <x:c r="K341" s="12" t="n"/>
      <x:c r="L341" s="11" t="n"/>
      <x:c r="M341" s="9" t="n"/>
      <x:c r="N341" s="12" t="n"/>
      <x:c r="O341" s="6">
        <x:f>IF(N341="","",IFERROR(VLOOKUP(N341,Master_Data!$A$5:$C$8,3,FALSE),0))</x:f>
      </x:c>
      <x:c r="P341" s="7">
        <x:f>IF(M341="","",M341*O341)</x:f>
      </x:c>
      <x:c r="Q341" s="7">
        <x:f>IF(M341="","",M341+P341)</x:f>
      </x:c>
      <x:c r="R341" s="7">
        <x:f>IF(K341&lt;&gt;"Paid",0,IF(C341="Income",Q341,-Q341))</x:f>
      </x:c>
      <x:c r="S341" s="14">
        <x:f>IF(A341="","",DATE(YEAR(A341),MONTH(A341),1))</x:f>
      </x:c>
      <x:c r="T341" s="14">
        <x:f>IF(L341="","",DATE(YEAR(L341),MONTH(L341),1))</x:f>
      </x:c>
    </x:row>
    <x:row r="342">
      <x:c r="A342" s="11" t="n"/>
      <x:c r="B342" s="5" t="n"/>
      <x:c r="C342" s="12" t="n"/>
      <x:c r="D342" s="12" t="n"/>
      <x:c r="E342" s="12" t="n"/>
      <x:c r="F342" s="12" t="n"/>
      <x:c r="G342" s="13">
        <x:f>IF(F342="","",IFERROR(VLOOKUP(F342,Master_Data!$E$24:$G$33,2,FALSE),"9999"))</x:f>
      </x:c>
      <x:c r="H342" s="12" t="n"/>
      <x:c r="I342" s="12" t="n"/>
      <x:c r="J342" s="12" t="n"/>
      <x:c r="K342" s="12" t="n"/>
      <x:c r="L342" s="11" t="n"/>
      <x:c r="M342" s="9" t="n"/>
      <x:c r="N342" s="12" t="n"/>
      <x:c r="O342" s="6">
        <x:f>IF(N342="","",IFERROR(VLOOKUP(N342,Master_Data!$A$5:$C$8,3,FALSE),0))</x:f>
      </x:c>
      <x:c r="P342" s="7">
        <x:f>IF(M342="","",M342*O342)</x:f>
      </x:c>
      <x:c r="Q342" s="7">
        <x:f>IF(M342="","",M342+P342)</x:f>
      </x:c>
      <x:c r="R342" s="7">
        <x:f>IF(K342&lt;&gt;"Paid",0,IF(C342="Income",Q342,-Q342))</x:f>
      </x:c>
      <x:c r="S342" s="14">
        <x:f>IF(A342="","",DATE(YEAR(A342),MONTH(A342),1))</x:f>
      </x:c>
      <x:c r="T342" s="14">
        <x:f>IF(L342="","",DATE(YEAR(L342),MONTH(L342),1))</x:f>
      </x:c>
    </x:row>
    <x:row r="343">
      <x:c r="A343" s="11" t="n"/>
      <x:c r="B343" s="5" t="n"/>
      <x:c r="C343" s="12" t="n"/>
      <x:c r="D343" s="12" t="n"/>
      <x:c r="E343" s="12" t="n"/>
      <x:c r="F343" s="12" t="n"/>
      <x:c r="G343" s="13">
        <x:f>IF(F343="","",IFERROR(VLOOKUP(F343,Master_Data!$E$24:$G$33,2,FALSE),"9999"))</x:f>
      </x:c>
      <x:c r="H343" s="12" t="n"/>
      <x:c r="I343" s="12" t="n"/>
      <x:c r="J343" s="12" t="n"/>
      <x:c r="K343" s="12" t="n"/>
      <x:c r="L343" s="11" t="n"/>
      <x:c r="M343" s="9" t="n"/>
      <x:c r="N343" s="12" t="n"/>
      <x:c r="O343" s="6">
        <x:f>IF(N343="","",IFERROR(VLOOKUP(N343,Master_Data!$A$5:$C$8,3,FALSE),0))</x:f>
      </x:c>
      <x:c r="P343" s="7">
        <x:f>IF(M343="","",M343*O343)</x:f>
      </x:c>
      <x:c r="Q343" s="7">
        <x:f>IF(M343="","",M343+P343)</x:f>
      </x:c>
      <x:c r="R343" s="7">
        <x:f>IF(K343&lt;&gt;"Paid",0,IF(C343="Income",Q343,-Q343))</x:f>
      </x:c>
      <x:c r="S343" s="14">
        <x:f>IF(A343="","",DATE(YEAR(A343),MONTH(A343),1))</x:f>
      </x:c>
      <x:c r="T343" s="14">
        <x:f>IF(L343="","",DATE(YEAR(L343),MONTH(L343),1))</x:f>
      </x:c>
    </x:row>
    <x:row r="344">
      <x:c r="A344" s="11" t="n"/>
      <x:c r="B344" s="5" t="n"/>
      <x:c r="C344" s="12" t="n"/>
      <x:c r="D344" s="12" t="n"/>
      <x:c r="E344" s="12" t="n"/>
      <x:c r="F344" s="12" t="n"/>
      <x:c r="G344" s="13">
        <x:f>IF(F344="","",IFERROR(VLOOKUP(F344,Master_Data!$E$24:$G$33,2,FALSE),"9999"))</x:f>
      </x:c>
      <x:c r="H344" s="12" t="n"/>
      <x:c r="I344" s="12" t="n"/>
      <x:c r="J344" s="12" t="n"/>
      <x:c r="K344" s="12" t="n"/>
      <x:c r="L344" s="11" t="n"/>
      <x:c r="M344" s="9" t="n"/>
      <x:c r="N344" s="12" t="n"/>
      <x:c r="O344" s="6">
        <x:f>IF(N344="","",IFERROR(VLOOKUP(N344,Master_Data!$A$5:$C$8,3,FALSE),0))</x:f>
      </x:c>
      <x:c r="P344" s="7">
        <x:f>IF(M344="","",M344*O344)</x:f>
      </x:c>
      <x:c r="Q344" s="7">
        <x:f>IF(M344="","",M344+P344)</x:f>
      </x:c>
      <x:c r="R344" s="7">
        <x:f>IF(K344&lt;&gt;"Paid",0,IF(C344="Income",Q344,-Q344))</x:f>
      </x:c>
      <x:c r="S344" s="14">
        <x:f>IF(A344="","",DATE(YEAR(A344),MONTH(A344),1))</x:f>
      </x:c>
      <x:c r="T344" s="14">
        <x:f>IF(L344="","",DATE(YEAR(L344),MONTH(L344),1))</x:f>
      </x:c>
    </x:row>
    <x:row r="345">
      <x:c r="A345" s="11" t="n"/>
      <x:c r="B345" s="5" t="n"/>
      <x:c r="C345" s="12" t="n"/>
      <x:c r="D345" s="12" t="n"/>
      <x:c r="E345" s="12" t="n"/>
      <x:c r="F345" s="12" t="n"/>
      <x:c r="G345" s="13">
        <x:f>IF(F345="","",IFERROR(VLOOKUP(F345,Master_Data!$E$24:$G$33,2,FALSE),"9999"))</x:f>
      </x:c>
      <x:c r="H345" s="12" t="n"/>
      <x:c r="I345" s="12" t="n"/>
      <x:c r="J345" s="12" t="n"/>
      <x:c r="K345" s="12" t="n"/>
      <x:c r="L345" s="11" t="n"/>
      <x:c r="M345" s="9" t="n"/>
      <x:c r="N345" s="12" t="n"/>
      <x:c r="O345" s="6">
        <x:f>IF(N345="","",IFERROR(VLOOKUP(N345,Master_Data!$A$5:$C$8,3,FALSE),0))</x:f>
      </x:c>
      <x:c r="P345" s="7">
        <x:f>IF(M345="","",M345*O345)</x:f>
      </x:c>
      <x:c r="Q345" s="7">
        <x:f>IF(M345="","",M345+P345)</x:f>
      </x:c>
      <x:c r="R345" s="7">
        <x:f>IF(K345&lt;&gt;"Paid",0,IF(C345="Income",Q345,-Q345))</x:f>
      </x:c>
      <x:c r="S345" s="14">
        <x:f>IF(A345="","",DATE(YEAR(A345),MONTH(A345),1))</x:f>
      </x:c>
      <x:c r="T345" s="14">
        <x:f>IF(L345="","",DATE(YEAR(L345),MONTH(L345),1))</x:f>
      </x:c>
    </x:row>
    <x:row r="346">
      <x:c r="A346" s="11" t="n"/>
      <x:c r="B346" s="5" t="n"/>
      <x:c r="C346" s="12" t="n"/>
      <x:c r="D346" s="12" t="n"/>
      <x:c r="E346" s="12" t="n"/>
      <x:c r="F346" s="12" t="n"/>
      <x:c r="G346" s="13">
        <x:f>IF(F346="","",IFERROR(VLOOKUP(F346,Master_Data!$E$24:$G$33,2,FALSE),"9999"))</x:f>
      </x:c>
      <x:c r="H346" s="12" t="n"/>
      <x:c r="I346" s="12" t="n"/>
      <x:c r="J346" s="12" t="n"/>
      <x:c r="K346" s="12" t="n"/>
      <x:c r="L346" s="11" t="n"/>
      <x:c r="M346" s="9" t="n"/>
      <x:c r="N346" s="12" t="n"/>
      <x:c r="O346" s="6">
        <x:f>IF(N346="","",IFERROR(VLOOKUP(N346,Master_Data!$A$5:$C$8,3,FALSE),0))</x:f>
      </x:c>
      <x:c r="P346" s="7">
        <x:f>IF(M346="","",M346*O346)</x:f>
      </x:c>
      <x:c r="Q346" s="7">
        <x:f>IF(M346="","",M346+P346)</x:f>
      </x:c>
      <x:c r="R346" s="7">
        <x:f>IF(K346&lt;&gt;"Paid",0,IF(C346="Income",Q346,-Q346))</x:f>
      </x:c>
      <x:c r="S346" s="14">
        <x:f>IF(A346="","",DATE(YEAR(A346),MONTH(A346),1))</x:f>
      </x:c>
      <x:c r="T346" s="14">
        <x:f>IF(L346="","",DATE(YEAR(L346),MONTH(L346),1))</x:f>
      </x:c>
    </x:row>
    <x:row r="347">
      <x:c r="A347" s="11" t="n"/>
      <x:c r="B347" s="5" t="n"/>
      <x:c r="C347" s="12" t="n"/>
      <x:c r="D347" s="12" t="n"/>
      <x:c r="E347" s="12" t="n"/>
      <x:c r="F347" s="12" t="n"/>
      <x:c r="G347" s="13">
        <x:f>IF(F347="","",IFERROR(VLOOKUP(F347,Master_Data!$E$24:$G$33,2,FALSE),"9999"))</x:f>
      </x:c>
      <x:c r="H347" s="12" t="n"/>
      <x:c r="I347" s="12" t="n"/>
      <x:c r="J347" s="12" t="n"/>
      <x:c r="K347" s="12" t="n"/>
      <x:c r="L347" s="11" t="n"/>
      <x:c r="M347" s="9" t="n"/>
      <x:c r="N347" s="12" t="n"/>
      <x:c r="O347" s="6">
        <x:f>IF(N347="","",IFERROR(VLOOKUP(N347,Master_Data!$A$5:$C$8,3,FALSE),0))</x:f>
      </x:c>
      <x:c r="P347" s="7">
        <x:f>IF(M347="","",M347*O347)</x:f>
      </x:c>
      <x:c r="Q347" s="7">
        <x:f>IF(M347="","",M347+P347)</x:f>
      </x:c>
      <x:c r="R347" s="7">
        <x:f>IF(K347&lt;&gt;"Paid",0,IF(C347="Income",Q347,-Q347))</x:f>
      </x:c>
      <x:c r="S347" s="14">
        <x:f>IF(A347="","",DATE(YEAR(A347),MONTH(A347),1))</x:f>
      </x:c>
      <x:c r="T347" s="14">
        <x:f>IF(L347="","",DATE(YEAR(L347),MONTH(L347),1))</x:f>
      </x:c>
    </x:row>
    <x:row r="348">
      <x:c r="A348" s="11" t="n"/>
      <x:c r="B348" s="5" t="n"/>
      <x:c r="C348" s="12" t="n"/>
      <x:c r="D348" s="12" t="n"/>
      <x:c r="E348" s="12" t="n"/>
      <x:c r="F348" s="12" t="n"/>
      <x:c r="G348" s="13">
        <x:f>IF(F348="","",IFERROR(VLOOKUP(F348,Master_Data!$E$24:$G$33,2,FALSE),"9999"))</x:f>
      </x:c>
      <x:c r="H348" s="12" t="n"/>
      <x:c r="I348" s="12" t="n"/>
      <x:c r="J348" s="12" t="n"/>
      <x:c r="K348" s="12" t="n"/>
      <x:c r="L348" s="11" t="n"/>
      <x:c r="M348" s="9" t="n"/>
      <x:c r="N348" s="12" t="n"/>
      <x:c r="O348" s="6">
        <x:f>IF(N348="","",IFERROR(VLOOKUP(N348,Master_Data!$A$5:$C$8,3,FALSE),0))</x:f>
      </x:c>
      <x:c r="P348" s="7">
        <x:f>IF(M348="","",M348*O348)</x:f>
      </x:c>
      <x:c r="Q348" s="7">
        <x:f>IF(M348="","",M348+P348)</x:f>
      </x:c>
      <x:c r="R348" s="7">
        <x:f>IF(K348&lt;&gt;"Paid",0,IF(C348="Income",Q348,-Q348))</x:f>
      </x:c>
      <x:c r="S348" s="14">
        <x:f>IF(A348="","",DATE(YEAR(A348),MONTH(A348),1))</x:f>
      </x:c>
      <x:c r="T348" s="14">
        <x:f>IF(L348="","",DATE(YEAR(L348),MONTH(L348),1))</x:f>
      </x:c>
    </x:row>
    <x:row r="349">
      <x:c r="A349" s="11" t="n"/>
      <x:c r="B349" s="5" t="n"/>
      <x:c r="C349" s="12" t="n"/>
      <x:c r="D349" s="12" t="n"/>
      <x:c r="E349" s="12" t="n"/>
      <x:c r="F349" s="12" t="n"/>
      <x:c r="G349" s="13">
        <x:f>IF(F349="","",IFERROR(VLOOKUP(F349,Master_Data!$E$24:$G$33,2,FALSE),"9999"))</x:f>
      </x:c>
      <x:c r="H349" s="12" t="n"/>
      <x:c r="I349" s="12" t="n"/>
      <x:c r="J349" s="12" t="n"/>
      <x:c r="K349" s="12" t="n"/>
      <x:c r="L349" s="11" t="n"/>
      <x:c r="M349" s="9" t="n"/>
      <x:c r="N349" s="12" t="n"/>
      <x:c r="O349" s="6">
        <x:f>IF(N349="","",IFERROR(VLOOKUP(N349,Master_Data!$A$5:$C$8,3,FALSE),0))</x:f>
      </x:c>
      <x:c r="P349" s="7">
        <x:f>IF(M349="","",M349*O349)</x:f>
      </x:c>
      <x:c r="Q349" s="7">
        <x:f>IF(M349="","",M349+P349)</x:f>
      </x:c>
      <x:c r="R349" s="7">
        <x:f>IF(K349&lt;&gt;"Paid",0,IF(C349="Income",Q349,-Q349))</x:f>
      </x:c>
      <x:c r="S349" s="14">
        <x:f>IF(A349="","",DATE(YEAR(A349),MONTH(A349),1))</x:f>
      </x:c>
      <x:c r="T349" s="14">
        <x:f>IF(L349="","",DATE(YEAR(L349),MONTH(L349),1))</x:f>
      </x:c>
    </x:row>
    <x:row r="350">
      <x:c r="A350" s="11" t="n"/>
      <x:c r="B350" s="5" t="n"/>
      <x:c r="C350" s="12" t="n"/>
      <x:c r="D350" s="12" t="n"/>
      <x:c r="E350" s="12" t="n"/>
      <x:c r="F350" s="12" t="n"/>
      <x:c r="G350" s="13">
        <x:f>IF(F350="","",IFERROR(VLOOKUP(F350,Master_Data!$E$24:$G$33,2,FALSE),"9999"))</x:f>
      </x:c>
      <x:c r="H350" s="12" t="n"/>
      <x:c r="I350" s="12" t="n"/>
      <x:c r="J350" s="12" t="n"/>
      <x:c r="K350" s="12" t="n"/>
      <x:c r="L350" s="11" t="n"/>
      <x:c r="M350" s="9" t="n"/>
      <x:c r="N350" s="12" t="n"/>
      <x:c r="O350" s="6">
        <x:f>IF(N350="","",IFERROR(VLOOKUP(N350,Master_Data!$A$5:$C$8,3,FALSE),0))</x:f>
      </x:c>
      <x:c r="P350" s="7">
        <x:f>IF(M350="","",M350*O350)</x:f>
      </x:c>
      <x:c r="Q350" s="7">
        <x:f>IF(M350="","",M350+P350)</x:f>
      </x:c>
      <x:c r="R350" s="7">
        <x:f>IF(K350&lt;&gt;"Paid",0,IF(C350="Income",Q350,-Q350))</x:f>
      </x:c>
      <x:c r="S350" s="14">
        <x:f>IF(A350="","",DATE(YEAR(A350),MONTH(A350),1))</x:f>
      </x:c>
      <x:c r="T350" s="14">
        <x:f>IF(L350="","",DATE(YEAR(L350),MONTH(L350),1))</x:f>
      </x:c>
    </x:row>
    <x:row r="351">
      <x:c r="A351" s="11" t="n"/>
      <x:c r="B351" s="5" t="n"/>
      <x:c r="C351" s="12" t="n"/>
      <x:c r="D351" s="12" t="n"/>
      <x:c r="E351" s="12" t="n"/>
      <x:c r="F351" s="12" t="n"/>
      <x:c r="G351" s="13">
        <x:f>IF(F351="","",IFERROR(VLOOKUP(F351,Master_Data!$E$24:$G$33,2,FALSE),"9999"))</x:f>
      </x:c>
      <x:c r="H351" s="12" t="n"/>
      <x:c r="I351" s="12" t="n"/>
      <x:c r="J351" s="12" t="n"/>
      <x:c r="K351" s="12" t="n"/>
      <x:c r="L351" s="11" t="n"/>
      <x:c r="M351" s="9" t="n"/>
      <x:c r="N351" s="12" t="n"/>
      <x:c r="O351" s="6">
        <x:f>IF(N351="","",IFERROR(VLOOKUP(N351,Master_Data!$A$5:$C$8,3,FALSE),0))</x:f>
      </x:c>
      <x:c r="P351" s="7">
        <x:f>IF(M351="","",M351*O351)</x:f>
      </x:c>
      <x:c r="Q351" s="7">
        <x:f>IF(M351="","",M351+P351)</x:f>
      </x:c>
      <x:c r="R351" s="7">
        <x:f>IF(K351&lt;&gt;"Paid",0,IF(C351="Income",Q351,-Q351))</x:f>
      </x:c>
      <x:c r="S351" s="14">
        <x:f>IF(A351="","",DATE(YEAR(A351),MONTH(A351),1))</x:f>
      </x:c>
      <x:c r="T351" s="14">
        <x:f>IF(L351="","",DATE(YEAR(L351),MONTH(L351),1))</x:f>
      </x:c>
    </x:row>
    <x:row r="352">
      <x:c r="A352" s="11" t="n"/>
      <x:c r="B352" s="5" t="n"/>
      <x:c r="C352" s="12" t="n"/>
      <x:c r="D352" s="12" t="n"/>
      <x:c r="E352" s="12" t="n"/>
      <x:c r="F352" s="12" t="n"/>
      <x:c r="G352" s="13">
        <x:f>IF(F352="","",IFERROR(VLOOKUP(F352,Master_Data!$E$24:$G$33,2,FALSE),"9999"))</x:f>
      </x:c>
      <x:c r="H352" s="12" t="n"/>
      <x:c r="I352" s="12" t="n"/>
      <x:c r="J352" s="12" t="n"/>
      <x:c r="K352" s="12" t="n"/>
      <x:c r="L352" s="11" t="n"/>
      <x:c r="M352" s="9" t="n"/>
      <x:c r="N352" s="12" t="n"/>
      <x:c r="O352" s="6">
        <x:f>IF(N352="","",IFERROR(VLOOKUP(N352,Master_Data!$A$5:$C$8,3,FALSE),0))</x:f>
      </x:c>
      <x:c r="P352" s="7">
        <x:f>IF(M352="","",M352*O352)</x:f>
      </x:c>
      <x:c r="Q352" s="7">
        <x:f>IF(M352="","",M352+P352)</x:f>
      </x:c>
      <x:c r="R352" s="7">
        <x:f>IF(K352&lt;&gt;"Paid",0,IF(C352="Income",Q352,-Q352))</x:f>
      </x:c>
      <x:c r="S352" s="14">
        <x:f>IF(A352="","",DATE(YEAR(A352),MONTH(A352),1))</x:f>
      </x:c>
      <x:c r="T352" s="14">
        <x:f>IF(L352="","",DATE(YEAR(L352),MONTH(L352),1))</x:f>
      </x:c>
    </x:row>
    <x:row r="353">
      <x:c r="A353" s="11" t="n"/>
      <x:c r="B353" s="5" t="n"/>
      <x:c r="C353" s="12" t="n"/>
      <x:c r="D353" s="12" t="n"/>
      <x:c r="E353" s="12" t="n"/>
      <x:c r="F353" s="12" t="n"/>
      <x:c r="G353" s="13">
        <x:f>IF(F353="","",IFERROR(VLOOKUP(F353,Master_Data!$E$24:$G$33,2,FALSE),"9999"))</x:f>
      </x:c>
      <x:c r="H353" s="12" t="n"/>
      <x:c r="I353" s="12" t="n"/>
      <x:c r="J353" s="12" t="n"/>
      <x:c r="K353" s="12" t="n"/>
      <x:c r="L353" s="11" t="n"/>
      <x:c r="M353" s="9" t="n"/>
      <x:c r="N353" s="12" t="n"/>
      <x:c r="O353" s="6">
        <x:f>IF(N353="","",IFERROR(VLOOKUP(N353,Master_Data!$A$5:$C$8,3,FALSE),0))</x:f>
      </x:c>
      <x:c r="P353" s="7">
        <x:f>IF(M353="","",M353*O353)</x:f>
      </x:c>
      <x:c r="Q353" s="7">
        <x:f>IF(M353="","",M353+P353)</x:f>
      </x:c>
      <x:c r="R353" s="7">
        <x:f>IF(K353&lt;&gt;"Paid",0,IF(C353="Income",Q353,-Q353))</x:f>
      </x:c>
      <x:c r="S353" s="14">
        <x:f>IF(A353="","",DATE(YEAR(A353),MONTH(A353),1))</x:f>
      </x:c>
      <x:c r="T353" s="14">
        <x:f>IF(L353="","",DATE(YEAR(L353),MONTH(L353),1))</x:f>
      </x:c>
    </x:row>
    <x:row r="354">
      <x:c r="A354" s="11" t="n"/>
      <x:c r="B354" s="5" t="n"/>
      <x:c r="C354" s="12" t="n"/>
      <x:c r="D354" s="12" t="n"/>
      <x:c r="E354" s="12" t="n"/>
      <x:c r="F354" s="12" t="n"/>
      <x:c r="G354" s="13">
        <x:f>IF(F354="","",IFERROR(VLOOKUP(F354,Master_Data!$E$24:$G$33,2,FALSE),"9999"))</x:f>
      </x:c>
      <x:c r="H354" s="12" t="n"/>
      <x:c r="I354" s="12" t="n"/>
      <x:c r="J354" s="12" t="n"/>
      <x:c r="K354" s="12" t="n"/>
      <x:c r="L354" s="11" t="n"/>
      <x:c r="M354" s="9" t="n"/>
      <x:c r="N354" s="12" t="n"/>
      <x:c r="O354" s="6">
        <x:f>IF(N354="","",IFERROR(VLOOKUP(N354,Master_Data!$A$5:$C$8,3,FALSE),0))</x:f>
      </x:c>
      <x:c r="P354" s="7">
        <x:f>IF(M354="","",M354*O354)</x:f>
      </x:c>
      <x:c r="Q354" s="7">
        <x:f>IF(M354="","",M354+P354)</x:f>
      </x:c>
      <x:c r="R354" s="7">
        <x:f>IF(K354&lt;&gt;"Paid",0,IF(C354="Income",Q354,-Q354))</x:f>
      </x:c>
      <x:c r="S354" s="14">
        <x:f>IF(A354="","",DATE(YEAR(A354),MONTH(A354),1))</x:f>
      </x:c>
      <x:c r="T354" s="14">
        <x:f>IF(L354="","",DATE(YEAR(L354),MONTH(L354),1))</x:f>
      </x:c>
    </x:row>
    <x:row r="355">
      <x:c r="A355" s="11" t="n"/>
      <x:c r="B355" s="5" t="n"/>
      <x:c r="C355" s="12" t="n"/>
      <x:c r="D355" s="12" t="n"/>
      <x:c r="E355" s="12" t="n"/>
      <x:c r="F355" s="12" t="n"/>
      <x:c r="G355" s="13">
        <x:f>IF(F355="","",IFERROR(VLOOKUP(F355,Master_Data!$E$24:$G$33,2,FALSE),"9999"))</x:f>
      </x:c>
      <x:c r="H355" s="12" t="n"/>
      <x:c r="I355" s="12" t="n"/>
      <x:c r="J355" s="12" t="n"/>
      <x:c r="K355" s="12" t="n"/>
      <x:c r="L355" s="11" t="n"/>
      <x:c r="M355" s="9" t="n"/>
      <x:c r="N355" s="12" t="n"/>
      <x:c r="O355" s="6">
        <x:f>IF(N355="","",IFERROR(VLOOKUP(N355,Master_Data!$A$5:$C$8,3,FALSE),0))</x:f>
      </x:c>
      <x:c r="P355" s="7">
        <x:f>IF(M355="","",M355*O355)</x:f>
      </x:c>
      <x:c r="Q355" s="7">
        <x:f>IF(M355="","",M355+P355)</x:f>
      </x:c>
      <x:c r="R355" s="7">
        <x:f>IF(K355&lt;&gt;"Paid",0,IF(C355="Income",Q355,-Q355))</x:f>
      </x:c>
      <x:c r="S355" s="14">
        <x:f>IF(A355="","",DATE(YEAR(A355),MONTH(A355),1))</x:f>
      </x:c>
      <x:c r="T355" s="14">
        <x:f>IF(L355="","",DATE(YEAR(L355),MONTH(L355),1))</x:f>
      </x:c>
    </x:row>
    <x:row r="356">
      <x:c r="A356" s="11" t="n"/>
      <x:c r="B356" s="5" t="n"/>
      <x:c r="C356" s="12" t="n"/>
      <x:c r="D356" s="12" t="n"/>
      <x:c r="E356" s="12" t="n"/>
      <x:c r="F356" s="12" t="n"/>
      <x:c r="G356" s="13">
        <x:f>IF(F356="","",IFERROR(VLOOKUP(F356,Master_Data!$E$24:$G$33,2,FALSE),"9999"))</x:f>
      </x:c>
      <x:c r="H356" s="12" t="n"/>
      <x:c r="I356" s="12" t="n"/>
      <x:c r="J356" s="12" t="n"/>
      <x:c r="K356" s="12" t="n"/>
      <x:c r="L356" s="11" t="n"/>
      <x:c r="M356" s="9" t="n"/>
      <x:c r="N356" s="12" t="n"/>
      <x:c r="O356" s="6">
        <x:f>IF(N356="","",IFERROR(VLOOKUP(N356,Master_Data!$A$5:$C$8,3,FALSE),0))</x:f>
      </x:c>
      <x:c r="P356" s="7">
        <x:f>IF(M356="","",M356*O356)</x:f>
      </x:c>
      <x:c r="Q356" s="7">
        <x:f>IF(M356="","",M356+P356)</x:f>
      </x:c>
      <x:c r="R356" s="7">
        <x:f>IF(K356&lt;&gt;"Paid",0,IF(C356="Income",Q356,-Q356))</x:f>
      </x:c>
      <x:c r="S356" s="14">
        <x:f>IF(A356="","",DATE(YEAR(A356),MONTH(A356),1))</x:f>
      </x:c>
      <x:c r="T356" s="14">
        <x:f>IF(L356="","",DATE(YEAR(L356),MONTH(L356),1))</x:f>
      </x:c>
    </x:row>
    <x:row r="357">
      <x:c r="A357" s="11" t="n"/>
      <x:c r="B357" s="5" t="n"/>
      <x:c r="C357" s="12" t="n"/>
      <x:c r="D357" s="12" t="n"/>
      <x:c r="E357" s="12" t="n"/>
      <x:c r="F357" s="12" t="n"/>
      <x:c r="G357" s="13">
        <x:f>IF(F357="","",IFERROR(VLOOKUP(F357,Master_Data!$E$24:$G$33,2,FALSE),"9999"))</x:f>
      </x:c>
      <x:c r="H357" s="12" t="n"/>
      <x:c r="I357" s="12" t="n"/>
      <x:c r="J357" s="12" t="n"/>
      <x:c r="K357" s="12" t="n"/>
      <x:c r="L357" s="11" t="n"/>
      <x:c r="M357" s="9" t="n"/>
      <x:c r="N357" s="12" t="n"/>
      <x:c r="O357" s="6">
        <x:f>IF(N357="","",IFERROR(VLOOKUP(N357,Master_Data!$A$5:$C$8,3,FALSE),0))</x:f>
      </x:c>
      <x:c r="P357" s="7">
        <x:f>IF(M357="","",M357*O357)</x:f>
      </x:c>
      <x:c r="Q357" s="7">
        <x:f>IF(M357="","",M357+P357)</x:f>
      </x:c>
      <x:c r="R357" s="7">
        <x:f>IF(K357&lt;&gt;"Paid",0,IF(C357="Income",Q357,-Q357))</x:f>
      </x:c>
      <x:c r="S357" s="14">
        <x:f>IF(A357="","",DATE(YEAR(A357),MONTH(A357),1))</x:f>
      </x:c>
      <x:c r="T357" s="14">
        <x:f>IF(L357="","",DATE(YEAR(L357),MONTH(L357),1))</x:f>
      </x:c>
    </x:row>
    <x:row r="358">
      <x:c r="A358" s="11" t="n"/>
      <x:c r="B358" s="5" t="n"/>
      <x:c r="C358" s="12" t="n"/>
      <x:c r="D358" s="12" t="n"/>
      <x:c r="E358" s="12" t="n"/>
      <x:c r="F358" s="12" t="n"/>
      <x:c r="G358" s="13">
        <x:f>IF(F358="","",IFERROR(VLOOKUP(F358,Master_Data!$E$24:$G$33,2,FALSE),"9999"))</x:f>
      </x:c>
      <x:c r="H358" s="12" t="n"/>
      <x:c r="I358" s="12" t="n"/>
      <x:c r="J358" s="12" t="n"/>
      <x:c r="K358" s="12" t="n"/>
      <x:c r="L358" s="11" t="n"/>
      <x:c r="M358" s="9" t="n"/>
      <x:c r="N358" s="12" t="n"/>
      <x:c r="O358" s="6">
        <x:f>IF(N358="","",IFERROR(VLOOKUP(N358,Master_Data!$A$5:$C$8,3,FALSE),0))</x:f>
      </x:c>
      <x:c r="P358" s="7">
        <x:f>IF(M358="","",M358*O358)</x:f>
      </x:c>
      <x:c r="Q358" s="7">
        <x:f>IF(M358="","",M358+P358)</x:f>
      </x:c>
      <x:c r="R358" s="7">
        <x:f>IF(K358&lt;&gt;"Paid",0,IF(C358="Income",Q358,-Q358))</x:f>
      </x:c>
      <x:c r="S358" s="14">
        <x:f>IF(A358="","",DATE(YEAR(A358),MONTH(A358),1))</x:f>
      </x:c>
      <x:c r="T358" s="14">
        <x:f>IF(L358="","",DATE(YEAR(L358),MONTH(L358),1))</x:f>
      </x:c>
    </x:row>
    <x:row r="359">
      <x:c r="A359" s="11" t="n"/>
      <x:c r="B359" s="5" t="n"/>
      <x:c r="C359" s="12" t="n"/>
      <x:c r="D359" s="12" t="n"/>
      <x:c r="E359" s="12" t="n"/>
      <x:c r="F359" s="12" t="n"/>
      <x:c r="G359" s="13">
        <x:f>IF(F359="","",IFERROR(VLOOKUP(F359,Master_Data!$E$24:$G$33,2,FALSE),"9999"))</x:f>
      </x:c>
      <x:c r="H359" s="12" t="n"/>
      <x:c r="I359" s="12" t="n"/>
      <x:c r="J359" s="12" t="n"/>
      <x:c r="K359" s="12" t="n"/>
      <x:c r="L359" s="11" t="n"/>
      <x:c r="M359" s="9" t="n"/>
      <x:c r="N359" s="12" t="n"/>
      <x:c r="O359" s="6">
        <x:f>IF(N359="","",IFERROR(VLOOKUP(N359,Master_Data!$A$5:$C$8,3,FALSE),0))</x:f>
      </x:c>
      <x:c r="P359" s="7">
        <x:f>IF(M359="","",M359*O359)</x:f>
      </x:c>
      <x:c r="Q359" s="7">
        <x:f>IF(M359="","",M359+P359)</x:f>
      </x:c>
      <x:c r="R359" s="7">
        <x:f>IF(K359&lt;&gt;"Paid",0,IF(C359="Income",Q359,-Q359))</x:f>
      </x:c>
      <x:c r="S359" s="14">
        <x:f>IF(A359="","",DATE(YEAR(A359),MONTH(A359),1))</x:f>
      </x:c>
      <x:c r="T359" s="14">
        <x:f>IF(L359="","",DATE(YEAR(L359),MONTH(L359),1))</x:f>
      </x:c>
    </x:row>
    <x:row r="360">
      <x:c r="A360" s="11" t="n"/>
      <x:c r="B360" s="5" t="n"/>
      <x:c r="C360" s="12" t="n"/>
      <x:c r="D360" s="12" t="n"/>
      <x:c r="E360" s="12" t="n"/>
      <x:c r="F360" s="12" t="n"/>
      <x:c r="G360" s="13">
        <x:f>IF(F360="","",IFERROR(VLOOKUP(F360,Master_Data!$E$24:$G$33,2,FALSE),"9999"))</x:f>
      </x:c>
      <x:c r="H360" s="12" t="n"/>
      <x:c r="I360" s="12" t="n"/>
      <x:c r="J360" s="12" t="n"/>
      <x:c r="K360" s="12" t="n"/>
      <x:c r="L360" s="11" t="n"/>
      <x:c r="M360" s="9" t="n"/>
      <x:c r="N360" s="12" t="n"/>
      <x:c r="O360" s="6">
        <x:f>IF(N360="","",IFERROR(VLOOKUP(N360,Master_Data!$A$5:$C$8,3,FALSE),0))</x:f>
      </x:c>
      <x:c r="P360" s="7">
        <x:f>IF(M360="","",M360*O360)</x:f>
      </x:c>
      <x:c r="Q360" s="7">
        <x:f>IF(M360="","",M360+P360)</x:f>
      </x:c>
      <x:c r="R360" s="7">
        <x:f>IF(K360&lt;&gt;"Paid",0,IF(C360="Income",Q360,-Q360))</x:f>
      </x:c>
      <x:c r="S360" s="14">
        <x:f>IF(A360="","",DATE(YEAR(A360),MONTH(A360),1))</x:f>
      </x:c>
      <x:c r="T360" s="14">
        <x:f>IF(L360="","",DATE(YEAR(L360),MONTH(L360),1))</x:f>
      </x:c>
    </x:row>
    <x:row r="361">
      <x:c r="A361" s="11" t="n"/>
      <x:c r="B361" s="5" t="n"/>
      <x:c r="C361" s="12" t="n"/>
      <x:c r="D361" s="12" t="n"/>
      <x:c r="E361" s="12" t="n"/>
      <x:c r="F361" s="12" t="n"/>
      <x:c r="G361" s="13">
        <x:f>IF(F361="","",IFERROR(VLOOKUP(F361,Master_Data!$E$24:$G$33,2,FALSE),"9999"))</x:f>
      </x:c>
      <x:c r="H361" s="12" t="n"/>
      <x:c r="I361" s="12" t="n"/>
      <x:c r="J361" s="12" t="n"/>
      <x:c r="K361" s="12" t="n"/>
      <x:c r="L361" s="11" t="n"/>
      <x:c r="M361" s="9" t="n"/>
      <x:c r="N361" s="12" t="n"/>
      <x:c r="O361" s="6">
        <x:f>IF(N361="","",IFERROR(VLOOKUP(N361,Master_Data!$A$5:$C$8,3,FALSE),0))</x:f>
      </x:c>
      <x:c r="P361" s="7">
        <x:f>IF(M361="","",M361*O361)</x:f>
      </x:c>
      <x:c r="Q361" s="7">
        <x:f>IF(M361="","",M361+P361)</x:f>
      </x:c>
      <x:c r="R361" s="7">
        <x:f>IF(K361&lt;&gt;"Paid",0,IF(C361="Income",Q361,-Q361))</x:f>
      </x:c>
      <x:c r="S361" s="14">
        <x:f>IF(A361="","",DATE(YEAR(A361),MONTH(A361),1))</x:f>
      </x:c>
      <x:c r="T361" s="14">
        <x:f>IF(L361="","",DATE(YEAR(L361),MONTH(L361),1))</x:f>
      </x:c>
    </x:row>
    <x:row r="362">
      <x:c r="A362" s="11" t="n"/>
      <x:c r="B362" s="5" t="n"/>
      <x:c r="C362" s="12" t="n"/>
      <x:c r="D362" s="12" t="n"/>
      <x:c r="E362" s="12" t="n"/>
      <x:c r="F362" s="12" t="n"/>
      <x:c r="G362" s="13">
        <x:f>IF(F362="","",IFERROR(VLOOKUP(F362,Master_Data!$E$24:$G$33,2,FALSE),"9999"))</x:f>
      </x:c>
      <x:c r="H362" s="12" t="n"/>
      <x:c r="I362" s="12" t="n"/>
      <x:c r="J362" s="12" t="n"/>
      <x:c r="K362" s="12" t="n"/>
      <x:c r="L362" s="11" t="n"/>
      <x:c r="M362" s="9" t="n"/>
      <x:c r="N362" s="12" t="n"/>
      <x:c r="O362" s="6">
        <x:f>IF(N362="","",IFERROR(VLOOKUP(N362,Master_Data!$A$5:$C$8,3,FALSE),0))</x:f>
      </x:c>
      <x:c r="P362" s="7">
        <x:f>IF(M362="","",M362*O362)</x:f>
      </x:c>
      <x:c r="Q362" s="7">
        <x:f>IF(M362="","",M362+P362)</x:f>
      </x:c>
      <x:c r="R362" s="7">
        <x:f>IF(K362&lt;&gt;"Paid",0,IF(C362="Income",Q362,-Q362))</x:f>
      </x:c>
      <x:c r="S362" s="14">
        <x:f>IF(A362="","",DATE(YEAR(A362),MONTH(A362),1))</x:f>
      </x:c>
      <x:c r="T362" s="14">
        <x:f>IF(L362="","",DATE(YEAR(L362),MONTH(L362),1))</x:f>
      </x:c>
    </x:row>
    <x:row r="363">
      <x:c r="A363" s="11" t="n"/>
      <x:c r="B363" s="5" t="n"/>
      <x:c r="C363" s="12" t="n"/>
      <x:c r="D363" s="12" t="n"/>
      <x:c r="E363" s="12" t="n"/>
      <x:c r="F363" s="12" t="n"/>
      <x:c r="G363" s="13">
        <x:f>IF(F363="","",IFERROR(VLOOKUP(F363,Master_Data!$E$24:$G$33,2,FALSE),"9999"))</x:f>
      </x:c>
      <x:c r="H363" s="12" t="n"/>
      <x:c r="I363" s="12" t="n"/>
      <x:c r="J363" s="12" t="n"/>
      <x:c r="K363" s="12" t="n"/>
      <x:c r="L363" s="11" t="n"/>
      <x:c r="M363" s="9" t="n"/>
      <x:c r="N363" s="12" t="n"/>
      <x:c r="O363" s="6">
        <x:f>IF(N363="","",IFERROR(VLOOKUP(N363,Master_Data!$A$5:$C$8,3,FALSE),0))</x:f>
      </x:c>
      <x:c r="P363" s="7">
        <x:f>IF(M363="","",M363*O363)</x:f>
      </x:c>
      <x:c r="Q363" s="7">
        <x:f>IF(M363="","",M363+P363)</x:f>
      </x:c>
      <x:c r="R363" s="7">
        <x:f>IF(K363&lt;&gt;"Paid",0,IF(C363="Income",Q363,-Q363))</x:f>
      </x:c>
      <x:c r="S363" s="14">
        <x:f>IF(A363="","",DATE(YEAR(A363),MONTH(A363),1))</x:f>
      </x:c>
      <x:c r="T363" s="14">
        <x:f>IF(L363="","",DATE(YEAR(L363),MONTH(L363),1))</x:f>
      </x:c>
    </x:row>
    <x:row r="364">
      <x:c r="A364" s="11" t="n"/>
      <x:c r="B364" s="5" t="n"/>
      <x:c r="C364" s="12" t="n"/>
      <x:c r="D364" s="12" t="n"/>
      <x:c r="E364" s="12" t="n"/>
      <x:c r="F364" s="12" t="n"/>
      <x:c r="G364" s="13">
        <x:f>IF(F364="","",IFERROR(VLOOKUP(F364,Master_Data!$E$24:$G$33,2,FALSE),"9999"))</x:f>
      </x:c>
      <x:c r="H364" s="12" t="n"/>
      <x:c r="I364" s="12" t="n"/>
      <x:c r="J364" s="12" t="n"/>
      <x:c r="K364" s="12" t="n"/>
      <x:c r="L364" s="11" t="n"/>
      <x:c r="M364" s="9" t="n"/>
      <x:c r="N364" s="12" t="n"/>
      <x:c r="O364" s="6">
        <x:f>IF(N364="","",IFERROR(VLOOKUP(N364,Master_Data!$A$5:$C$8,3,FALSE),0))</x:f>
      </x:c>
      <x:c r="P364" s="7">
        <x:f>IF(M364="","",M364*O364)</x:f>
      </x:c>
      <x:c r="Q364" s="7">
        <x:f>IF(M364="","",M364+P364)</x:f>
      </x:c>
      <x:c r="R364" s="7">
        <x:f>IF(K364&lt;&gt;"Paid",0,IF(C364="Income",Q364,-Q364))</x:f>
      </x:c>
      <x:c r="S364" s="14">
        <x:f>IF(A364="","",DATE(YEAR(A364),MONTH(A364),1))</x:f>
      </x:c>
      <x:c r="T364" s="14">
        <x:f>IF(L364="","",DATE(YEAR(L364),MONTH(L364),1))</x:f>
      </x:c>
    </x:row>
    <x:row r="365">
      <x:c r="A365" s="11" t="n"/>
      <x:c r="B365" s="5" t="n"/>
      <x:c r="C365" s="12" t="n"/>
      <x:c r="D365" s="12" t="n"/>
      <x:c r="E365" s="12" t="n"/>
      <x:c r="F365" s="12" t="n"/>
      <x:c r="G365" s="13">
        <x:f>IF(F365="","",IFERROR(VLOOKUP(F365,Master_Data!$E$24:$G$33,2,FALSE),"9999"))</x:f>
      </x:c>
      <x:c r="H365" s="12" t="n"/>
      <x:c r="I365" s="12" t="n"/>
      <x:c r="J365" s="12" t="n"/>
      <x:c r="K365" s="12" t="n"/>
      <x:c r="L365" s="11" t="n"/>
      <x:c r="M365" s="9" t="n"/>
      <x:c r="N365" s="12" t="n"/>
      <x:c r="O365" s="6">
        <x:f>IF(N365="","",IFERROR(VLOOKUP(N365,Master_Data!$A$5:$C$8,3,FALSE),0))</x:f>
      </x:c>
      <x:c r="P365" s="7">
        <x:f>IF(M365="","",M365*O365)</x:f>
      </x:c>
      <x:c r="Q365" s="7">
        <x:f>IF(M365="","",M365+P365)</x:f>
      </x:c>
      <x:c r="R365" s="7">
        <x:f>IF(K365&lt;&gt;"Paid",0,IF(C365="Income",Q365,-Q365))</x:f>
      </x:c>
      <x:c r="S365" s="14">
        <x:f>IF(A365="","",DATE(YEAR(A365),MONTH(A365),1))</x:f>
      </x:c>
      <x:c r="T365" s="14">
        <x:f>IF(L365="","",DATE(YEAR(L365),MONTH(L365),1))</x:f>
      </x:c>
    </x:row>
    <x:row r="366">
      <x:c r="A366" s="11" t="n"/>
      <x:c r="B366" s="5" t="n"/>
      <x:c r="C366" s="12" t="n"/>
      <x:c r="D366" s="12" t="n"/>
      <x:c r="E366" s="12" t="n"/>
      <x:c r="F366" s="12" t="n"/>
      <x:c r="G366" s="13">
        <x:f>IF(F366="","",IFERROR(VLOOKUP(F366,Master_Data!$E$24:$G$33,2,FALSE),"9999"))</x:f>
      </x:c>
      <x:c r="H366" s="12" t="n"/>
      <x:c r="I366" s="12" t="n"/>
      <x:c r="J366" s="12" t="n"/>
      <x:c r="K366" s="12" t="n"/>
      <x:c r="L366" s="11" t="n"/>
      <x:c r="M366" s="9" t="n"/>
      <x:c r="N366" s="12" t="n"/>
      <x:c r="O366" s="6">
        <x:f>IF(N366="","",IFERROR(VLOOKUP(N366,Master_Data!$A$5:$C$8,3,FALSE),0))</x:f>
      </x:c>
      <x:c r="P366" s="7">
        <x:f>IF(M366="","",M366*O366)</x:f>
      </x:c>
      <x:c r="Q366" s="7">
        <x:f>IF(M366="","",M366+P366)</x:f>
      </x:c>
      <x:c r="R366" s="7">
        <x:f>IF(K366&lt;&gt;"Paid",0,IF(C366="Income",Q366,-Q366))</x:f>
      </x:c>
      <x:c r="S366" s="14">
        <x:f>IF(A366="","",DATE(YEAR(A366),MONTH(A366),1))</x:f>
      </x:c>
      <x:c r="T366" s="14">
        <x:f>IF(L366="","",DATE(YEAR(L366),MONTH(L366),1))</x:f>
      </x:c>
    </x:row>
    <x:row r="367">
      <x:c r="A367" s="11" t="n"/>
      <x:c r="B367" s="5" t="n"/>
      <x:c r="C367" s="12" t="n"/>
      <x:c r="D367" s="12" t="n"/>
      <x:c r="E367" s="12" t="n"/>
      <x:c r="F367" s="12" t="n"/>
      <x:c r="G367" s="13">
        <x:f>IF(F367="","",IFERROR(VLOOKUP(F367,Master_Data!$E$24:$G$33,2,FALSE),"9999"))</x:f>
      </x:c>
      <x:c r="H367" s="12" t="n"/>
      <x:c r="I367" s="12" t="n"/>
      <x:c r="J367" s="12" t="n"/>
      <x:c r="K367" s="12" t="n"/>
      <x:c r="L367" s="11" t="n"/>
      <x:c r="M367" s="9" t="n"/>
      <x:c r="N367" s="12" t="n"/>
      <x:c r="O367" s="6">
        <x:f>IF(N367="","",IFERROR(VLOOKUP(N367,Master_Data!$A$5:$C$8,3,FALSE),0))</x:f>
      </x:c>
      <x:c r="P367" s="7">
        <x:f>IF(M367="","",M367*O367)</x:f>
      </x:c>
      <x:c r="Q367" s="7">
        <x:f>IF(M367="","",M367+P367)</x:f>
      </x:c>
      <x:c r="R367" s="7">
        <x:f>IF(K367&lt;&gt;"Paid",0,IF(C367="Income",Q367,-Q367))</x:f>
      </x:c>
      <x:c r="S367" s="14">
        <x:f>IF(A367="","",DATE(YEAR(A367),MONTH(A367),1))</x:f>
      </x:c>
      <x:c r="T367" s="14">
        <x:f>IF(L367="","",DATE(YEAR(L367),MONTH(L367),1))</x:f>
      </x:c>
    </x:row>
    <x:row r="368">
      <x:c r="A368" s="11" t="n"/>
      <x:c r="B368" s="5" t="n"/>
      <x:c r="C368" s="12" t="n"/>
      <x:c r="D368" s="12" t="n"/>
      <x:c r="E368" s="12" t="n"/>
      <x:c r="F368" s="12" t="n"/>
      <x:c r="G368" s="13">
        <x:f>IF(F368="","",IFERROR(VLOOKUP(F368,Master_Data!$E$24:$G$33,2,FALSE),"9999"))</x:f>
      </x:c>
      <x:c r="H368" s="12" t="n"/>
      <x:c r="I368" s="12" t="n"/>
      <x:c r="J368" s="12" t="n"/>
      <x:c r="K368" s="12" t="n"/>
      <x:c r="L368" s="11" t="n"/>
      <x:c r="M368" s="9" t="n"/>
      <x:c r="N368" s="12" t="n"/>
      <x:c r="O368" s="6">
        <x:f>IF(N368="","",IFERROR(VLOOKUP(N368,Master_Data!$A$5:$C$8,3,FALSE),0))</x:f>
      </x:c>
      <x:c r="P368" s="7">
        <x:f>IF(M368="","",M368*O368)</x:f>
      </x:c>
      <x:c r="Q368" s="7">
        <x:f>IF(M368="","",M368+P368)</x:f>
      </x:c>
      <x:c r="R368" s="7">
        <x:f>IF(K368&lt;&gt;"Paid",0,IF(C368="Income",Q368,-Q368))</x:f>
      </x:c>
      <x:c r="S368" s="14">
        <x:f>IF(A368="","",DATE(YEAR(A368),MONTH(A368),1))</x:f>
      </x:c>
      <x:c r="T368" s="14">
        <x:f>IF(L368="","",DATE(YEAR(L368),MONTH(L368),1))</x:f>
      </x:c>
    </x:row>
    <x:row r="369">
      <x:c r="A369" s="11" t="n"/>
      <x:c r="B369" s="5" t="n"/>
      <x:c r="C369" s="12" t="n"/>
      <x:c r="D369" s="12" t="n"/>
      <x:c r="E369" s="12" t="n"/>
      <x:c r="F369" s="12" t="n"/>
      <x:c r="G369" s="13">
        <x:f>IF(F369="","",IFERROR(VLOOKUP(F369,Master_Data!$E$24:$G$33,2,FALSE),"9999"))</x:f>
      </x:c>
      <x:c r="H369" s="12" t="n"/>
      <x:c r="I369" s="12" t="n"/>
      <x:c r="J369" s="12" t="n"/>
      <x:c r="K369" s="12" t="n"/>
      <x:c r="L369" s="11" t="n"/>
      <x:c r="M369" s="9" t="n"/>
      <x:c r="N369" s="12" t="n"/>
      <x:c r="O369" s="6">
        <x:f>IF(N369="","",IFERROR(VLOOKUP(N369,Master_Data!$A$5:$C$8,3,FALSE),0))</x:f>
      </x:c>
      <x:c r="P369" s="7">
        <x:f>IF(M369="","",M369*O369)</x:f>
      </x:c>
      <x:c r="Q369" s="7">
        <x:f>IF(M369="","",M369+P369)</x:f>
      </x:c>
      <x:c r="R369" s="7">
        <x:f>IF(K369&lt;&gt;"Paid",0,IF(C369="Income",Q369,-Q369))</x:f>
      </x:c>
      <x:c r="S369" s="14">
        <x:f>IF(A369="","",DATE(YEAR(A369),MONTH(A369),1))</x:f>
      </x:c>
      <x:c r="T369" s="14">
        <x:f>IF(L369="","",DATE(YEAR(L369),MONTH(L369),1))</x:f>
      </x:c>
    </x:row>
    <x:row r="370">
      <x:c r="A370" s="11" t="n"/>
      <x:c r="B370" s="5" t="n"/>
      <x:c r="C370" s="12" t="n"/>
      <x:c r="D370" s="12" t="n"/>
      <x:c r="E370" s="12" t="n"/>
      <x:c r="F370" s="12" t="n"/>
      <x:c r="G370" s="13">
        <x:f>IF(F370="","",IFERROR(VLOOKUP(F370,Master_Data!$E$24:$G$33,2,FALSE),"9999"))</x:f>
      </x:c>
      <x:c r="H370" s="12" t="n"/>
      <x:c r="I370" s="12" t="n"/>
      <x:c r="J370" s="12" t="n"/>
      <x:c r="K370" s="12" t="n"/>
      <x:c r="L370" s="11" t="n"/>
      <x:c r="M370" s="9" t="n"/>
      <x:c r="N370" s="12" t="n"/>
      <x:c r="O370" s="6">
        <x:f>IF(N370="","",IFERROR(VLOOKUP(N370,Master_Data!$A$5:$C$8,3,FALSE),0))</x:f>
      </x:c>
      <x:c r="P370" s="7">
        <x:f>IF(M370="","",M370*O370)</x:f>
      </x:c>
      <x:c r="Q370" s="7">
        <x:f>IF(M370="","",M370+P370)</x:f>
      </x:c>
      <x:c r="R370" s="7">
        <x:f>IF(K370&lt;&gt;"Paid",0,IF(C370="Income",Q370,-Q370))</x:f>
      </x:c>
      <x:c r="S370" s="14">
        <x:f>IF(A370="","",DATE(YEAR(A370),MONTH(A370),1))</x:f>
      </x:c>
      <x:c r="T370" s="14">
        <x:f>IF(L370="","",DATE(YEAR(L370),MONTH(L370),1))</x:f>
      </x:c>
    </x:row>
    <x:row r="371">
      <x:c r="A371" s="11" t="n"/>
      <x:c r="B371" s="5" t="n"/>
      <x:c r="C371" s="12" t="n"/>
      <x:c r="D371" s="12" t="n"/>
      <x:c r="E371" s="12" t="n"/>
      <x:c r="F371" s="12" t="n"/>
      <x:c r="G371" s="13">
        <x:f>IF(F371="","",IFERROR(VLOOKUP(F371,Master_Data!$E$24:$G$33,2,FALSE),"9999"))</x:f>
      </x:c>
      <x:c r="H371" s="12" t="n"/>
      <x:c r="I371" s="12" t="n"/>
      <x:c r="J371" s="12" t="n"/>
      <x:c r="K371" s="12" t="n"/>
      <x:c r="L371" s="11" t="n"/>
      <x:c r="M371" s="9" t="n"/>
      <x:c r="N371" s="12" t="n"/>
      <x:c r="O371" s="6">
        <x:f>IF(N371="","",IFERROR(VLOOKUP(N371,Master_Data!$A$5:$C$8,3,FALSE),0))</x:f>
      </x:c>
      <x:c r="P371" s="7">
        <x:f>IF(M371="","",M371*O371)</x:f>
      </x:c>
      <x:c r="Q371" s="7">
        <x:f>IF(M371="","",M371+P371)</x:f>
      </x:c>
      <x:c r="R371" s="7">
        <x:f>IF(K371&lt;&gt;"Paid",0,IF(C371="Income",Q371,-Q371))</x:f>
      </x:c>
      <x:c r="S371" s="14">
        <x:f>IF(A371="","",DATE(YEAR(A371),MONTH(A371),1))</x:f>
      </x:c>
      <x:c r="T371" s="14">
        <x:f>IF(L371="","",DATE(YEAR(L371),MONTH(L371),1))</x:f>
      </x:c>
    </x:row>
    <x:row r="372">
      <x:c r="A372" s="11" t="n"/>
      <x:c r="B372" s="5" t="n"/>
      <x:c r="C372" s="12" t="n"/>
      <x:c r="D372" s="12" t="n"/>
      <x:c r="E372" s="12" t="n"/>
      <x:c r="F372" s="12" t="n"/>
      <x:c r="G372" s="13">
        <x:f>IF(F372="","",IFERROR(VLOOKUP(F372,Master_Data!$E$24:$G$33,2,FALSE),"9999"))</x:f>
      </x:c>
      <x:c r="H372" s="12" t="n"/>
      <x:c r="I372" s="12" t="n"/>
      <x:c r="J372" s="12" t="n"/>
      <x:c r="K372" s="12" t="n"/>
      <x:c r="L372" s="11" t="n"/>
      <x:c r="M372" s="9" t="n"/>
      <x:c r="N372" s="12" t="n"/>
      <x:c r="O372" s="6">
        <x:f>IF(N372="","",IFERROR(VLOOKUP(N372,Master_Data!$A$5:$C$8,3,FALSE),0))</x:f>
      </x:c>
      <x:c r="P372" s="7">
        <x:f>IF(M372="","",M372*O372)</x:f>
      </x:c>
      <x:c r="Q372" s="7">
        <x:f>IF(M372="","",M372+P372)</x:f>
      </x:c>
      <x:c r="R372" s="7">
        <x:f>IF(K372&lt;&gt;"Paid",0,IF(C372="Income",Q372,-Q372))</x:f>
      </x:c>
      <x:c r="S372" s="14">
        <x:f>IF(A372="","",DATE(YEAR(A372),MONTH(A372),1))</x:f>
      </x:c>
      <x:c r="T372" s="14">
        <x:f>IF(L372="","",DATE(YEAR(L372),MONTH(L372),1))</x:f>
      </x:c>
    </x:row>
    <x:row r="373">
      <x:c r="A373" s="11" t="n"/>
      <x:c r="B373" s="5" t="n"/>
      <x:c r="C373" s="12" t="n"/>
      <x:c r="D373" s="12" t="n"/>
      <x:c r="E373" s="12" t="n"/>
      <x:c r="F373" s="12" t="n"/>
      <x:c r="G373" s="13">
        <x:f>IF(F373="","",IFERROR(VLOOKUP(F373,Master_Data!$E$24:$G$33,2,FALSE),"9999"))</x:f>
      </x:c>
      <x:c r="H373" s="12" t="n"/>
      <x:c r="I373" s="12" t="n"/>
      <x:c r="J373" s="12" t="n"/>
      <x:c r="K373" s="12" t="n"/>
      <x:c r="L373" s="11" t="n"/>
      <x:c r="M373" s="9" t="n"/>
      <x:c r="N373" s="12" t="n"/>
      <x:c r="O373" s="6">
        <x:f>IF(N373="","",IFERROR(VLOOKUP(N373,Master_Data!$A$5:$C$8,3,FALSE),0))</x:f>
      </x:c>
      <x:c r="P373" s="7">
        <x:f>IF(M373="","",M373*O373)</x:f>
      </x:c>
      <x:c r="Q373" s="7">
        <x:f>IF(M373="","",M373+P373)</x:f>
      </x:c>
      <x:c r="R373" s="7">
        <x:f>IF(K373&lt;&gt;"Paid",0,IF(C373="Income",Q373,-Q373))</x:f>
      </x:c>
      <x:c r="S373" s="14">
        <x:f>IF(A373="","",DATE(YEAR(A373),MONTH(A373),1))</x:f>
      </x:c>
      <x:c r="T373" s="14">
        <x:f>IF(L373="","",DATE(YEAR(L373),MONTH(L373),1))</x:f>
      </x:c>
    </x:row>
    <x:row r="374">
      <x:c r="A374" s="11" t="n"/>
      <x:c r="B374" s="5" t="n"/>
      <x:c r="C374" s="12" t="n"/>
      <x:c r="D374" s="12" t="n"/>
      <x:c r="E374" s="12" t="n"/>
      <x:c r="F374" s="12" t="n"/>
      <x:c r="G374" s="13">
        <x:f>IF(F374="","",IFERROR(VLOOKUP(F374,Master_Data!$E$24:$G$33,2,FALSE),"9999"))</x:f>
      </x:c>
      <x:c r="H374" s="12" t="n"/>
      <x:c r="I374" s="12" t="n"/>
      <x:c r="J374" s="12" t="n"/>
      <x:c r="K374" s="12" t="n"/>
      <x:c r="L374" s="11" t="n"/>
      <x:c r="M374" s="9" t="n"/>
      <x:c r="N374" s="12" t="n"/>
      <x:c r="O374" s="6">
        <x:f>IF(N374="","",IFERROR(VLOOKUP(N374,Master_Data!$A$5:$C$8,3,FALSE),0))</x:f>
      </x:c>
      <x:c r="P374" s="7">
        <x:f>IF(M374="","",M374*O374)</x:f>
      </x:c>
      <x:c r="Q374" s="7">
        <x:f>IF(M374="","",M374+P374)</x:f>
      </x:c>
      <x:c r="R374" s="7">
        <x:f>IF(K374&lt;&gt;"Paid",0,IF(C374="Income",Q374,-Q374))</x:f>
      </x:c>
      <x:c r="S374" s="14">
        <x:f>IF(A374="","",DATE(YEAR(A374),MONTH(A374),1))</x:f>
      </x:c>
      <x:c r="T374" s="14">
        <x:f>IF(L374="","",DATE(YEAR(L374),MONTH(L374),1))</x:f>
      </x:c>
    </x:row>
    <x:row r="375">
      <x:c r="A375" s="11" t="n"/>
      <x:c r="B375" s="5" t="n"/>
      <x:c r="C375" s="12" t="n"/>
      <x:c r="D375" s="12" t="n"/>
      <x:c r="E375" s="12" t="n"/>
      <x:c r="F375" s="12" t="n"/>
      <x:c r="G375" s="13">
        <x:f>IF(F375="","",IFERROR(VLOOKUP(F375,Master_Data!$E$24:$G$33,2,FALSE),"9999"))</x:f>
      </x:c>
      <x:c r="H375" s="12" t="n"/>
      <x:c r="I375" s="12" t="n"/>
      <x:c r="J375" s="12" t="n"/>
      <x:c r="K375" s="12" t="n"/>
      <x:c r="L375" s="11" t="n"/>
      <x:c r="M375" s="9" t="n"/>
      <x:c r="N375" s="12" t="n"/>
      <x:c r="O375" s="6">
        <x:f>IF(N375="","",IFERROR(VLOOKUP(N375,Master_Data!$A$5:$C$8,3,FALSE),0))</x:f>
      </x:c>
      <x:c r="P375" s="7">
        <x:f>IF(M375="","",M375*O375)</x:f>
      </x:c>
      <x:c r="Q375" s="7">
        <x:f>IF(M375="","",M375+P375)</x:f>
      </x:c>
      <x:c r="R375" s="7">
        <x:f>IF(K375&lt;&gt;"Paid",0,IF(C375="Income",Q375,-Q375))</x:f>
      </x:c>
      <x:c r="S375" s="14">
        <x:f>IF(A375="","",DATE(YEAR(A375),MONTH(A375),1))</x:f>
      </x:c>
      <x:c r="T375" s="14">
        <x:f>IF(L375="","",DATE(YEAR(L375),MONTH(L375),1))</x:f>
      </x:c>
    </x:row>
    <x:row r="376">
      <x:c r="A376" s="11" t="n"/>
      <x:c r="B376" s="5" t="n"/>
      <x:c r="C376" s="12" t="n"/>
      <x:c r="D376" s="12" t="n"/>
      <x:c r="E376" s="12" t="n"/>
      <x:c r="F376" s="12" t="n"/>
      <x:c r="G376" s="13">
        <x:f>IF(F376="","",IFERROR(VLOOKUP(F376,Master_Data!$E$24:$G$33,2,FALSE),"9999"))</x:f>
      </x:c>
      <x:c r="H376" s="12" t="n"/>
      <x:c r="I376" s="12" t="n"/>
      <x:c r="J376" s="12" t="n"/>
      <x:c r="K376" s="12" t="n"/>
      <x:c r="L376" s="11" t="n"/>
      <x:c r="M376" s="9" t="n"/>
      <x:c r="N376" s="12" t="n"/>
      <x:c r="O376" s="6">
        <x:f>IF(N376="","",IFERROR(VLOOKUP(N376,Master_Data!$A$5:$C$8,3,FALSE),0))</x:f>
      </x:c>
      <x:c r="P376" s="7">
        <x:f>IF(M376="","",M376*O376)</x:f>
      </x:c>
      <x:c r="Q376" s="7">
        <x:f>IF(M376="","",M376+P376)</x:f>
      </x:c>
      <x:c r="R376" s="7">
        <x:f>IF(K376&lt;&gt;"Paid",0,IF(C376="Income",Q376,-Q376))</x:f>
      </x:c>
      <x:c r="S376" s="14">
        <x:f>IF(A376="","",DATE(YEAR(A376),MONTH(A376),1))</x:f>
      </x:c>
      <x:c r="T376" s="14">
        <x:f>IF(L376="","",DATE(YEAR(L376),MONTH(L376),1))</x:f>
      </x:c>
    </x:row>
    <x:row r="377">
      <x:c r="A377" s="11" t="n"/>
      <x:c r="B377" s="5" t="n"/>
      <x:c r="C377" s="12" t="n"/>
      <x:c r="D377" s="12" t="n"/>
      <x:c r="E377" s="12" t="n"/>
      <x:c r="F377" s="12" t="n"/>
      <x:c r="G377" s="13">
        <x:f>IF(F377="","",IFERROR(VLOOKUP(F377,Master_Data!$E$24:$G$33,2,FALSE),"9999"))</x:f>
      </x:c>
      <x:c r="H377" s="12" t="n"/>
      <x:c r="I377" s="12" t="n"/>
      <x:c r="J377" s="12" t="n"/>
      <x:c r="K377" s="12" t="n"/>
      <x:c r="L377" s="11" t="n"/>
      <x:c r="M377" s="9" t="n"/>
      <x:c r="N377" s="12" t="n"/>
      <x:c r="O377" s="6">
        <x:f>IF(N377="","",IFERROR(VLOOKUP(N377,Master_Data!$A$5:$C$8,3,FALSE),0))</x:f>
      </x:c>
      <x:c r="P377" s="7">
        <x:f>IF(M377="","",M377*O377)</x:f>
      </x:c>
      <x:c r="Q377" s="7">
        <x:f>IF(M377="","",M377+P377)</x:f>
      </x:c>
      <x:c r="R377" s="7">
        <x:f>IF(K377&lt;&gt;"Paid",0,IF(C377="Income",Q377,-Q377))</x:f>
      </x:c>
      <x:c r="S377" s="14">
        <x:f>IF(A377="","",DATE(YEAR(A377),MONTH(A377),1))</x:f>
      </x:c>
      <x:c r="T377" s="14">
        <x:f>IF(L377="","",DATE(YEAR(L377),MONTH(L377),1))</x:f>
      </x:c>
    </x:row>
    <x:row r="378">
      <x:c r="A378" s="11" t="n"/>
      <x:c r="B378" s="5" t="n"/>
      <x:c r="C378" s="12" t="n"/>
      <x:c r="D378" s="12" t="n"/>
      <x:c r="E378" s="12" t="n"/>
      <x:c r="F378" s="12" t="n"/>
      <x:c r="G378" s="13">
        <x:f>IF(F378="","",IFERROR(VLOOKUP(F378,Master_Data!$E$24:$G$33,2,FALSE),"9999"))</x:f>
      </x:c>
      <x:c r="H378" s="12" t="n"/>
      <x:c r="I378" s="12" t="n"/>
      <x:c r="J378" s="12" t="n"/>
      <x:c r="K378" s="12" t="n"/>
      <x:c r="L378" s="11" t="n"/>
      <x:c r="M378" s="9" t="n"/>
      <x:c r="N378" s="12" t="n"/>
      <x:c r="O378" s="6">
        <x:f>IF(N378="","",IFERROR(VLOOKUP(N378,Master_Data!$A$5:$C$8,3,FALSE),0))</x:f>
      </x:c>
      <x:c r="P378" s="7">
        <x:f>IF(M378="","",M378*O378)</x:f>
      </x:c>
      <x:c r="Q378" s="7">
        <x:f>IF(M378="","",M378+P378)</x:f>
      </x:c>
      <x:c r="R378" s="7">
        <x:f>IF(K378&lt;&gt;"Paid",0,IF(C378="Income",Q378,-Q378))</x:f>
      </x:c>
      <x:c r="S378" s="14">
        <x:f>IF(A378="","",DATE(YEAR(A378),MONTH(A378),1))</x:f>
      </x:c>
      <x:c r="T378" s="14">
        <x:f>IF(L378="","",DATE(YEAR(L378),MONTH(L378),1))</x:f>
      </x:c>
    </x:row>
    <x:row r="379">
      <x:c r="A379" s="11" t="n"/>
      <x:c r="B379" s="5" t="n"/>
      <x:c r="C379" s="12" t="n"/>
      <x:c r="D379" s="12" t="n"/>
      <x:c r="E379" s="12" t="n"/>
      <x:c r="F379" s="12" t="n"/>
      <x:c r="G379" s="13">
        <x:f>IF(F379="","",IFERROR(VLOOKUP(F379,Master_Data!$E$24:$G$33,2,FALSE),"9999"))</x:f>
      </x:c>
      <x:c r="H379" s="12" t="n"/>
      <x:c r="I379" s="12" t="n"/>
      <x:c r="J379" s="12" t="n"/>
      <x:c r="K379" s="12" t="n"/>
      <x:c r="L379" s="11" t="n"/>
      <x:c r="M379" s="9" t="n"/>
      <x:c r="N379" s="12" t="n"/>
      <x:c r="O379" s="6">
        <x:f>IF(N379="","",IFERROR(VLOOKUP(N379,Master_Data!$A$5:$C$8,3,FALSE),0))</x:f>
      </x:c>
      <x:c r="P379" s="7">
        <x:f>IF(M379="","",M379*O379)</x:f>
      </x:c>
      <x:c r="Q379" s="7">
        <x:f>IF(M379="","",M379+P379)</x:f>
      </x:c>
      <x:c r="R379" s="7">
        <x:f>IF(K379&lt;&gt;"Paid",0,IF(C379="Income",Q379,-Q379))</x:f>
      </x:c>
      <x:c r="S379" s="14">
        <x:f>IF(A379="","",DATE(YEAR(A379),MONTH(A379),1))</x:f>
      </x:c>
      <x:c r="T379" s="14">
        <x:f>IF(L379="","",DATE(YEAR(L379),MONTH(L379),1))</x:f>
      </x:c>
    </x:row>
    <x:row r="380">
      <x:c r="A380" s="11" t="n"/>
      <x:c r="B380" s="5" t="n"/>
      <x:c r="C380" s="12" t="n"/>
      <x:c r="D380" s="12" t="n"/>
      <x:c r="E380" s="12" t="n"/>
      <x:c r="F380" s="12" t="n"/>
      <x:c r="G380" s="13">
        <x:f>IF(F380="","",IFERROR(VLOOKUP(F380,Master_Data!$E$24:$G$33,2,FALSE),"9999"))</x:f>
      </x:c>
      <x:c r="H380" s="12" t="n"/>
      <x:c r="I380" s="12" t="n"/>
      <x:c r="J380" s="12" t="n"/>
      <x:c r="K380" s="12" t="n"/>
      <x:c r="L380" s="11" t="n"/>
      <x:c r="M380" s="9" t="n"/>
      <x:c r="N380" s="12" t="n"/>
      <x:c r="O380" s="6">
        <x:f>IF(N380="","",IFERROR(VLOOKUP(N380,Master_Data!$A$5:$C$8,3,FALSE),0))</x:f>
      </x:c>
      <x:c r="P380" s="7">
        <x:f>IF(M380="","",M380*O380)</x:f>
      </x:c>
      <x:c r="Q380" s="7">
        <x:f>IF(M380="","",M380+P380)</x:f>
      </x:c>
      <x:c r="R380" s="7">
        <x:f>IF(K380&lt;&gt;"Paid",0,IF(C380="Income",Q380,-Q380))</x:f>
      </x:c>
      <x:c r="S380" s="14">
        <x:f>IF(A380="","",DATE(YEAR(A380),MONTH(A380),1))</x:f>
      </x:c>
      <x:c r="T380" s="14">
        <x:f>IF(L380="","",DATE(YEAR(L380),MONTH(L380),1))</x:f>
      </x:c>
    </x:row>
    <x:row r="381">
      <x:c r="A381" s="11" t="n"/>
      <x:c r="B381" s="5" t="n"/>
      <x:c r="C381" s="12" t="n"/>
      <x:c r="D381" s="12" t="n"/>
      <x:c r="E381" s="12" t="n"/>
      <x:c r="F381" s="12" t="n"/>
      <x:c r="G381" s="13">
        <x:f>IF(F381="","",IFERROR(VLOOKUP(F381,Master_Data!$E$24:$G$33,2,FALSE),"9999"))</x:f>
      </x:c>
      <x:c r="H381" s="12" t="n"/>
      <x:c r="I381" s="12" t="n"/>
      <x:c r="J381" s="12" t="n"/>
      <x:c r="K381" s="12" t="n"/>
      <x:c r="L381" s="11" t="n"/>
      <x:c r="M381" s="9" t="n"/>
      <x:c r="N381" s="12" t="n"/>
      <x:c r="O381" s="6">
        <x:f>IF(N381="","",IFERROR(VLOOKUP(N381,Master_Data!$A$5:$C$8,3,FALSE),0))</x:f>
      </x:c>
      <x:c r="P381" s="7">
        <x:f>IF(M381="","",M381*O381)</x:f>
      </x:c>
      <x:c r="Q381" s="7">
        <x:f>IF(M381="","",M381+P381)</x:f>
      </x:c>
      <x:c r="R381" s="7">
        <x:f>IF(K381&lt;&gt;"Paid",0,IF(C381="Income",Q381,-Q381))</x:f>
      </x:c>
      <x:c r="S381" s="14">
        <x:f>IF(A381="","",DATE(YEAR(A381),MONTH(A381),1))</x:f>
      </x:c>
      <x:c r="T381" s="14">
        <x:f>IF(L381="","",DATE(YEAR(L381),MONTH(L381),1))</x:f>
      </x:c>
    </x:row>
    <x:row r="382">
      <x:c r="A382" s="11" t="n"/>
      <x:c r="B382" s="5" t="n"/>
      <x:c r="C382" s="12" t="n"/>
      <x:c r="D382" s="12" t="n"/>
      <x:c r="E382" s="12" t="n"/>
      <x:c r="F382" s="12" t="n"/>
      <x:c r="G382" s="13">
        <x:f>IF(F382="","",IFERROR(VLOOKUP(F382,Master_Data!$E$24:$G$33,2,FALSE),"9999"))</x:f>
      </x:c>
      <x:c r="H382" s="12" t="n"/>
      <x:c r="I382" s="12" t="n"/>
      <x:c r="J382" s="12" t="n"/>
      <x:c r="K382" s="12" t="n"/>
      <x:c r="L382" s="11" t="n"/>
      <x:c r="M382" s="9" t="n"/>
      <x:c r="N382" s="12" t="n"/>
      <x:c r="O382" s="6">
        <x:f>IF(N382="","",IFERROR(VLOOKUP(N382,Master_Data!$A$5:$C$8,3,FALSE),0))</x:f>
      </x:c>
      <x:c r="P382" s="7">
        <x:f>IF(M382="","",M382*O382)</x:f>
      </x:c>
      <x:c r="Q382" s="7">
        <x:f>IF(M382="","",M382+P382)</x:f>
      </x:c>
      <x:c r="R382" s="7">
        <x:f>IF(K382&lt;&gt;"Paid",0,IF(C382="Income",Q382,-Q382))</x:f>
      </x:c>
      <x:c r="S382" s="14">
        <x:f>IF(A382="","",DATE(YEAR(A382),MONTH(A382),1))</x:f>
      </x:c>
      <x:c r="T382" s="14">
        <x:f>IF(L382="","",DATE(YEAR(L382),MONTH(L382),1))</x:f>
      </x:c>
    </x:row>
    <x:row r="383">
      <x:c r="A383" s="11" t="n"/>
      <x:c r="B383" s="5" t="n"/>
      <x:c r="C383" s="12" t="n"/>
      <x:c r="D383" s="12" t="n"/>
      <x:c r="E383" s="12" t="n"/>
      <x:c r="F383" s="12" t="n"/>
      <x:c r="G383" s="13">
        <x:f>IF(F383="","",IFERROR(VLOOKUP(F383,Master_Data!$E$24:$G$33,2,FALSE),"9999"))</x:f>
      </x:c>
      <x:c r="H383" s="12" t="n"/>
      <x:c r="I383" s="12" t="n"/>
      <x:c r="J383" s="12" t="n"/>
      <x:c r="K383" s="12" t="n"/>
      <x:c r="L383" s="11" t="n"/>
      <x:c r="M383" s="9" t="n"/>
      <x:c r="N383" s="12" t="n"/>
      <x:c r="O383" s="6">
        <x:f>IF(N383="","",IFERROR(VLOOKUP(N383,Master_Data!$A$5:$C$8,3,FALSE),0))</x:f>
      </x:c>
      <x:c r="P383" s="7">
        <x:f>IF(M383="","",M383*O383)</x:f>
      </x:c>
      <x:c r="Q383" s="7">
        <x:f>IF(M383="","",M383+P383)</x:f>
      </x:c>
      <x:c r="R383" s="7">
        <x:f>IF(K383&lt;&gt;"Paid",0,IF(C383="Income",Q383,-Q383))</x:f>
      </x:c>
      <x:c r="S383" s="14">
        <x:f>IF(A383="","",DATE(YEAR(A383),MONTH(A383),1))</x:f>
      </x:c>
      <x:c r="T383" s="14">
        <x:f>IF(L383="","",DATE(YEAR(L383),MONTH(L383),1))</x:f>
      </x:c>
    </x:row>
    <x:row r="384">
      <x:c r="A384" s="11" t="n"/>
      <x:c r="B384" s="5" t="n"/>
      <x:c r="C384" s="12" t="n"/>
      <x:c r="D384" s="12" t="n"/>
      <x:c r="E384" s="12" t="n"/>
      <x:c r="F384" s="12" t="n"/>
      <x:c r="G384" s="13">
        <x:f>IF(F384="","",IFERROR(VLOOKUP(F384,Master_Data!$E$24:$G$33,2,FALSE),"9999"))</x:f>
      </x:c>
      <x:c r="H384" s="12" t="n"/>
      <x:c r="I384" s="12" t="n"/>
      <x:c r="J384" s="12" t="n"/>
      <x:c r="K384" s="12" t="n"/>
      <x:c r="L384" s="11" t="n"/>
      <x:c r="M384" s="9" t="n"/>
      <x:c r="N384" s="12" t="n"/>
      <x:c r="O384" s="6">
        <x:f>IF(N384="","",IFERROR(VLOOKUP(N384,Master_Data!$A$5:$C$8,3,FALSE),0))</x:f>
      </x:c>
      <x:c r="P384" s="7">
        <x:f>IF(M384="","",M384*O384)</x:f>
      </x:c>
      <x:c r="Q384" s="7">
        <x:f>IF(M384="","",M384+P384)</x:f>
      </x:c>
      <x:c r="R384" s="7">
        <x:f>IF(K384&lt;&gt;"Paid",0,IF(C384="Income",Q384,-Q384))</x:f>
      </x:c>
      <x:c r="S384" s="14">
        <x:f>IF(A384="","",DATE(YEAR(A384),MONTH(A384),1))</x:f>
      </x:c>
      <x:c r="T384" s="14">
        <x:f>IF(L384="","",DATE(YEAR(L384),MONTH(L384),1))</x:f>
      </x:c>
    </x:row>
    <x:row r="385">
      <x:c r="A385" s="11" t="n"/>
      <x:c r="B385" s="5" t="n"/>
      <x:c r="C385" s="12" t="n"/>
      <x:c r="D385" s="12" t="n"/>
      <x:c r="E385" s="12" t="n"/>
      <x:c r="F385" s="12" t="n"/>
      <x:c r="G385" s="13">
        <x:f>IF(F385="","",IFERROR(VLOOKUP(F385,Master_Data!$E$24:$G$33,2,FALSE),"9999"))</x:f>
      </x:c>
      <x:c r="H385" s="12" t="n"/>
      <x:c r="I385" s="12" t="n"/>
      <x:c r="J385" s="12" t="n"/>
      <x:c r="K385" s="12" t="n"/>
      <x:c r="L385" s="11" t="n"/>
      <x:c r="M385" s="9" t="n"/>
      <x:c r="N385" s="12" t="n"/>
      <x:c r="O385" s="6">
        <x:f>IF(N385="","",IFERROR(VLOOKUP(N385,Master_Data!$A$5:$C$8,3,FALSE),0))</x:f>
      </x:c>
      <x:c r="P385" s="7">
        <x:f>IF(M385="","",M385*O385)</x:f>
      </x:c>
      <x:c r="Q385" s="7">
        <x:f>IF(M385="","",M385+P385)</x:f>
      </x:c>
      <x:c r="R385" s="7">
        <x:f>IF(K385&lt;&gt;"Paid",0,IF(C385="Income",Q385,-Q385))</x:f>
      </x:c>
      <x:c r="S385" s="14">
        <x:f>IF(A385="","",DATE(YEAR(A385),MONTH(A385),1))</x:f>
      </x:c>
      <x:c r="T385" s="14">
        <x:f>IF(L385="","",DATE(YEAR(L385),MONTH(L385),1))</x:f>
      </x:c>
    </x:row>
    <x:row r="386">
      <x:c r="A386" s="11" t="n"/>
      <x:c r="B386" s="5" t="n"/>
      <x:c r="C386" s="12" t="n"/>
      <x:c r="D386" s="12" t="n"/>
      <x:c r="E386" s="12" t="n"/>
      <x:c r="F386" s="12" t="n"/>
      <x:c r="G386" s="13">
        <x:f>IF(F386="","",IFERROR(VLOOKUP(F386,Master_Data!$E$24:$G$33,2,FALSE),"9999"))</x:f>
      </x:c>
      <x:c r="H386" s="12" t="n"/>
      <x:c r="I386" s="12" t="n"/>
      <x:c r="J386" s="12" t="n"/>
      <x:c r="K386" s="12" t="n"/>
      <x:c r="L386" s="11" t="n"/>
      <x:c r="M386" s="9" t="n"/>
      <x:c r="N386" s="12" t="n"/>
      <x:c r="O386" s="6">
        <x:f>IF(N386="","",IFERROR(VLOOKUP(N386,Master_Data!$A$5:$C$8,3,FALSE),0))</x:f>
      </x:c>
      <x:c r="P386" s="7">
        <x:f>IF(M386="","",M386*O386)</x:f>
      </x:c>
      <x:c r="Q386" s="7">
        <x:f>IF(M386="","",M386+P386)</x:f>
      </x:c>
      <x:c r="R386" s="7">
        <x:f>IF(K386&lt;&gt;"Paid",0,IF(C386="Income",Q386,-Q386))</x:f>
      </x:c>
      <x:c r="S386" s="14">
        <x:f>IF(A386="","",DATE(YEAR(A386),MONTH(A386),1))</x:f>
      </x:c>
      <x:c r="T386" s="14">
        <x:f>IF(L386="","",DATE(YEAR(L386),MONTH(L386),1))</x:f>
      </x:c>
    </x:row>
    <x:row r="387">
      <x:c r="A387" s="11" t="n"/>
      <x:c r="B387" s="5" t="n"/>
      <x:c r="C387" s="12" t="n"/>
      <x:c r="D387" s="12" t="n"/>
      <x:c r="E387" s="12" t="n"/>
      <x:c r="F387" s="12" t="n"/>
      <x:c r="G387" s="13">
        <x:f>IF(F387="","",IFERROR(VLOOKUP(F387,Master_Data!$E$24:$G$33,2,FALSE),"9999"))</x:f>
      </x:c>
      <x:c r="H387" s="12" t="n"/>
      <x:c r="I387" s="12" t="n"/>
      <x:c r="J387" s="12" t="n"/>
      <x:c r="K387" s="12" t="n"/>
      <x:c r="L387" s="11" t="n"/>
      <x:c r="M387" s="9" t="n"/>
      <x:c r="N387" s="12" t="n"/>
      <x:c r="O387" s="6">
        <x:f>IF(N387="","",IFERROR(VLOOKUP(N387,Master_Data!$A$5:$C$8,3,FALSE),0))</x:f>
      </x:c>
      <x:c r="P387" s="7">
        <x:f>IF(M387="","",M387*O387)</x:f>
      </x:c>
      <x:c r="Q387" s="7">
        <x:f>IF(M387="","",M387+P387)</x:f>
      </x:c>
      <x:c r="R387" s="7">
        <x:f>IF(K387&lt;&gt;"Paid",0,IF(C387="Income",Q387,-Q387))</x:f>
      </x:c>
      <x:c r="S387" s="14">
        <x:f>IF(A387="","",DATE(YEAR(A387),MONTH(A387),1))</x:f>
      </x:c>
      <x:c r="T387" s="14">
        <x:f>IF(L387="","",DATE(YEAR(L387),MONTH(L387),1))</x:f>
      </x:c>
    </x:row>
    <x:row r="388">
      <x:c r="A388" s="11" t="n"/>
      <x:c r="B388" s="5" t="n"/>
      <x:c r="C388" s="12" t="n"/>
      <x:c r="D388" s="12" t="n"/>
      <x:c r="E388" s="12" t="n"/>
      <x:c r="F388" s="12" t="n"/>
      <x:c r="G388" s="13">
        <x:f>IF(F388="","",IFERROR(VLOOKUP(F388,Master_Data!$E$24:$G$33,2,FALSE),"9999"))</x:f>
      </x:c>
      <x:c r="H388" s="12" t="n"/>
      <x:c r="I388" s="12" t="n"/>
      <x:c r="J388" s="12" t="n"/>
      <x:c r="K388" s="12" t="n"/>
      <x:c r="L388" s="11" t="n"/>
      <x:c r="M388" s="9" t="n"/>
      <x:c r="N388" s="12" t="n"/>
      <x:c r="O388" s="6">
        <x:f>IF(N388="","",IFERROR(VLOOKUP(N388,Master_Data!$A$5:$C$8,3,FALSE),0))</x:f>
      </x:c>
      <x:c r="P388" s="7">
        <x:f>IF(M388="","",M388*O388)</x:f>
      </x:c>
      <x:c r="Q388" s="7">
        <x:f>IF(M388="","",M388+P388)</x:f>
      </x:c>
      <x:c r="R388" s="7">
        <x:f>IF(K388&lt;&gt;"Paid",0,IF(C388="Income",Q388,-Q388))</x:f>
      </x:c>
      <x:c r="S388" s="14">
        <x:f>IF(A388="","",DATE(YEAR(A388),MONTH(A388),1))</x:f>
      </x:c>
      <x:c r="T388" s="14">
        <x:f>IF(L388="","",DATE(YEAR(L388),MONTH(L388),1))</x:f>
      </x:c>
    </x:row>
    <x:row r="389">
      <x:c r="A389" s="11" t="n"/>
      <x:c r="B389" s="5" t="n"/>
      <x:c r="C389" s="12" t="n"/>
      <x:c r="D389" s="12" t="n"/>
      <x:c r="E389" s="12" t="n"/>
      <x:c r="F389" s="12" t="n"/>
      <x:c r="G389" s="13">
        <x:f>IF(F389="","",IFERROR(VLOOKUP(F389,Master_Data!$E$24:$G$33,2,FALSE),"9999"))</x:f>
      </x:c>
      <x:c r="H389" s="12" t="n"/>
      <x:c r="I389" s="12" t="n"/>
      <x:c r="J389" s="12" t="n"/>
      <x:c r="K389" s="12" t="n"/>
      <x:c r="L389" s="11" t="n"/>
      <x:c r="M389" s="9" t="n"/>
      <x:c r="N389" s="12" t="n"/>
      <x:c r="O389" s="6">
        <x:f>IF(N389="","",IFERROR(VLOOKUP(N389,Master_Data!$A$5:$C$8,3,FALSE),0))</x:f>
      </x:c>
      <x:c r="P389" s="7">
        <x:f>IF(M389="","",M389*O389)</x:f>
      </x:c>
      <x:c r="Q389" s="7">
        <x:f>IF(M389="","",M389+P389)</x:f>
      </x:c>
      <x:c r="R389" s="7">
        <x:f>IF(K389&lt;&gt;"Paid",0,IF(C389="Income",Q389,-Q389))</x:f>
      </x:c>
      <x:c r="S389" s="14">
        <x:f>IF(A389="","",DATE(YEAR(A389),MONTH(A389),1))</x:f>
      </x:c>
      <x:c r="T389" s="14">
        <x:f>IF(L389="","",DATE(YEAR(L389),MONTH(L389),1))</x:f>
      </x:c>
    </x:row>
    <x:row r="390">
      <x:c r="A390" s="11" t="n"/>
      <x:c r="B390" s="5" t="n"/>
      <x:c r="C390" s="12" t="n"/>
      <x:c r="D390" s="12" t="n"/>
      <x:c r="E390" s="12" t="n"/>
      <x:c r="F390" s="12" t="n"/>
      <x:c r="G390" s="13">
        <x:f>IF(F390="","",IFERROR(VLOOKUP(F390,Master_Data!$E$24:$G$33,2,FALSE),"9999"))</x:f>
      </x:c>
      <x:c r="H390" s="12" t="n"/>
      <x:c r="I390" s="12" t="n"/>
      <x:c r="J390" s="12" t="n"/>
      <x:c r="K390" s="12" t="n"/>
      <x:c r="L390" s="11" t="n"/>
      <x:c r="M390" s="9" t="n"/>
      <x:c r="N390" s="12" t="n"/>
      <x:c r="O390" s="6">
        <x:f>IF(N390="","",IFERROR(VLOOKUP(N390,Master_Data!$A$5:$C$8,3,FALSE),0))</x:f>
      </x:c>
      <x:c r="P390" s="7">
        <x:f>IF(M390="","",M390*O390)</x:f>
      </x:c>
      <x:c r="Q390" s="7">
        <x:f>IF(M390="","",M390+P390)</x:f>
      </x:c>
      <x:c r="R390" s="7">
        <x:f>IF(K390&lt;&gt;"Paid",0,IF(C390="Income",Q390,-Q390))</x:f>
      </x:c>
      <x:c r="S390" s="14">
        <x:f>IF(A390="","",DATE(YEAR(A390),MONTH(A390),1))</x:f>
      </x:c>
      <x:c r="T390" s="14">
        <x:f>IF(L390="","",DATE(YEAR(L390),MONTH(L390),1))</x:f>
      </x:c>
    </x:row>
    <x:row r="391">
      <x:c r="A391" s="11" t="n"/>
      <x:c r="B391" s="5" t="n"/>
      <x:c r="C391" s="12" t="n"/>
      <x:c r="D391" s="12" t="n"/>
      <x:c r="E391" s="12" t="n"/>
      <x:c r="F391" s="12" t="n"/>
      <x:c r="G391" s="13">
        <x:f>IF(F391="","",IFERROR(VLOOKUP(F391,Master_Data!$E$24:$G$33,2,FALSE),"9999"))</x:f>
      </x:c>
      <x:c r="H391" s="12" t="n"/>
      <x:c r="I391" s="12" t="n"/>
      <x:c r="J391" s="12" t="n"/>
      <x:c r="K391" s="12" t="n"/>
      <x:c r="L391" s="11" t="n"/>
      <x:c r="M391" s="9" t="n"/>
      <x:c r="N391" s="12" t="n"/>
      <x:c r="O391" s="6">
        <x:f>IF(N391="","",IFERROR(VLOOKUP(N391,Master_Data!$A$5:$C$8,3,FALSE),0))</x:f>
      </x:c>
      <x:c r="P391" s="7">
        <x:f>IF(M391="","",M391*O391)</x:f>
      </x:c>
      <x:c r="Q391" s="7">
        <x:f>IF(M391="","",M391+P391)</x:f>
      </x:c>
      <x:c r="R391" s="7">
        <x:f>IF(K391&lt;&gt;"Paid",0,IF(C391="Income",Q391,-Q391))</x:f>
      </x:c>
      <x:c r="S391" s="14">
        <x:f>IF(A391="","",DATE(YEAR(A391),MONTH(A391),1))</x:f>
      </x:c>
      <x:c r="T391" s="14">
        <x:f>IF(L391="","",DATE(YEAR(L391),MONTH(L391),1))</x:f>
      </x:c>
    </x:row>
    <x:row r="392">
      <x:c r="A392" s="11" t="n"/>
      <x:c r="B392" s="5" t="n"/>
      <x:c r="C392" s="12" t="n"/>
      <x:c r="D392" s="12" t="n"/>
      <x:c r="E392" s="12" t="n"/>
      <x:c r="F392" s="12" t="n"/>
      <x:c r="G392" s="13">
        <x:f>IF(F392="","",IFERROR(VLOOKUP(F392,Master_Data!$E$24:$G$33,2,FALSE),"9999"))</x:f>
      </x:c>
      <x:c r="H392" s="12" t="n"/>
      <x:c r="I392" s="12" t="n"/>
      <x:c r="J392" s="12" t="n"/>
      <x:c r="K392" s="12" t="n"/>
      <x:c r="L392" s="11" t="n"/>
      <x:c r="M392" s="9" t="n"/>
      <x:c r="N392" s="12" t="n"/>
      <x:c r="O392" s="6">
        <x:f>IF(N392="","",IFERROR(VLOOKUP(N392,Master_Data!$A$5:$C$8,3,FALSE),0))</x:f>
      </x:c>
      <x:c r="P392" s="7">
        <x:f>IF(M392="","",M392*O392)</x:f>
      </x:c>
      <x:c r="Q392" s="7">
        <x:f>IF(M392="","",M392+P392)</x:f>
      </x:c>
      <x:c r="R392" s="7">
        <x:f>IF(K392&lt;&gt;"Paid",0,IF(C392="Income",Q392,-Q392))</x:f>
      </x:c>
      <x:c r="S392" s="14">
        <x:f>IF(A392="","",DATE(YEAR(A392),MONTH(A392),1))</x:f>
      </x:c>
      <x:c r="T392" s="14">
        <x:f>IF(L392="","",DATE(YEAR(L392),MONTH(L392),1))</x:f>
      </x:c>
    </x:row>
    <x:row r="393">
      <x:c r="A393" s="11" t="n"/>
      <x:c r="B393" s="5" t="n"/>
      <x:c r="C393" s="12" t="n"/>
      <x:c r="D393" s="12" t="n"/>
      <x:c r="E393" s="12" t="n"/>
      <x:c r="F393" s="12" t="n"/>
      <x:c r="G393" s="13">
        <x:f>IF(F393="","",IFERROR(VLOOKUP(F393,Master_Data!$E$24:$G$33,2,FALSE),"9999"))</x:f>
      </x:c>
      <x:c r="H393" s="12" t="n"/>
      <x:c r="I393" s="12" t="n"/>
      <x:c r="J393" s="12" t="n"/>
      <x:c r="K393" s="12" t="n"/>
      <x:c r="L393" s="11" t="n"/>
      <x:c r="M393" s="9" t="n"/>
      <x:c r="N393" s="12" t="n"/>
      <x:c r="O393" s="6">
        <x:f>IF(N393="","",IFERROR(VLOOKUP(N393,Master_Data!$A$5:$C$8,3,FALSE),0))</x:f>
      </x:c>
      <x:c r="P393" s="7">
        <x:f>IF(M393="","",M393*O393)</x:f>
      </x:c>
      <x:c r="Q393" s="7">
        <x:f>IF(M393="","",M393+P393)</x:f>
      </x:c>
      <x:c r="R393" s="7">
        <x:f>IF(K393&lt;&gt;"Paid",0,IF(C393="Income",Q393,-Q393))</x:f>
      </x:c>
      <x:c r="S393" s="14">
        <x:f>IF(A393="","",DATE(YEAR(A393),MONTH(A393),1))</x:f>
      </x:c>
      <x:c r="T393" s="14">
        <x:f>IF(L393="","",DATE(YEAR(L393),MONTH(L393),1))</x:f>
      </x:c>
    </x:row>
    <x:row r="394">
      <x:c r="A394" s="11" t="n"/>
      <x:c r="B394" s="5" t="n"/>
      <x:c r="C394" s="12" t="n"/>
      <x:c r="D394" s="12" t="n"/>
      <x:c r="E394" s="12" t="n"/>
      <x:c r="F394" s="12" t="n"/>
      <x:c r="G394" s="13">
        <x:f>IF(F394="","",IFERROR(VLOOKUP(F394,Master_Data!$E$24:$G$33,2,FALSE),"9999"))</x:f>
      </x:c>
      <x:c r="H394" s="12" t="n"/>
      <x:c r="I394" s="12" t="n"/>
      <x:c r="J394" s="12" t="n"/>
      <x:c r="K394" s="12" t="n"/>
      <x:c r="L394" s="11" t="n"/>
      <x:c r="M394" s="9" t="n"/>
      <x:c r="N394" s="12" t="n"/>
      <x:c r="O394" s="6">
        <x:f>IF(N394="","",IFERROR(VLOOKUP(N394,Master_Data!$A$5:$C$8,3,FALSE),0))</x:f>
      </x:c>
      <x:c r="P394" s="7">
        <x:f>IF(M394="","",M394*O394)</x:f>
      </x:c>
      <x:c r="Q394" s="7">
        <x:f>IF(M394="","",M394+P394)</x:f>
      </x:c>
      <x:c r="R394" s="7">
        <x:f>IF(K394&lt;&gt;"Paid",0,IF(C394="Income",Q394,-Q394))</x:f>
      </x:c>
      <x:c r="S394" s="14">
        <x:f>IF(A394="","",DATE(YEAR(A394),MONTH(A394),1))</x:f>
      </x:c>
      <x:c r="T394" s="14">
        <x:f>IF(L394="","",DATE(YEAR(L394),MONTH(L394),1))</x:f>
      </x:c>
    </x:row>
    <x:row r="395">
      <x:c r="A395" s="11" t="n"/>
      <x:c r="B395" s="5" t="n"/>
      <x:c r="C395" s="12" t="n"/>
      <x:c r="D395" s="12" t="n"/>
      <x:c r="E395" s="12" t="n"/>
      <x:c r="F395" s="12" t="n"/>
      <x:c r="G395" s="13">
        <x:f>IF(F395="","",IFERROR(VLOOKUP(F395,Master_Data!$E$24:$G$33,2,FALSE),"9999"))</x:f>
      </x:c>
      <x:c r="H395" s="12" t="n"/>
      <x:c r="I395" s="12" t="n"/>
      <x:c r="J395" s="12" t="n"/>
      <x:c r="K395" s="12" t="n"/>
      <x:c r="L395" s="11" t="n"/>
      <x:c r="M395" s="9" t="n"/>
      <x:c r="N395" s="12" t="n"/>
      <x:c r="O395" s="6">
        <x:f>IF(N395="","",IFERROR(VLOOKUP(N395,Master_Data!$A$5:$C$8,3,FALSE),0))</x:f>
      </x:c>
      <x:c r="P395" s="7">
        <x:f>IF(M395="","",M395*O395)</x:f>
      </x:c>
      <x:c r="Q395" s="7">
        <x:f>IF(M395="","",M395+P395)</x:f>
      </x:c>
      <x:c r="R395" s="7">
        <x:f>IF(K395&lt;&gt;"Paid",0,IF(C395="Income",Q395,-Q395))</x:f>
      </x:c>
      <x:c r="S395" s="14">
        <x:f>IF(A395="","",DATE(YEAR(A395),MONTH(A395),1))</x:f>
      </x:c>
      <x:c r="T395" s="14">
        <x:f>IF(L395="","",DATE(YEAR(L395),MONTH(L395),1))</x:f>
      </x:c>
    </x:row>
    <x:row r="396">
      <x:c r="A396" s="11" t="n"/>
      <x:c r="B396" s="5" t="n"/>
      <x:c r="C396" s="12" t="n"/>
      <x:c r="D396" s="12" t="n"/>
      <x:c r="E396" s="12" t="n"/>
      <x:c r="F396" s="12" t="n"/>
      <x:c r="G396" s="13">
        <x:f>IF(F396="","",IFERROR(VLOOKUP(F396,Master_Data!$E$24:$G$33,2,FALSE),"9999"))</x:f>
      </x:c>
      <x:c r="H396" s="12" t="n"/>
      <x:c r="I396" s="12" t="n"/>
      <x:c r="J396" s="12" t="n"/>
      <x:c r="K396" s="12" t="n"/>
      <x:c r="L396" s="11" t="n"/>
      <x:c r="M396" s="9" t="n"/>
      <x:c r="N396" s="12" t="n"/>
      <x:c r="O396" s="6">
        <x:f>IF(N396="","",IFERROR(VLOOKUP(N396,Master_Data!$A$5:$C$8,3,FALSE),0))</x:f>
      </x:c>
      <x:c r="P396" s="7">
        <x:f>IF(M396="","",M396*O396)</x:f>
      </x:c>
      <x:c r="Q396" s="7">
        <x:f>IF(M396="","",M396+P396)</x:f>
      </x:c>
      <x:c r="R396" s="7">
        <x:f>IF(K396&lt;&gt;"Paid",0,IF(C396="Income",Q396,-Q396))</x:f>
      </x:c>
      <x:c r="S396" s="14">
        <x:f>IF(A396="","",DATE(YEAR(A396),MONTH(A396),1))</x:f>
      </x:c>
      <x:c r="T396" s="14">
        <x:f>IF(L396="","",DATE(YEAR(L396),MONTH(L396),1))</x:f>
      </x:c>
    </x:row>
    <x:row r="397">
      <x:c r="A397" s="11" t="n"/>
      <x:c r="B397" s="5" t="n"/>
      <x:c r="C397" s="12" t="n"/>
      <x:c r="D397" s="12" t="n"/>
      <x:c r="E397" s="12" t="n"/>
      <x:c r="F397" s="12" t="n"/>
      <x:c r="G397" s="13">
        <x:f>IF(F397="","",IFERROR(VLOOKUP(F397,Master_Data!$E$24:$G$33,2,FALSE),"9999"))</x:f>
      </x:c>
      <x:c r="H397" s="12" t="n"/>
      <x:c r="I397" s="12" t="n"/>
      <x:c r="J397" s="12" t="n"/>
      <x:c r="K397" s="12" t="n"/>
      <x:c r="L397" s="11" t="n"/>
      <x:c r="M397" s="9" t="n"/>
      <x:c r="N397" s="12" t="n"/>
      <x:c r="O397" s="6">
        <x:f>IF(N397="","",IFERROR(VLOOKUP(N397,Master_Data!$A$5:$C$8,3,FALSE),0))</x:f>
      </x:c>
      <x:c r="P397" s="7">
        <x:f>IF(M397="","",M397*O397)</x:f>
      </x:c>
      <x:c r="Q397" s="7">
        <x:f>IF(M397="","",M397+P397)</x:f>
      </x:c>
      <x:c r="R397" s="7">
        <x:f>IF(K397&lt;&gt;"Paid",0,IF(C397="Income",Q397,-Q397))</x:f>
      </x:c>
      <x:c r="S397" s="14">
        <x:f>IF(A397="","",DATE(YEAR(A397),MONTH(A397),1))</x:f>
      </x:c>
      <x:c r="T397" s="14">
        <x:f>IF(L397="","",DATE(YEAR(L397),MONTH(L397),1))</x:f>
      </x:c>
    </x:row>
    <x:row r="398">
      <x:c r="A398" s="11" t="n"/>
      <x:c r="B398" s="5" t="n"/>
      <x:c r="C398" s="12" t="n"/>
      <x:c r="D398" s="12" t="n"/>
      <x:c r="E398" s="12" t="n"/>
      <x:c r="F398" s="12" t="n"/>
      <x:c r="G398" s="13">
        <x:f>IF(F398="","",IFERROR(VLOOKUP(F398,Master_Data!$E$24:$G$33,2,FALSE),"9999"))</x:f>
      </x:c>
      <x:c r="H398" s="12" t="n"/>
      <x:c r="I398" s="12" t="n"/>
      <x:c r="J398" s="12" t="n"/>
      <x:c r="K398" s="12" t="n"/>
      <x:c r="L398" s="11" t="n"/>
      <x:c r="M398" s="9" t="n"/>
      <x:c r="N398" s="12" t="n"/>
      <x:c r="O398" s="6">
        <x:f>IF(N398="","",IFERROR(VLOOKUP(N398,Master_Data!$A$5:$C$8,3,FALSE),0))</x:f>
      </x:c>
      <x:c r="P398" s="7">
        <x:f>IF(M398="","",M398*O398)</x:f>
      </x:c>
      <x:c r="Q398" s="7">
        <x:f>IF(M398="","",M398+P398)</x:f>
      </x:c>
      <x:c r="R398" s="7">
        <x:f>IF(K398&lt;&gt;"Paid",0,IF(C398="Income",Q398,-Q398))</x:f>
      </x:c>
      <x:c r="S398" s="14">
        <x:f>IF(A398="","",DATE(YEAR(A398),MONTH(A398),1))</x:f>
      </x:c>
      <x:c r="T398" s="14">
        <x:f>IF(L398="","",DATE(YEAR(L398),MONTH(L398),1))</x:f>
      </x:c>
    </x:row>
    <x:row r="399">
      <x:c r="A399" s="11" t="n"/>
      <x:c r="B399" s="5" t="n"/>
      <x:c r="C399" s="12" t="n"/>
      <x:c r="D399" s="12" t="n"/>
      <x:c r="E399" s="12" t="n"/>
      <x:c r="F399" s="12" t="n"/>
      <x:c r="G399" s="13">
        <x:f>IF(F399="","",IFERROR(VLOOKUP(F399,Master_Data!$E$24:$G$33,2,FALSE),"9999"))</x:f>
      </x:c>
      <x:c r="H399" s="12" t="n"/>
      <x:c r="I399" s="12" t="n"/>
      <x:c r="J399" s="12" t="n"/>
      <x:c r="K399" s="12" t="n"/>
      <x:c r="L399" s="11" t="n"/>
      <x:c r="M399" s="9" t="n"/>
      <x:c r="N399" s="12" t="n"/>
      <x:c r="O399" s="6">
        <x:f>IF(N399="","",IFERROR(VLOOKUP(N399,Master_Data!$A$5:$C$8,3,FALSE),0))</x:f>
      </x:c>
      <x:c r="P399" s="7">
        <x:f>IF(M399="","",M399*O399)</x:f>
      </x:c>
      <x:c r="Q399" s="7">
        <x:f>IF(M399="","",M399+P399)</x:f>
      </x:c>
      <x:c r="R399" s="7">
        <x:f>IF(K399&lt;&gt;"Paid",0,IF(C399="Income",Q399,-Q399))</x:f>
      </x:c>
      <x:c r="S399" s="14">
        <x:f>IF(A399="","",DATE(YEAR(A399),MONTH(A399),1))</x:f>
      </x:c>
      <x:c r="T399" s="14">
        <x:f>IF(L399="","",DATE(YEAR(L399),MONTH(L399),1))</x:f>
      </x:c>
    </x:row>
    <x:row r="400">
      <x:c r="A400" s="11" t="n"/>
      <x:c r="B400" s="5" t="n"/>
      <x:c r="C400" s="12" t="n"/>
      <x:c r="D400" s="12" t="n"/>
      <x:c r="E400" s="12" t="n"/>
      <x:c r="F400" s="12" t="n"/>
      <x:c r="G400" s="13">
        <x:f>IF(F400="","",IFERROR(VLOOKUP(F400,Master_Data!$E$24:$G$33,2,FALSE),"9999"))</x:f>
      </x:c>
      <x:c r="H400" s="12" t="n"/>
      <x:c r="I400" s="12" t="n"/>
      <x:c r="J400" s="12" t="n"/>
      <x:c r="K400" s="12" t="n"/>
      <x:c r="L400" s="11" t="n"/>
      <x:c r="M400" s="9" t="n"/>
      <x:c r="N400" s="12" t="n"/>
      <x:c r="O400" s="6">
        <x:f>IF(N400="","",IFERROR(VLOOKUP(N400,Master_Data!$A$5:$C$8,3,FALSE),0))</x:f>
      </x:c>
      <x:c r="P400" s="7">
        <x:f>IF(M400="","",M400*O400)</x:f>
      </x:c>
      <x:c r="Q400" s="7">
        <x:f>IF(M400="","",M400+P400)</x:f>
      </x:c>
      <x:c r="R400" s="7">
        <x:f>IF(K400&lt;&gt;"Paid",0,IF(C400="Income",Q400,-Q400))</x:f>
      </x:c>
      <x:c r="S400" s="14">
        <x:f>IF(A400="","",DATE(YEAR(A400),MONTH(A400),1))</x:f>
      </x:c>
      <x:c r="T400" s="14">
        <x:f>IF(L400="","",DATE(YEAR(L400),MONTH(L400),1))</x:f>
      </x:c>
    </x:row>
    <x:row r="401">
      <x:c r="A401" s="11" t="n"/>
      <x:c r="B401" s="5" t="n"/>
      <x:c r="C401" s="12" t="n"/>
      <x:c r="D401" s="12" t="n"/>
      <x:c r="E401" s="12" t="n"/>
      <x:c r="F401" s="12" t="n"/>
      <x:c r="G401" s="13">
        <x:f>IF(F401="","",IFERROR(VLOOKUP(F401,Master_Data!$E$24:$G$33,2,FALSE),"9999"))</x:f>
      </x:c>
      <x:c r="H401" s="12" t="n"/>
      <x:c r="I401" s="12" t="n"/>
      <x:c r="J401" s="12" t="n"/>
      <x:c r="K401" s="12" t="n"/>
      <x:c r="L401" s="11" t="n"/>
      <x:c r="M401" s="9" t="n"/>
      <x:c r="N401" s="12" t="n"/>
      <x:c r="O401" s="6">
        <x:f>IF(N401="","",IFERROR(VLOOKUP(N401,Master_Data!$A$5:$C$8,3,FALSE),0))</x:f>
      </x:c>
      <x:c r="P401" s="7">
        <x:f>IF(M401="","",M401*O401)</x:f>
      </x:c>
      <x:c r="Q401" s="7">
        <x:f>IF(M401="","",M401+P401)</x:f>
      </x:c>
      <x:c r="R401" s="7">
        <x:f>IF(K401&lt;&gt;"Paid",0,IF(C401="Income",Q401,-Q401))</x:f>
      </x:c>
      <x:c r="S401" s="14">
        <x:f>IF(A401="","",DATE(YEAR(A401),MONTH(A401),1))</x:f>
      </x:c>
      <x:c r="T401" s="14">
        <x:f>IF(L401="","",DATE(YEAR(L401),MONTH(L401),1))</x:f>
      </x:c>
    </x:row>
    <x:row r="402">
      <x:c r="A402" s="11" t="n"/>
      <x:c r="B402" s="5" t="n"/>
      <x:c r="C402" s="12" t="n"/>
      <x:c r="D402" s="12" t="n"/>
      <x:c r="E402" s="12" t="n"/>
      <x:c r="F402" s="12" t="n"/>
      <x:c r="G402" s="13">
        <x:f>IF(F402="","",IFERROR(VLOOKUP(F402,Master_Data!$E$24:$G$33,2,FALSE),"9999"))</x:f>
      </x:c>
      <x:c r="H402" s="12" t="n"/>
      <x:c r="I402" s="12" t="n"/>
      <x:c r="J402" s="12" t="n"/>
      <x:c r="K402" s="12" t="n"/>
      <x:c r="L402" s="11" t="n"/>
      <x:c r="M402" s="9" t="n"/>
      <x:c r="N402" s="12" t="n"/>
      <x:c r="O402" s="6">
        <x:f>IF(N402="","",IFERROR(VLOOKUP(N402,Master_Data!$A$5:$C$8,3,FALSE),0))</x:f>
      </x:c>
      <x:c r="P402" s="7">
        <x:f>IF(M402="","",M402*O402)</x:f>
      </x:c>
      <x:c r="Q402" s="7">
        <x:f>IF(M402="","",M402+P402)</x:f>
      </x:c>
      <x:c r="R402" s="7">
        <x:f>IF(K402&lt;&gt;"Paid",0,IF(C402="Income",Q402,-Q402))</x:f>
      </x:c>
      <x:c r="S402" s="14">
        <x:f>IF(A402="","",DATE(YEAR(A402),MONTH(A402),1))</x:f>
      </x:c>
      <x:c r="T402" s="14">
        <x:f>IF(L402="","",DATE(YEAR(L402),MONTH(L402),1))</x:f>
      </x:c>
    </x:row>
    <x:row r="403">
      <x:c r="A403" s="11" t="n"/>
      <x:c r="B403" s="5" t="n"/>
      <x:c r="C403" s="12" t="n"/>
      <x:c r="D403" s="12" t="n"/>
      <x:c r="E403" s="12" t="n"/>
      <x:c r="F403" s="12" t="n"/>
      <x:c r="G403" s="13">
        <x:f>IF(F403="","",IFERROR(VLOOKUP(F403,Master_Data!$E$24:$G$33,2,FALSE),"9999"))</x:f>
      </x:c>
      <x:c r="H403" s="12" t="n"/>
      <x:c r="I403" s="12" t="n"/>
      <x:c r="J403" s="12" t="n"/>
      <x:c r="K403" s="12" t="n"/>
      <x:c r="L403" s="11" t="n"/>
      <x:c r="M403" s="9" t="n"/>
      <x:c r="N403" s="12" t="n"/>
      <x:c r="O403" s="6">
        <x:f>IF(N403="","",IFERROR(VLOOKUP(N403,Master_Data!$A$5:$C$8,3,FALSE),0))</x:f>
      </x:c>
      <x:c r="P403" s="7">
        <x:f>IF(M403="","",M403*O403)</x:f>
      </x:c>
      <x:c r="Q403" s="7">
        <x:f>IF(M403="","",M403+P403)</x:f>
      </x:c>
      <x:c r="R403" s="7">
        <x:f>IF(K403&lt;&gt;"Paid",0,IF(C403="Income",Q403,-Q403))</x:f>
      </x:c>
      <x:c r="S403" s="14">
        <x:f>IF(A403="","",DATE(YEAR(A403),MONTH(A403),1))</x:f>
      </x:c>
      <x:c r="T403" s="14">
        <x:f>IF(L403="","",DATE(YEAR(L403),MONTH(L403),1))</x:f>
      </x:c>
    </x:row>
    <x:row r="404">
      <x:c r="A404" s="11" t="n"/>
      <x:c r="B404" s="5" t="n"/>
      <x:c r="C404" s="12" t="n"/>
      <x:c r="D404" s="12" t="n"/>
      <x:c r="E404" s="12" t="n"/>
      <x:c r="F404" s="12" t="n"/>
      <x:c r="G404" s="13">
        <x:f>IF(F404="","",IFERROR(VLOOKUP(F404,Master_Data!$E$24:$G$33,2,FALSE),"9999"))</x:f>
      </x:c>
      <x:c r="H404" s="12" t="n"/>
      <x:c r="I404" s="12" t="n"/>
      <x:c r="J404" s="12" t="n"/>
      <x:c r="K404" s="12" t="n"/>
      <x:c r="L404" s="11" t="n"/>
      <x:c r="M404" s="9" t="n"/>
      <x:c r="N404" s="12" t="n"/>
      <x:c r="O404" s="6">
        <x:f>IF(N404="","",IFERROR(VLOOKUP(N404,Master_Data!$A$5:$C$8,3,FALSE),0))</x:f>
      </x:c>
      <x:c r="P404" s="7">
        <x:f>IF(M404="","",M404*O404)</x:f>
      </x:c>
      <x:c r="Q404" s="7">
        <x:f>IF(M404="","",M404+P404)</x:f>
      </x:c>
      <x:c r="R404" s="7">
        <x:f>IF(K404&lt;&gt;"Paid",0,IF(C404="Income",Q404,-Q404))</x:f>
      </x:c>
      <x:c r="S404" s="14">
        <x:f>IF(A404="","",DATE(YEAR(A404),MONTH(A404),1))</x:f>
      </x:c>
      <x:c r="T404" s="14">
        <x:f>IF(L404="","",DATE(YEAR(L404),MONTH(L404),1))</x:f>
      </x:c>
    </x:row>
    <x:row r="405">
      <x:c r="A405" s="11" t="n"/>
      <x:c r="B405" s="5" t="n"/>
      <x:c r="C405" s="12" t="n"/>
      <x:c r="D405" s="12" t="n"/>
      <x:c r="E405" s="12" t="n"/>
      <x:c r="F405" s="12" t="n"/>
      <x:c r="G405" s="13">
        <x:f>IF(F405="","",IFERROR(VLOOKUP(F405,Master_Data!$E$24:$G$33,2,FALSE),"9999"))</x:f>
      </x:c>
      <x:c r="H405" s="12" t="n"/>
      <x:c r="I405" s="12" t="n"/>
      <x:c r="J405" s="12" t="n"/>
      <x:c r="K405" s="12" t="n"/>
      <x:c r="L405" s="11" t="n"/>
      <x:c r="M405" s="9" t="n"/>
      <x:c r="N405" s="12" t="n"/>
      <x:c r="O405" s="6">
        <x:f>IF(N405="","",IFERROR(VLOOKUP(N405,Master_Data!$A$5:$C$8,3,FALSE),0))</x:f>
      </x:c>
      <x:c r="P405" s="7">
        <x:f>IF(M405="","",M405*O405)</x:f>
      </x:c>
      <x:c r="Q405" s="7">
        <x:f>IF(M405="","",M405+P405)</x:f>
      </x:c>
      <x:c r="R405" s="7">
        <x:f>IF(K405&lt;&gt;"Paid",0,IF(C405="Income",Q405,-Q405))</x:f>
      </x:c>
      <x:c r="S405" s="14">
        <x:f>IF(A405="","",DATE(YEAR(A405),MONTH(A405),1))</x:f>
      </x:c>
      <x:c r="T405" s="14">
        <x:f>IF(L405="","",DATE(YEAR(L405),MONTH(L405),1))</x:f>
      </x:c>
    </x:row>
    <x:row r="406">
      <x:c r="A406" s="11" t="n"/>
      <x:c r="B406" s="5" t="n"/>
      <x:c r="C406" s="12" t="n"/>
      <x:c r="D406" s="12" t="n"/>
      <x:c r="E406" s="12" t="n"/>
      <x:c r="F406" s="12" t="n"/>
      <x:c r="G406" s="13">
        <x:f>IF(F406="","",IFERROR(VLOOKUP(F406,Master_Data!$E$24:$G$33,2,FALSE),"9999"))</x:f>
      </x:c>
      <x:c r="H406" s="12" t="n"/>
      <x:c r="I406" s="12" t="n"/>
      <x:c r="J406" s="12" t="n"/>
      <x:c r="K406" s="12" t="n"/>
      <x:c r="L406" s="11" t="n"/>
      <x:c r="M406" s="9" t="n"/>
      <x:c r="N406" s="12" t="n"/>
      <x:c r="O406" s="6">
        <x:f>IF(N406="","",IFERROR(VLOOKUP(N406,Master_Data!$A$5:$C$8,3,FALSE),0))</x:f>
      </x:c>
      <x:c r="P406" s="7">
        <x:f>IF(M406="","",M406*O406)</x:f>
      </x:c>
      <x:c r="Q406" s="7">
        <x:f>IF(M406="","",M406+P406)</x:f>
      </x:c>
      <x:c r="R406" s="7">
        <x:f>IF(K406&lt;&gt;"Paid",0,IF(C406="Income",Q406,-Q406))</x:f>
      </x:c>
      <x:c r="S406" s="14">
        <x:f>IF(A406="","",DATE(YEAR(A406),MONTH(A406),1))</x:f>
      </x:c>
      <x:c r="T406" s="14">
        <x:f>IF(L406="","",DATE(YEAR(L406),MONTH(L406),1))</x:f>
      </x:c>
    </x:row>
    <x:row r="407">
      <x:c r="A407" s="11" t="n"/>
      <x:c r="B407" s="5" t="n"/>
      <x:c r="C407" s="12" t="n"/>
      <x:c r="D407" s="12" t="n"/>
      <x:c r="E407" s="12" t="n"/>
      <x:c r="F407" s="12" t="n"/>
      <x:c r="G407" s="13">
        <x:f>IF(F407="","",IFERROR(VLOOKUP(F407,Master_Data!$E$24:$G$33,2,FALSE),"9999"))</x:f>
      </x:c>
      <x:c r="H407" s="12" t="n"/>
      <x:c r="I407" s="12" t="n"/>
      <x:c r="J407" s="12" t="n"/>
      <x:c r="K407" s="12" t="n"/>
      <x:c r="L407" s="11" t="n"/>
      <x:c r="M407" s="9" t="n"/>
      <x:c r="N407" s="12" t="n"/>
      <x:c r="O407" s="6">
        <x:f>IF(N407="","",IFERROR(VLOOKUP(N407,Master_Data!$A$5:$C$8,3,FALSE),0))</x:f>
      </x:c>
      <x:c r="P407" s="7">
        <x:f>IF(M407="","",M407*O407)</x:f>
      </x:c>
      <x:c r="Q407" s="7">
        <x:f>IF(M407="","",M407+P407)</x:f>
      </x:c>
      <x:c r="R407" s="7">
        <x:f>IF(K407&lt;&gt;"Paid",0,IF(C407="Income",Q407,-Q407))</x:f>
      </x:c>
      <x:c r="S407" s="14">
        <x:f>IF(A407="","",DATE(YEAR(A407),MONTH(A407),1))</x:f>
      </x:c>
      <x:c r="T407" s="14">
        <x:f>IF(L407="","",DATE(YEAR(L407),MONTH(L407),1))</x:f>
      </x:c>
    </x:row>
    <x:row r="408">
      <x:c r="A408" s="11" t="n"/>
      <x:c r="B408" s="5" t="n"/>
      <x:c r="C408" s="12" t="n"/>
      <x:c r="D408" s="12" t="n"/>
      <x:c r="E408" s="12" t="n"/>
      <x:c r="F408" s="12" t="n"/>
      <x:c r="G408" s="13">
        <x:f>IF(F408="","",IFERROR(VLOOKUP(F408,Master_Data!$E$24:$G$33,2,FALSE),"9999"))</x:f>
      </x:c>
      <x:c r="H408" s="12" t="n"/>
      <x:c r="I408" s="12" t="n"/>
      <x:c r="J408" s="12" t="n"/>
      <x:c r="K408" s="12" t="n"/>
      <x:c r="L408" s="11" t="n"/>
      <x:c r="M408" s="9" t="n"/>
      <x:c r="N408" s="12" t="n"/>
      <x:c r="O408" s="6">
        <x:f>IF(N408="","",IFERROR(VLOOKUP(N408,Master_Data!$A$5:$C$8,3,FALSE),0))</x:f>
      </x:c>
      <x:c r="P408" s="7">
        <x:f>IF(M408="","",M408*O408)</x:f>
      </x:c>
      <x:c r="Q408" s="7">
        <x:f>IF(M408="","",M408+P408)</x:f>
      </x:c>
      <x:c r="R408" s="7">
        <x:f>IF(K408&lt;&gt;"Paid",0,IF(C408="Income",Q408,-Q408))</x:f>
      </x:c>
      <x:c r="S408" s="14">
        <x:f>IF(A408="","",DATE(YEAR(A408),MONTH(A408),1))</x:f>
      </x:c>
      <x:c r="T408" s="14">
        <x:f>IF(L408="","",DATE(YEAR(L408),MONTH(L408),1))</x:f>
      </x:c>
    </x:row>
    <x:row r="409">
      <x:c r="A409" s="11" t="n"/>
      <x:c r="B409" s="5" t="n"/>
      <x:c r="C409" s="12" t="n"/>
      <x:c r="D409" s="12" t="n"/>
      <x:c r="E409" s="12" t="n"/>
      <x:c r="F409" s="12" t="n"/>
      <x:c r="G409" s="13">
        <x:f>IF(F409="","",IFERROR(VLOOKUP(F409,Master_Data!$E$24:$G$33,2,FALSE),"9999"))</x:f>
      </x:c>
      <x:c r="H409" s="12" t="n"/>
      <x:c r="I409" s="12" t="n"/>
      <x:c r="J409" s="12" t="n"/>
      <x:c r="K409" s="12" t="n"/>
      <x:c r="L409" s="11" t="n"/>
      <x:c r="M409" s="9" t="n"/>
      <x:c r="N409" s="12" t="n"/>
      <x:c r="O409" s="6">
        <x:f>IF(N409="","",IFERROR(VLOOKUP(N409,Master_Data!$A$5:$C$8,3,FALSE),0))</x:f>
      </x:c>
      <x:c r="P409" s="7">
        <x:f>IF(M409="","",M409*O409)</x:f>
      </x:c>
      <x:c r="Q409" s="7">
        <x:f>IF(M409="","",M409+P409)</x:f>
      </x:c>
      <x:c r="R409" s="7">
        <x:f>IF(K409&lt;&gt;"Paid",0,IF(C409="Income",Q409,-Q409))</x:f>
      </x:c>
      <x:c r="S409" s="14">
        <x:f>IF(A409="","",DATE(YEAR(A409),MONTH(A409),1))</x:f>
      </x:c>
      <x:c r="T409" s="14">
        <x:f>IF(L409="","",DATE(YEAR(L409),MONTH(L409),1))</x:f>
      </x:c>
    </x:row>
    <x:row r="410">
      <x:c r="A410" s="11" t="n"/>
      <x:c r="B410" s="5" t="n"/>
      <x:c r="C410" s="12" t="n"/>
      <x:c r="D410" s="12" t="n"/>
      <x:c r="E410" s="12" t="n"/>
      <x:c r="F410" s="12" t="n"/>
      <x:c r="G410" s="13">
        <x:f>IF(F410="","",IFERROR(VLOOKUP(F410,Master_Data!$E$24:$G$33,2,FALSE),"9999"))</x:f>
      </x:c>
      <x:c r="H410" s="12" t="n"/>
      <x:c r="I410" s="12" t="n"/>
      <x:c r="J410" s="12" t="n"/>
      <x:c r="K410" s="12" t="n"/>
      <x:c r="L410" s="11" t="n"/>
      <x:c r="M410" s="9" t="n"/>
      <x:c r="N410" s="12" t="n"/>
      <x:c r="O410" s="6">
        <x:f>IF(N410="","",IFERROR(VLOOKUP(N410,Master_Data!$A$5:$C$8,3,FALSE),0))</x:f>
      </x:c>
      <x:c r="P410" s="7">
        <x:f>IF(M410="","",M410*O410)</x:f>
      </x:c>
      <x:c r="Q410" s="7">
        <x:f>IF(M410="","",M410+P410)</x:f>
      </x:c>
      <x:c r="R410" s="7">
        <x:f>IF(K410&lt;&gt;"Paid",0,IF(C410="Income",Q410,-Q410))</x:f>
      </x:c>
      <x:c r="S410" s="14">
        <x:f>IF(A410="","",DATE(YEAR(A410),MONTH(A410),1))</x:f>
      </x:c>
      <x:c r="T410" s="14">
        <x:f>IF(L410="","",DATE(YEAR(L410),MONTH(L410),1))</x:f>
      </x:c>
    </x:row>
    <x:row r="411">
      <x:c r="A411" s="11" t="n"/>
      <x:c r="B411" s="5" t="n"/>
      <x:c r="C411" s="12" t="n"/>
      <x:c r="D411" s="12" t="n"/>
      <x:c r="E411" s="12" t="n"/>
      <x:c r="F411" s="12" t="n"/>
      <x:c r="G411" s="13">
        <x:f>IF(F411="","",IFERROR(VLOOKUP(F411,Master_Data!$E$24:$G$33,2,FALSE),"9999"))</x:f>
      </x:c>
      <x:c r="H411" s="12" t="n"/>
      <x:c r="I411" s="12" t="n"/>
      <x:c r="J411" s="12" t="n"/>
      <x:c r="K411" s="12" t="n"/>
      <x:c r="L411" s="11" t="n"/>
      <x:c r="M411" s="9" t="n"/>
      <x:c r="N411" s="12" t="n"/>
      <x:c r="O411" s="6">
        <x:f>IF(N411="","",IFERROR(VLOOKUP(N411,Master_Data!$A$5:$C$8,3,FALSE),0))</x:f>
      </x:c>
      <x:c r="P411" s="7">
        <x:f>IF(M411="","",M411*O411)</x:f>
      </x:c>
      <x:c r="Q411" s="7">
        <x:f>IF(M411="","",M411+P411)</x:f>
      </x:c>
      <x:c r="R411" s="7">
        <x:f>IF(K411&lt;&gt;"Paid",0,IF(C411="Income",Q411,-Q411))</x:f>
      </x:c>
      <x:c r="S411" s="14">
        <x:f>IF(A411="","",DATE(YEAR(A411),MONTH(A411),1))</x:f>
      </x:c>
      <x:c r="T411" s="14">
        <x:f>IF(L411="","",DATE(YEAR(L411),MONTH(L411),1))</x:f>
      </x:c>
    </x:row>
    <x:row r="412">
      <x:c r="A412" s="11" t="n"/>
      <x:c r="B412" s="5" t="n"/>
      <x:c r="C412" s="12" t="n"/>
      <x:c r="D412" s="12" t="n"/>
      <x:c r="E412" s="12" t="n"/>
      <x:c r="F412" s="12" t="n"/>
      <x:c r="G412" s="13">
        <x:f>IF(F412="","",IFERROR(VLOOKUP(F412,Master_Data!$E$24:$G$33,2,FALSE),"9999"))</x:f>
      </x:c>
      <x:c r="H412" s="12" t="n"/>
      <x:c r="I412" s="12" t="n"/>
      <x:c r="J412" s="12" t="n"/>
      <x:c r="K412" s="12" t="n"/>
      <x:c r="L412" s="11" t="n"/>
      <x:c r="M412" s="9" t="n"/>
      <x:c r="N412" s="12" t="n"/>
      <x:c r="O412" s="6">
        <x:f>IF(N412="","",IFERROR(VLOOKUP(N412,Master_Data!$A$5:$C$8,3,FALSE),0))</x:f>
      </x:c>
      <x:c r="P412" s="7">
        <x:f>IF(M412="","",M412*O412)</x:f>
      </x:c>
      <x:c r="Q412" s="7">
        <x:f>IF(M412="","",M412+P412)</x:f>
      </x:c>
      <x:c r="R412" s="7">
        <x:f>IF(K412&lt;&gt;"Paid",0,IF(C412="Income",Q412,-Q412))</x:f>
      </x:c>
      <x:c r="S412" s="14">
        <x:f>IF(A412="","",DATE(YEAR(A412),MONTH(A412),1))</x:f>
      </x:c>
      <x:c r="T412" s="14">
        <x:f>IF(L412="","",DATE(YEAR(L412),MONTH(L412),1))</x:f>
      </x:c>
    </x:row>
    <x:row r="413">
      <x:c r="A413" s="11" t="n"/>
      <x:c r="B413" s="5" t="n"/>
      <x:c r="C413" s="12" t="n"/>
      <x:c r="D413" s="12" t="n"/>
      <x:c r="E413" s="12" t="n"/>
      <x:c r="F413" s="12" t="n"/>
      <x:c r="G413" s="13">
        <x:f>IF(F413="","",IFERROR(VLOOKUP(F413,Master_Data!$E$24:$G$33,2,FALSE),"9999"))</x:f>
      </x:c>
      <x:c r="H413" s="12" t="n"/>
      <x:c r="I413" s="12" t="n"/>
      <x:c r="J413" s="12" t="n"/>
      <x:c r="K413" s="12" t="n"/>
      <x:c r="L413" s="11" t="n"/>
      <x:c r="M413" s="9" t="n"/>
      <x:c r="N413" s="12" t="n"/>
      <x:c r="O413" s="6">
        <x:f>IF(N413="","",IFERROR(VLOOKUP(N413,Master_Data!$A$5:$C$8,3,FALSE),0))</x:f>
      </x:c>
      <x:c r="P413" s="7">
        <x:f>IF(M413="","",M413*O413)</x:f>
      </x:c>
      <x:c r="Q413" s="7">
        <x:f>IF(M413="","",M413+P413)</x:f>
      </x:c>
      <x:c r="R413" s="7">
        <x:f>IF(K413&lt;&gt;"Paid",0,IF(C413="Income",Q413,-Q413))</x:f>
      </x:c>
      <x:c r="S413" s="14">
        <x:f>IF(A413="","",DATE(YEAR(A413),MONTH(A413),1))</x:f>
      </x:c>
      <x:c r="T413" s="14">
        <x:f>IF(L413="","",DATE(YEAR(L413),MONTH(L413),1))</x:f>
      </x:c>
    </x:row>
    <x:row r="414">
      <x:c r="A414" s="11" t="n"/>
      <x:c r="B414" s="5" t="n"/>
      <x:c r="C414" s="12" t="n"/>
      <x:c r="D414" s="12" t="n"/>
      <x:c r="E414" s="12" t="n"/>
      <x:c r="F414" s="12" t="n"/>
      <x:c r="G414" s="13">
        <x:f>IF(F414="","",IFERROR(VLOOKUP(F414,Master_Data!$E$24:$G$33,2,FALSE),"9999"))</x:f>
      </x:c>
      <x:c r="H414" s="12" t="n"/>
      <x:c r="I414" s="12" t="n"/>
      <x:c r="J414" s="12" t="n"/>
      <x:c r="K414" s="12" t="n"/>
      <x:c r="L414" s="11" t="n"/>
      <x:c r="M414" s="9" t="n"/>
      <x:c r="N414" s="12" t="n"/>
      <x:c r="O414" s="6">
        <x:f>IF(N414="","",IFERROR(VLOOKUP(N414,Master_Data!$A$5:$C$8,3,FALSE),0))</x:f>
      </x:c>
      <x:c r="P414" s="7">
        <x:f>IF(M414="","",M414*O414)</x:f>
      </x:c>
      <x:c r="Q414" s="7">
        <x:f>IF(M414="","",M414+P414)</x:f>
      </x:c>
      <x:c r="R414" s="7">
        <x:f>IF(K414&lt;&gt;"Paid",0,IF(C414="Income",Q414,-Q414))</x:f>
      </x:c>
      <x:c r="S414" s="14">
        <x:f>IF(A414="","",DATE(YEAR(A414),MONTH(A414),1))</x:f>
      </x:c>
      <x:c r="T414" s="14">
        <x:f>IF(L414="","",DATE(YEAR(L414),MONTH(L414),1))</x:f>
      </x:c>
    </x:row>
    <x:row r="415">
      <x:c r="A415" s="11" t="n"/>
      <x:c r="B415" s="5" t="n"/>
      <x:c r="C415" s="12" t="n"/>
      <x:c r="D415" s="12" t="n"/>
      <x:c r="E415" s="12" t="n"/>
      <x:c r="F415" s="12" t="n"/>
      <x:c r="G415" s="13">
        <x:f>IF(F415="","",IFERROR(VLOOKUP(F415,Master_Data!$E$24:$G$33,2,FALSE),"9999"))</x:f>
      </x:c>
      <x:c r="H415" s="12" t="n"/>
      <x:c r="I415" s="12" t="n"/>
      <x:c r="J415" s="12" t="n"/>
      <x:c r="K415" s="12" t="n"/>
      <x:c r="L415" s="11" t="n"/>
      <x:c r="M415" s="9" t="n"/>
      <x:c r="N415" s="12" t="n"/>
      <x:c r="O415" s="6">
        <x:f>IF(N415="","",IFERROR(VLOOKUP(N415,Master_Data!$A$5:$C$8,3,FALSE),0))</x:f>
      </x:c>
      <x:c r="P415" s="7">
        <x:f>IF(M415="","",M415*O415)</x:f>
      </x:c>
      <x:c r="Q415" s="7">
        <x:f>IF(M415="","",M415+P415)</x:f>
      </x:c>
      <x:c r="R415" s="7">
        <x:f>IF(K415&lt;&gt;"Paid",0,IF(C415="Income",Q415,-Q415))</x:f>
      </x:c>
      <x:c r="S415" s="14">
        <x:f>IF(A415="","",DATE(YEAR(A415),MONTH(A415),1))</x:f>
      </x:c>
      <x:c r="T415" s="14">
        <x:f>IF(L415="","",DATE(YEAR(L415),MONTH(L415),1))</x:f>
      </x:c>
    </x:row>
    <x:row r="416">
      <x:c r="A416" s="11" t="n"/>
      <x:c r="B416" s="5" t="n"/>
      <x:c r="C416" s="12" t="n"/>
      <x:c r="D416" s="12" t="n"/>
      <x:c r="E416" s="12" t="n"/>
      <x:c r="F416" s="12" t="n"/>
      <x:c r="G416" s="13">
        <x:f>IF(F416="","",IFERROR(VLOOKUP(F416,Master_Data!$E$24:$G$33,2,FALSE),"9999"))</x:f>
      </x:c>
      <x:c r="H416" s="12" t="n"/>
      <x:c r="I416" s="12" t="n"/>
      <x:c r="J416" s="12" t="n"/>
      <x:c r="K416" s="12" t="n"/>
      <x:c r="L416" s="11" t="n"/>
      <x:c r="M416" s="9" t="n"/>
      <x:c r="N416" s="12" t="n"/>
      <x:c r="O416" s="6">
        <x:f>IF(N416="","",IFERROR(VLOOKUP(N416,Master_Data!$A$5:$C$8,3,FALSE),0))</x:f>
      </x:c>
      <x:c r="P416" s="7">
        <x:f>IF(M416="","",M416*O416)</x:f>
      </x:c>
      <x:c r="Q416" s="7">
        <x:f>IF(M416="","",M416+P416)</x:f>
      </x:c>
      <x:c r="R416" s="7">
        <x:f>IF(K416&lt;&gt;"Paid",0,IF(C416="Income",Q416,-Q416))</x:f>
      </x:c>
      <x:c r="S416" s="14">
        <x:f>IF(A416="","",DATE(YEAR(A416),MONTH(A416),1))</x:f>
      </x:c>
      <x:c r="T416" s="14">
        <x:f>IF(L416="","",DATE(YEAR(L416),MONTH(L416),1))</x:f>
      </x:c>
    </x:row>
    <x:row r="417">
      <x:c r="A417" s="11" t="n"/>
      <x:c r="B417" s="5" t="n"/>
      <x:c r="C417" s="12" t="n"/>
      <x:c r="D417" s="12" t="n"/>
      <x:c r="E417" s="12" t="n"/>
      <x:c r="F417" s="12" t="n"/>
      <x:c r="G417" s="13">
        <x:f>IF(F417="","",IFERROR(VLOOKUP(F417,Master_Data!$E$24:$G$33,2,FALSE),"9999"))</x:f>
      </x:c>
      <x:c r="H417" s="12" t="n"/>
      <x:c r="I417" s="12" t="n"/>
      <x:c r="J417" s="12" t="n"/>
      <x:c r="K417" s="12" t="n"/>
      <x:c r="L417" s="11" t="n"/>
      <x:c r="M417" s="9" t="n"/>
      <x:c r="N417" s="12" t="n"/>
      <x:c r="O417" s="6">
        <x:f>IF(N417="","",IFERROR(VLOOKUP(N417,Master_Data!$A$5:$C$8,3,FALSE),0))</x:f>
      </x:c>
      <x:c r="P417" s="7">
        <x:f>IF(M417="","",M417*O417)</x:f>
      </x:c>
      <x:c r="Q417" s="7">
        <x:f>IF(M417="","",M417+P417)</x:f>
      </x:c>
      <x:c r="R417" s="7">
        <x:f>IF(K417&lt;&gt;"Paid",0,IF(C417="Income",Q417,-Q417))</x:f>
      </x:c>
      <x:c r="S417" s="14">
        <x:f>IF(A417="","",DATE(YEAR(A417),MONTH(A417),1))</x:f>
      </x:c>
      <x:c r="T417" s="14">
        <x:f>IF(L417="","",DATE(YEAR(L417),MONTH(L417),1))</x:f>
      </x:c>
    </x:row>
    <x:row r="418">
      <x:c r="A418" s="11" t="n"/>
      <x:c r="B418" s="5" t="n"/>
      <x:c r="C418" s="12" t="n"/>
      <x:c r="D418" s="12" t="n"/>
      <x:c r="E418" s="12" t="n"/>
      <x:c r="F418" s="12" t="n"/>
      <x:c r="G418" s="13">
        <x:f>IF(F418="","",IFERROR(VLOOKUP(F418,Master_Data!$E$24:$G$33,2,FALSE),"9999"))</x:f>
      </x:c>
      <x:c r="H418" s="12" t="n"/>
      <x:c r="I418" s="12" t="n"/>
      <x:c r="J418" s="12" t="n"/>
      <x:c r="K418" s="12" t="n"/>
      <x:c r="L418" s="11" t="n"/>
      <x:c r="M418" s="9" t="n"/>
      <x:c r="N418" s="12" t="n"/>
      <x:c r="O418" s="6">
        <x:f>IF(N418="","",IFERROR(VLOOKUP(N418,Master_Data!$A$5:$C$8,3,FALSE),0))</x:f>
      </x:c>
      <x:c r="P418" s="7">
        <x:f>IF(M418="","",M418*O418)</x:f>
      </x:c>
      <x:c r="Q418" s="7">
        <x:f>IF(M418="","",M418+P418)</x:f>
      </x:c>
      <x:c r="R418" s="7">
        <x:f>IF(K418&lt;&gt;"Paid",0,IF(C418="Income",Q418,-Q418))</x:f>
      </x:c>
      <x:c r="S418" s="14">
        <x:f>IF(A418="","",DATE(YEAR(A418),MONTH(A418),1))</x:f>
      </x:c>
      <x:c r="T418" s="14">
        <x:f>IF(L418="","",DATE(YEAR(L418),MONTH(L418),1))</x:f>
      </x:c>
    </x:row>
    <x:row r="419">
      <x:c r="A419" s="11" t="n"/>
      <x:c r="B419" s="5" t="n"/>
      <x:c r="C419" s="12" t="n"/>
      <x:c r="D419" s="12" t="n"/>
      <x:c r="E419" s="12" t="n"/>
      <x:c r="F419" s="12" t="n"/>
      <x:c r="G419" s="13">
        <x:f>IF(F419="","",IFERROR(VLOOKUP(F419,Master_Data!$E$24:$G$33,2,FALSE),"9999"))</x:f>
      </x:c>
      <x:c r="H419" s="12" t="n"/>
      <x:c r="I419" s="12" t="n"/>
      <x:c r="J419" s="12" t="n"/>
      <x:c r="K419" s="12" t="n"/>
      <x:c r="L419" s="11" t="n"/>
      <x:c r="M419" s="9" t="n"/>
      <x:c r="N419" s="12" t="n"/>
      <x:c r="O419" s="6">
        <x:f>IF(N419="","",IFERROR(VLOOKUP(N419,Master_Data!$A$5:$C$8,3,FALSE),0))</x:f>
      </x:c>
      <x:c r="P419" s="7">
        <x:f>IF(M419="","",M419*O419)</x:f>
      </x:c>
      <x:c r="Q419" s="7">
        <x:f>IF(M419="","",M419+P419)</x:f>
      </x:c>
      <x:c r="R419" s="7">
        <x:f>IF(K419&lt;&gt;"Paid",0,IF(C419="Income",Q419,-Q419))</x:f>
      </x:c>
      <x:c r="S419" s="14">
        <x:f>IF(A419="","",DATE(YEAR(A419),MONTH(A419),1))</x:f>
      </x:c>
      <x:c r="T419" s="14">
        <x:f>IF(L419="","",DATE(YEAR(L419),MONTH(L419),1))</x:f>
      </x:c>
    </x:row>
    <x:row r="420">
      <x:c r="A420" s="11" t="n"/>
      <x:c r="B420" s="5" t="n"/>
      <x:c r="C420" s="12" t="n"/>
      <x:c r="D420" s="12" t="n"/>
      <x:c r="E420" s="12" t="n"/>
      <x:c r="F420" s="12" t="n"/>
      <x:c r="G420" s="13">
        <x:f>IF(F420="","",IFERROR(VLOOKUP(F420,Master_Data!$E$24:$G$33,2,FALSE),"9999"))</x:f>
      </x:c>
      <x:c r="H420" s="12" t="n"/>
      <x:c r="I420" s="12" t="n"/>
      <x:c r="J420" s="12" t="n"/>
      <x:c r="K420" s="12" t="n"/>
      <x:c r="L420" s="11" t="n"/>
      <x:c r="M420" s="9" t="n"/>
      <x:c r="N420" s="12" t="n"/>
      <x:c r="O420" s="6">
        <x:f>IF(N420="","",IFERROR(VLOOKUP(N420,Master_Data!$A$5:$C$8,3,FALSE),0))</x:f>
      </x:c>
      <x:c r="P420" s="7">
        <x:f>IF(M420="","",M420*O420)</x:f>
      </x:c>
      <x:c r="Q420" s="7">
        <x:f>IF(M420="","",M420+P420)</x:f>
      </x:c>
      <x:c r="R420" s="7">
        <x:f>IF(K420&lt;&gt;"Paid",0,IF(C420="Income",Q420,-Q420))</x:f>
      </x:c>
      <x:c r="S420" s="14">
        <x:f>IF(A420="","",DATE(YEAR(A420),MONTH(A420),1))</x:f>
      </x:c>
      <x:c r="T420" s="14">
        <x:f>IF(L420="","",DATE(YEAR(L420),MONTH(L420),1))</x:f>
      </x:c>
    </x:row>
    <x:row r="421">
      <x:c r="A421" s="11" t="n"/>
      <x:c r="B421" s="5" t="n"/>
      <x:c r="C421" s="12" t="n"/>
      <x:c r="D421" s="12" t="n"/>
      <x:c r="E421" s="12" t="n"/>
      <x:c r="F421" s="12" t="n"/>
      <x:c r="G421" s="13">
        <x:f>IF(F421="","",IFERROR(VLOOKUP(F421,Master_Data!$E$24:$G$33,2,FALSE),"9999"))</x:f>
      </x:c>
      <x:c r="H421" s="12" t="n"/>
      <x:c r="I421" s="12" t="n"/>
      <x:c r="J421" s="12" t="n"/>
      <x:c r="K421" s="12" t="n"/>
      <x:c r="L421" s="11" t="n"/>
      <x:c r="M421" s="9" t="n"/>
      <x:c r="N421" s="12" t="n"/>
      <x:c r="O421" s="6">
        <x:f>IF(N421="","",IFERROR(VLOOKUP(N421,Master_Data!$A$5:$C$8,3,FALSE),0))</x:f>
      </x:c>
      <x:c r="P421" s="7">
        <x:f>IF(M421="","",M421*O421)</x:f>
      </x:c>
      <x:c r="Q421" s="7">
        <x:f>IF(M421="","",M421+P421)</x:f>
      </x:c>
      <x:c r="R421" s="7">
        <x:f>IF(K421&lt;&gt;"Paid",0,IF(C421="Income",Q421,-Q421))</x:f>
      </x:c>
      <x:c r="S421" s="14">
        <x:f>IF(A421="","",DATE(YEAR(A421),MONTH(A421),1))</x:f>
      </x:c>
      <x:c r="T421" s="14">
        <x:f>IF(L421="","",DATE(YEAR(L421),MONTH(L421),1))</x:f>
      </x:c>
    </x:row>
    <x:row r="422">
      <x:c r="A422" s="11" t="n"/>
      <x:c r="B422" s="5" t="n"/>
      <x:c r="C422" s="12" t="n"/>
      <x:c r="D422" s="12" t="n"/>
      <x:c r="E422" s="12" t="n"/>
      <x:c r="F422" s="12" t="n"/>
      <x:c r="G422" s="13">
        <x:f>IF(F422="","",IFERROR(VLOOKUP(F422,Master_Data!$E$24:$G$33,2,FALSE),"9999"))</x:f>
      </x:c>
      <x:c r="H422" s="12" t="n"/>
      <x:c r="I422" s="12" t="n"/>
      <x:c r="J422" s="12" t="n"/>
      <x:c r="K422" s="12" t="n"/>
      <x:c r="L422" s="11" t="n"/>
      <x:c r="M422" s="9" t="n"/>
      <x:c r="N422" s="12" t="n"/>
      <x:c r="O422" s="6">
        <x:f>IF(N422="","",IFERROR(VLOOKUP(N422,Master_Data!$A$5:$C$8,3,FALSE),0))</x:f>
      </x:c>
      <x:c r="P422" s="7">
        <x:f>IF(M422="","",M422*O422)</x:f>
      </x:c>
      <x:c r="Q422" s="7">
        <x:f>IF(M422="","",M422+P422)</x:f>
      </x:c>
      <x:c r="R422" s="7">
        <x:f>IF(K422&lt;&gt;"Paid",0,IF(C422="Income",Q422,-Q422))</x:f>
      </x:c>
      <x:c r="S422" s="14">
        <x:f>IF(A422="","",DATE(YEAR(A422),MONTH(A422),1))</x:f>
      </x:c>
      <x:c r="T422" s="14">
        <x:f>IF(L422="","",DATE(YEAR(L422),MONTH(L422),1))</x:f>
      </x:c>
    </x:row>
    <x:row r="423">
      <x:c r="A423" s="11" t="n"/>
      <x:c r="B423" s="5" t="n"/>
      <x:c r="C423" s="12" t="n"/>
      <x:c r="D423" s="12" t="n"/>
      <x:c r="E423" s="12" t="n"/>
      <x:c r="F423" s="12" t="n"/>
      <x:c r="G423" s="13">
        <x:f>IF(F423="","",IFERROR(VLOOKUP(F423,Master_Data!$E$24:$G$33,2,FALSE),"9999"))</x:f>
      </x:c>
      <x:c r="H423" s="12" t="n"/>
      <x:c r="I423" s="12" t="n"/>
      <x:c r="J423" s="12" t="n"/>
      <x:c r="K423" s="12" t="n"/>
      <x:c r="L423" s="11" t="n"/>
      <x:c r="M423" s="9" t="n"/>
      <x:c r="N423" s="12" t="n"/>
      <x:c r="O423" s="6">
        <x:f>IF(N423="","",IFERROR(VLOOKUP(N423,Master_Data!$A$5:$C$8,3,FALSE),0))</x:f>
      </x:c>
      <x:c r="P423" s="7">
        <x:f>IF(M423="","",M423*O423)</x:f>
      </x:c>
      <x:c r="Q423" s="7">
        <x:f>IF(M423="","",M423+P423)</x:f>
      </x:c>
      <x:c r="R423" s="7">
        <x:f>IF(K423&lt;&gt;"Paid",0,IF(C423="Income",Q423,-Q423))</x:f>
      </x:c>
      <x:c r="S423" s="14">
        <x:f>IF(A423="","",DATE(YEAR(A423),MONTH(A423),1))</x:f>
      </x:c>
      <x:c r="T423" s="14">
        <x:f>IF(L423="","",DATE(YEAR(L423),MONTH(L423),1))</x:f>
      </x:c>
    </x:row>
    <x:row r="424">
      <x:c r="A424" s="11" t="n"/>
      <x:c r="B424" s="5" t="n"/>
      <x:c r="C424" s="12" t="n"/>
      <x:c r="D424" s="12" t="n"/>
      <x:c r="E424" s="12" t="n"/>
      <x:c r="F424" s="12" t="n"/>
      <x:c r="G424" s="13">
        <x:f>IF(F424="","",IFERROR(VLOOKUP(F424,Master_Data!$E$24:$G$33,2,FALSE),"9999"))</x:f>
      </x:c>
      <x:c r="H424" s="12" t="n"/>
      <x:c r="I424" s="12" t="n"/>
      <x:c r="J424" s="12" t="n"/>
      <x:c r="K424" s="12" t="n"/>
      <x:c r="L424" s="11" t="n"/>
      <x:c r="M424" s="9" t="n"/>
      <x:c r="N424" s="12" t="n"/>
      <x:c r="O424" s="6">
        <x:f>IF(N424="","",IFERROR(VLOOKUP(N424,Master_Data!$A$5:$C$8,3,FALSE),0))</x:f>
      </x:c>
      <x:c r="P424" s="7">
        <x:f>IF(M424="","",M424*O424)</x:f>
      </x:c>
      <x:c r="Q424" s="7">
        <x:f>IF(M424="","",M424+P424)</x:f>
      </x:c>
      <x:c r="R424" s="7">
        <x:f>IF(K424&lt;&gt;"Paid",0,IF(C424="Income",Q424,-Q424))</x:f>
      </x:c>
      <x:c r="S424" s="14">
        <x:f>IF(A424="","",DATE(YEAR(A424),MONTH(A424),1))</x:f>
      </x:c>
      <x:c r="T424" s="14">
        <x:f>IF(L424="","",DATE(YEAR(L424),MONTH(L424),1))</x:f>
      </x:c>
    </x:row>
    <x:row r="425">
      <x:c r="A425" s="11" t="n"/>
      <x:c r="B425" s="5" t="n"/>
      <x:c r="C425" s="12" t="n"/>
      <x:c r="D425" s="12" t="n"/>
      <x:c r="E425" s="12" t="n"/>
      <x:c r="F425" s="12" t="n"/>
      <x:c r="G425" s="13">
        <x:f>IF(F425="","",IFERROR(VLOOKUP(F425,Master_Data!$E$24:$G$33,2,FALSE),"9999"))</x:f>
      </x:c>
      <x:c r="H425" s="12" t="n"/>
      <x:c r="I425" s="12" t="n"/>
      <x:c r="J425" s="12" t="n"/>
      <x:c r="K425" s="12" t="n"/>
      <x:c r="L425" s="11" t="n"/>
      <x:c r="M425" s="9" t="n"/>
      <x:c r="N425" s="12" t="n"/>
      <x:c r="O425" s="6">
        <x:f>IF(N425="","",IFERROR(VLOOKUP(N425,Master_Data!$A$5:$C$8,3,FALSE),0))</x:f>
      </x:c>
      <x:c r="P425" s="7">
        <x:f>IF(M425="","",M425*O425)</x:f>
      </x:c>
      <x:c r="Q425" s="7">
        <x:f>IF(M425="","",M425+P425)</x:f>
      </x:c>
      <x:c r="R425" s="7">
        <x:f>IF(K425&lt;&gt;"Paid",0,IF(C425="Income",Q425,-Q425))</x:f>
      </x:c>
      <x:c r="S425" s="14">
        <x:f>IF(A425="","",DATE(YEAR(A425),MONTH(A425),1))</x:f>
      </x:c>
      <x:c r="T425" s="14">
        <x:f>IF(L425="","",DATE(YEAR(L425),MONTH(L425),1))</x:f>
      </x:c>
    </x:row>
    <x:row r="426">
      <x:c r="A426" s="11" t="n"/>
      <x:c r="B426" s="5" t="n"/>
      <x:c r="C426" s="12" t="n"/>
      <x:c r="D426" s="12" t="n"/>
      <x:c r="E426" s="12" t="n"/>
      <x:c r="F426" s="12" t="n"/>
      <x:c r="G426" s="13">
        <x:f>IF(F426="","",IFERROR(VLOOKUP(F426,Master_Data!$E$24:$G$33,2,FALSE),"9999"))</x:f>
      </x:c>
      <x:c r="H426" s="12" t="n"/>
      <x:c r="I426" s="12" t="n"/>
      <x:c r="J426" s="12" t="n"/>
      <x:c r="K426" s="12" t="n"/>
      <x:c r="L426" s="11" t="n"/>
      <x:c r="M426" s="9" t="n"/>
      <x:c r="N426" s="12" t="n"/>
      <x:c r="O426" s="6">
        <x:f>IF(N426="","",IFERROR(VLOOKUP(N426,Master_Data!$A$5:$C$8,3,FALSE),0))</x:f>
      </x:c>
      <x:c r="P426" s="7">
        <x:f>IF(M426="","",M426*O426)</x:f>
      </x:c>
      <x:c r="Q426" s="7">
        <x:f>IF(M426="","",M426+P426)</x:f>
      </x:c>
      <x:c r="R426" s="7">
        <x:f>IF(K426&lt;&gt;"Paid",0,IF(C426="Income",Q426,-Q426))</x:f>
      </x:c>
      <x:c r="S426" s="14">
        <x:f>IF(A426="","",DATE(YEAR(A426),MONTH(A426),1))</x:f>
      </x:c>
      <x:c r="T426" s="14">
        <x:f>IF(L426="","",DATE(YEAR(L426),MONTH(L426),1))</x:f>
      </x:c>
    </x:row>
    <x:row r="427">
      <x:c r="A427" s="11" t="n"/>
      <x:c r="B427" s="5" t="n"/>
      <x:c r="C427" s="12" t="n"/>
      <x:c r="D427" s="12" t="n"/>
      <x:c r="E427" s="12" t="n"/>
      <x:c r="F427" s="12" t="n"/>
      <x:c r="G427" s="13">
        <x:f>IF(F427="","",IFERROR(VLOOKUP(F427,Master_Data!$E$24:$G$33,2,FALSE),"9999"))</x:f>
      </x:c>
      <x:c r="H427" s="12" t="n"/>
      <x:c r="I427" s="12" t="n"/>
      <x:c r="J427" s="12" t="n"/>
      <x:c r="K427" s="12" t="n"/>
      <x:c r="L427" s="11" t="n"/>
      <x:c r="M427" s="9" t="n"/>
      <x:c r="N427" s="12" t="n"/>
      <x:c r="O427" s="6">
        <x:f>IF(N427="","",IFERROR(VLOOKUP(N427,Master_Data!$A$5:$C$8,3,FALSE),0))</x:f>
      </x:c>
      <x:c r="P427" s="7">
        <x:f>IF(M427="","",M427*O427)</x:f>
      </x:c>
      <x:c r="Q427" s="7">
        <x:f>IF(M427="","",M427+P427)</x:f>
      </x:c>
      <x:c r="R427" s="7">
        <x:f>IF(K427&lt;&gt;"Paid",0,IF(C427="Income",Q427,-Q427))</x:f>
      </x:c>
      <x:c r="S427" s="14">
        <x:f>IF(A427="","",DATE(YEAR(A427),MONTH(A427),1))</x:f>
      </x:c>
      <x:c r="T427" s="14">
        <x:f>IF(L427="","",DATE(YEAR(L427),MONTH(L427),1))</x:f>
      </x:c>
    </x:row>
    <x:row r="428">
      <x:c r="A428" s="11" t="n"/>
      <x:c r="B428" s="5" t="n"/>
      <x:c r="C428" s="12" t="n"/>
      <x:c r="D428" s="12" t="n"/>
      <x:c r="E428" s="12" t="n"/>
      <x:c r="F428" s="12" t="n"/>
      <x:c r="G428" s="13">
        <x:f>IF(F428="","",IFERROR(VLOOKUP(F428,Master_Data!$E$24:$G$33,2,FALSE),"9999"))</x:f>
      </x:c>
      <x:c r="H428" s="12" t="n"/>
      <x:c r="I428" s="12" t="n"/>
      <x:c r="J428" s="12" t="n"/>
      <x:c r="K428" s="12" t="n"/>
      <x:c r="L428" s="11" t="n"/>
      <x:c r="M428" s="9" t="n"/>
      <x:c r="N428" s="12" t="n"/>
      <x:c r="O428" s="6">
        <x:f>IF(N428="","",IFERROR(VLOOKUP(N428,Master_Data!$A$5:$C$8,3,FALSE),0))</x:f>
      </x:c>
      <x:c r="P428" s="7">
        <x:f>IF(M428="","",M428*O428)</x:f>
      </x:c>
      <x:c r="Q428" s="7">
        <x:f>IF(M428="","",M428+P428)</x:f>
      </x:c>
      <x:c r="R428" s="7">
        <x:f>IF(K428&lt;&gt;"Paid",0,IF(C428="Income",Q428,-Q428))</x:f>
      </x:c>
      <x:c r="S428" s="14">
        <x:f>IF(A428="","",DATE(YEAR(A428),MONTH(A428),1))</x:f>
      </x:c>
      <x:c r="T428" s="14">
        <x:f>IF(L428="","",DATE(YEAR(L428),MONTH(L428),1))</x:f>
      </x:c>
    </x:row>
    <x:row r="429">
      <x:c r="A429" s="11" t="n"/>
      <x:c r="B429" s="5" t="n"/>
      <x:c r="C429" s="12" t="n"/>
      <x:c r="D429" s="12" t="n"/>
      <x:c r="E429" s="12" t="n"/>
      <x:c r="F429" s="12" t="n"/>
      <x:c r="G429" s="13">
        <x:f>IF(F429="","",IFERROR(VLOOKUP(F429,Master_Data!$E$24:$G$33,2,FALSE),"9999"))</x:f>
      </x:c>
      <x:c r="H429" s="12" t="n"/>
      <x:c r="I429" s="12" t="n"/>
      <x:c r="J429" s="12" t="n"/>
      <x:c r="K429" s="12" t="n"/>
      <x:c r="L429" s="11" t="n"/>
      <x:c r="M429" s="9" t="n"/>
      <x:c r="N429" s="12" t="n"/>
      <x:c r="O429" s="6">
        <x:f>IF(N429="","",IFERROR(VLOOKUP(N429,Master_Data!$A$5:$C$8,3,FALSE),0))</x:f>
      </x:c>
      <x:c r="P429" s="7">
        <x:f>IF(M429="","",M429*O429)</x:f>
      </x:c>
      <x:c r="Q429" s="7">
        <x:f>IF(M429="","",M429+P429)</x:f>
      </x:c>
      <x:c r="R429" s="7">
        <x:f>IF(K429&lt;&gt;"Paid",0,IF(C429="Income",Q429,-Q429))</x:f>
      </x:c>
      <x:c r="S429" s="14">
        <x:f>IF(A429="","",DATE(YEAR(A429),MONTH(A429),1))</x:f>
      </x:c>
      <x:c r="T429" s="14">
        <x:f>IF(L429="","",DATE(YEAR(L429),MONTH(L429),1))</x:f>
      </x:c>
    </x:row>
    <x:row r="430">
      <x:c r="A430" s="11" t="n"/>
      <x:c r="B430" s="5" t="n"/>
      <x:c r="C430" s="12" t="n"/>
      <x:c r="D430" s="12" t="n"/>
      <x:c r="E430" s="12" t="n"/>
      <x:c r="F430" s="12" t="n"/>
      <x:c r="G430" s="13">
        <x:f>IF(F430="","",IFERROR(VLOOKUP(F430,Master_Data!$E$24:$G$33,2,FALSE),"9999"))</x:f>
      </x:c>
      <x:c r="H430" s="12" t="n"/>
      <x:c r="I430" s="12" t="n"/>
      <x:c r="J430" s="12" t="n"/>
      <x:c r="K430" s="12" t="n"/>
      <x:c r="L430" s="11" t="n"/>
      <x:c r="M430" s="9" t="n"/>
      <x:c r="N430" s="12" t="n"/>
      <x:c r="O430" s="6">
        <x:f>IF(N430="","",IFERROR(VLOOKUP(N430,Master_Data!$A$5:$C$8,3,FALSE),0))</x:f>
      </x:c>
      <x:c r="P430" s="7">
        <x:f>IF(M430="","",M430*O430)</x:f>
      </x:c>
      <x:c r="Q430" s="7">
        <x:f>IF(M430="","",M430+P430)</x:f>
      </x:c>
      <x:c r="R430" s="7">
        <x:f>IF(K430&lt;&gt;"Paid",0,IF(C430="Income",Q430,-Q430))</x:f>
      </x:c>
      <x:c r="S430" s="14">
        <x:f>IF(A430="","",DATE(YEAR(A430),MONTH(A430),1))</x:f>
      </x:c>
      <x:c r="T430" s="14">
        <x:f>IF(L430="","",DATE(YEAR(L430),MONTH(L430),1))</x:f>
      </x:c>
    </x:row>
    <x:row r="431">
      <x:c r="A431" s="11" t="n"/>
      <x:c r="B431" s="5" t="n"/>
      <x:c r="C431" s="12" t="n"/>
      <x:c r="D431" s="12" t="n"/>
      <x:c r="E431" s="12" t="n"/>
      <x:c r="F431" s="12" t="n"/>
      <x:c r="G431" s="13">
        <x:f>IF(F431="","",IFERROR(VLOOKUP(F431,Master_Data!$E$24:$G$33,2,FALSE),"9999"))</x:f>
      </x:c>
      <x:c r="H431" s="12" t="n"/>
      <x:c r="I431" s="12" t="n"/>
      <x:c r="J431" s="12" t="n"/>
      <x:c r="K431" s="12" t="n"/>
      <x:c r="L431" s="11" t="n"/>
      <x:c r="M431" s="9" t="n"/>
      <x:c r="N431" s="12" t="n"/>
      <x:c r="O431" s="6">
        <x:f>IF(N431="","",IFERROR(VLOOKUP(N431,Master_Data!$A$5:$C$8,3,FALSE),0))</x:f>
      </x:c>
      <x:c r="P431" s="7">
        <x:f>IF(M431="","",M431*O431)</x:f>
      </x:c>
      <x:c r="Q431" s="7">
        <x:f>IF(M431="","",M431+P431)</x:f>
      </x:c>
      <x:c r="R431" s="7">
        <x:f>IF(K431&lt;&gt;"Paid",0,IF(C431="Income",Q431,-Q431))</x:f>
      </x:c>
      <x:c r="S431" s="14">
        <x:f>IF(A431="","",DATE(YEAR(A431),MONTH(A431),1))</x:f>
      </x:c>
      <x:c r="T431" s="14">
        <x:f>IF(L431="","",DATE(YEAR(L431),MONTH(L431),1))</x:f>
      </x:c>
    </x:row>
    <x:row r="432">
      <x:c r="A432" s="11" t="n"/>
      <x:c r="B432" s="5" t="n"/>
      <x:c r="C432" s="12" t="n"/>
      <x:c r="D432" s="12" t="n"/>
      <x:c r="E432" s="12" t="n"/>
      <x:c r="F432" s="12" t="n"/>
      <x:c r="G432" s="13">
        <x:f>IF(F432="","",IFERROR(VLOOKUP(F432,Master_Data!$E$24:$G$33,2,FALSE),"9999"))</x:f>
      </x:c>
      <x:c r="H432" s="12" t="n"/>
      <x:c r="I432" s="12" t="n"/>
      <x:c r="J432" s="12" t="n"/>
      <x:c r="K432" s="12" t="n"/>
      <x:c r="L432" s="11" t="n"/>
      <x:c r="M432" s="9" t="n"/>
      <x:c r="N432" s="12" t="n"/>
      <x:c r="O432" s="6">
        <x:f>IF(N432="","",IFERROR(VLOOKUP(N432,Master_Data!$A$5:$C$8,3,FALSE),0))</x:f>
      </x:c>
      <x:c r="P432" s="7">
        <x:f>IF(M432="","",M432*O432)</x:f>
      </x:c>
      <x:c r="Q432" s="7">
        <x:f>IF(M432="","",M432+P432)</x:f>
      </x:c>
      <x:c r="R432" s="7">
        <x:f>IF(K432&lt;&gt;"Paid",0,IF(C432="Income",Q432,-Q432))</x:f>
      </x:c>
      <x:c r="S432" s="14">
        <x:f>IF(A432="","",DATE(YEAR(A432),MONTH(A432),1))</x:f>
      </x:c>
      <x:c r="T432" s="14">
        <x:f>IF(L432="","",DATE(YEAR(L432),MONTH(L432),1))</x:f>
      </x:c>
    </x:row>
    <x:row r="433">
      <x:c r="A433" s="11" t="n"/>
      <x:c r="B433" s="5" t="n"/>
      <x:c r="C433" s="12" t="n"/>
      <x:c r="D433" s="12" t="n"/>
      <x:c r="E433" s="12" t="n"/>
      <x:c r="F433" s="12" t="n"/>
      <x:c r="G433" s="13">
        <x:f>IF(F433="","",IFERROR(VLOOKUP(F433,Master_Data!$E$24:$G$33,2,FALSE),"9999"))</x:f>
      </x:c>
      <x:c r="H433" s="12" t="n"/>
      <x:c r="I433" s="12" t="n"/>
      <x:c r="J433" s="12" t="n"/>
      <x:c r="K433" s="12" t="n"/>
      <x:c r="L433" s="11" t="n"/>
      <x:c r="M433" s="9" t="n"/>
      <x:c r="N433" s="12" t="n"/>
      <x:c r="O433" s="6">
        <x:f>IF(N433="","",IFERROR(VLOOKUP(N433,Master_Data!$A$5:$C$8,3,FALSE),0))</x:f>
      </x:c>
      <x:c r="P433" s="7">
        <x:f>IF(M433="","",M433*O433)</x:f>
      </x:c>
      <x:c r="Q433" s="7">
        <x:f>IF(M433="","",M433+P433)</x:f>
      </x:c>
      <x:c r="R433" s="7">
        <x:f>IF(K433&lt;&gt;"Paid",0,IF(C433="Income",Q433,-Q433))</x:f>
      </x:c>
      <x:c r="S433" s="14">
        <x:f>IF(A433="","",DATE(YEAR(A433),MONTH(A433),1))</x:f>
      </x:c>
      <x:c r="T433" s="14">
        <x:f>IF(L433="","",DATE(YEAR(L433),MONTH(L433),1))</x:f>
      </x:c>
    </x:row>
    <x:row r="434">
      <x:c r="A434" s="11" t="n"/>
      <x:c r="B434" s="5" t="n"/>
      <x:c r="C434" s="12" t="n"/>
      <x:c r="D434" s="12" t="n"/>
      <x:c r="E434" s="12" t="n"/>
      <x:c r="F434" s="12" t="n"/>
      <x:c r="G434" s="13">
        <x:f>IF(F434="","",IFERROR(VLOOKUP(F434,Master_Data!$E$24:$G$33,2,FALSE),"9999"))</x:f>
      </x:c>
      <x:c r="H434" s="12" t="n"/>
      <x:c r="I434" s="12" t="n"/>
      <x:c r="J434" s="12" t="n"/>
      <x:c r="K434" s="12" t="n"/>
      <x:c r="L434" s="11" t="n"/>
      <x:c r="M434" s="9" t="n"/>
      <x:c r="N434" s="12" t="n"/>
      <x:c r="O434" s="6">
        <x:f>IF(N434="","",IFERROR(VLOOKUP(N434,Master_Data!$A$5:$C$8,3,FALSE),0))</x:f>
      </x:c>
      <x:c r="P434" s="7">
        <x:f>IF(M434="","",M434*O434)</x:f>
      </x:c>
      <x:c r="Q434" s="7">
        <x:f>IF(M434="","",M434+P434)</x:f>
      </x:c>
      <x:c r="R434" s="7">
        <x:f>IF(K434&lt;&gt;"Paid",0,IF(C434="Income",Q434,-Q434))</x:f>
      </x:c>
      <x:c r="S434" s="14">
        <x:f>IF(A434="","",DATE(YEAR(A434),MONTH(A434),1))</x:f>
      </x:c>
      <x:c r="T434" s="14">
        <x:f>IF(L434="","",DATE(YEAR(L434),MONTH(L434),1))</x:f>
      </x:c>
    </x:row>
    <x:row r="435">
      <x:c r="A435" s="11" t="n"/>
      <x:c r="B435" s="5" t="n"/>
      <x:c r="C435" s="12" t="n"/>
      <x:c r="D435" s="12" t="n"/>
      <x:c r="E435" s="12" t="n"/>
      <x:c r="F435" s="12" t="n"/>
      <x:c r="G435" s="13">
        <x:f>IF(F435="","",IFERROR(VLOOKUP(F435,Master_Data!$E$24:$G$33,2,FALSE),"9999"))</x:f>
      </x:c>
      <x:c r="H435" s="12" t="n"/>
      <x:c r="I435" s="12" t="n"/>
      <x:c r="J435" s="12" t="n"/>
      <x:c r="K435" s="12" t="n"/>
      <x:c r="L435" s="11" t="n"/>
      <x:c r="M435" s="9" t="n"/>
      <x:c r="N435" s="12" t="n"/>
      <x:c r="O435" s="6">
        <x:f>IF(N435="","",IFERROR(VLOOKUP(N435,Master_Data!$A$5:$C$8,3,FALSE),0))</x:f>
      </x:c>
      <x:c r="P435" s="7">
        <x:f>IF(M435="","",M435*O435)</x:f>
      </x:c>
      <x:c r="Q435" s="7">
        <x:f>IF(M435="","",M435+P435)</x:f>
      </x:c>
      <x:c r="R435" s="7">
        <x:f>IF(K435&lt;&gt;"Paid",0,IF(C435="Income",Q435,-Q435))</x:f>
      </x:c>
      <x:c r="S435" s="14">
        <x:f>IF(A435="","",DATE(YEAR(A435),MONTH(A435),1))</x:f>
      </x:c>
      <x:c r="T435" s="14">
        <x:f>IF(L435="","",DATE(YEAR(L435),MONTH(L435),1))</x:f>
      </x:c>
    </x:row>
    <x:row r="436">
      <x:c r="A436" s="11" t="n"/>
      <x:c r="B436" s="5" t="n"/>
      <x:c r="C436" s="12" t="n"/>
      <x:c r="D436" s="12" t="n"/>
      <x:c r="E436" s="12" t="n"/>
      <x:c r="F436" s="12" t="n"/>
      <x:c r="G436" s="13">
        <x:f>IF(F436="","",IFERROR(VLOOKUP(F436,Master_Data!$E$24:$G$33,2,FALSE),"9999"))</x:f>
      </x:c>
      <x:c r="H436" s="12" t="n"/>
      <x:c r="I436" s="12" t="n"/>
      <x:c r="J436" s="12" t="n"/>
      <x:c r="K436" s="12" t="n"/>
      <x:c r="L436" s="11" t="n"/>
      <x:c r="M436" s="9" t="n"/>
      <x:c r="N436" s="12" t="n"/>
      <x:c r="O436" s="6">
        <x:f>IF(N436="","",IFERROR(VLOOKUP(N436,Master_Data!$A$5:$C$8,3,FALSE),0))</x:f>
      </x:c>
      <x:c r="P436" s="7">
        <x:f>IF(M436="","",M436*O436)</x:f>
      </x:c>
      <x:c r="Q436" s="7">
        <x:f>IF(M436="","",M436+P436)</x:f>
      </x:c>
      <x:c r="R436" s="7">
        <x:f>IF(K436&lt;&gt;"Paid",0,IF(C436="Income",Q436,-Q436))</x:f>
      </x:c>
      <x:c r="S436" s="14">
        <x:f>IF(A436="","",DATE(YEAR(A436),MONTH(A436),1))</x:f>
      </x:c>
      <x:c r="T436" s="14">
        <x:f>IF(L436="","",DATE(YEAR(L436),MONTH(L436),1))</x:f>
      </x:c>
    </x:row>
    <x:row r="437">
      <x:c r="A437" s="11" t="n"/>
      <x:c r="B437" s="5" t="n"/>
      <x:c r="C437" s="12" t="n"/>
      <x:c r="D437" s="12" t="n"/>
      <x:c r="E437" s="12" t="n"/>
      <x:c r="F437" s="12" t="n"/>
      <x:c r="G437" s="13">
        <x:f>IF(F437="","",IFERROR(VLOOKUP(F437,Master_Data!$E$24:$G$33,2,FALSE),"9999"))</x:f>
      </x:c>
      <x:c r="H437" s="12" t="n"/>
      <x:c r="I437" s="12" t="n"/>
      <x:c r="J437" s="12" t="n"/>
      <x:c r="K437" s="12" t="n"/>
      <x:c r="L437" s="11" t="n"/>
      <x:c r="M437" s="9" t="n"/>
      <x:c r="N437" s="12" t="n"/>
      <x:c r="O437" s="6">
        <x:f>IF(N437="","",IFERROR(VLOOKUP(N437,Master_Data!$A$5:$C$8,3,FALSE),0))</x:f>
      </x:c>
      <x:c r="P437" s="7">
        <x:f>IF(M437="","",M437*O437)</x:f>
      </x:c>
      <x:c r="Q437" s="7">
        <x:f>IF(M437="","",M437+P437)</x:f>
      </x:c>
      <x:c r="R437" s="7">
        <x:f>IF(K437&lt;&gt;"Paid",0,IF(C437="Income",Q437,-Q437))</x:f>
      </x:c>
      <x:c r="S437" s="14">
        <x:f>IF(A437="","",DATE(YEAR(A437),MONTH(A437),1))</x:f>
      </x:c>
      <x:c r="T437" s="14">
        <x:f>IF(L437="","",DATE(YEAR(L437),MONTH(L437),1))</x:f>
      </x:c>
    </x:row>
    <x:row r="438">
      <x:c r="A438" s="11" t="n"/>
      <x:c r="B438" s="5" t="n"/>
      <x:c r="C438" s="12" t="n"/>
      <x:c r="D438" s="12" t="n"/>
      <x:c r="E438" s="12" t="n"/>
      <x:c r="F438" s="12" t="n"/>
      <x:c r="G438" s="13">
        <x:f>IF(F438="","",IFERROR(VLOOKUP(F438,Master_Data!$E$24:$G$33,2,FALSE),"9999"))</x:f>
      </x:c>
      <x:c r="H438" s="12" t="n"/>
      <x:c r="I438" s="12" t="n"/>
      <x:c r="J438" s="12" t="n"/>
      <x:c r="K438" s="12" t="n"/>
      <x:c r="L438" s="11" t="n"/>
      <x:c r="M438" s="9" t="n"/>
      <x:c r="N438" s="12" t="n"/>
      <x:c r="O438" s="6">
        <x:f>IF(N438="","",IFERROR(VLOOKUP(N438,Master_Data!$A$5:$C$8,3,FALSE),0))</x:f>
      </x:c>
      <x:c r="P438" s="7">
        <x:f>IF(M438="","",M438*O438)</x:f>
      </x:c>
      <x:c r="Q438" s="7">
        <x:f>IF(M438="","",M438+P438)</x:f>
      </x:c>
      <x:c r="R438" s="7">
        <x:f>IF(K438&lt;&gt;"Paid",0,IF(C438="Income",Q438,-Q438))</x:f>
      </x:c>
      <x:c r="S438" s="14">
        <x:f>IF(A438="","",DATE(YEAR(A438),MONTH(A438),1))</x:f>
      </x:c>
      <x:c r="T438" s="14">
        <x:f>IF(L438="","",DATE(YEAR(L438),MONTH(L438),1))</x:f>
      </x:c>
    </x:row>
    <x:row r="439">
      <x:c r="A439" s="11" t="n"/>
      <x:c r="B439" s="5" t="n"/>
      <x:c r="C439" s="12" t="n"/>
      <x:c r="D439" s="12" t="n"/>
      <x:c r="E439" s="12" t="n"/>
      <x:c r="F439" s="12" t="n"/>
      <x:c r="G439" s="13">
        <x:f>IF(F439="","",IFERROR(VLOOKUP(F439,Master_Data!$E$24:$G$33,2,FALSE),"9999"))</x:f>
      </x:c>
      <x:c r="H439" s="12" t="n"/>
      <x:c r="I439" s="12" t="n"/>
      <x:c r="J439" s="12" t="n"/>
      <x:c r="K439" s="12" t="n"/>
      <x:c r="L439" s="11" t="n"/>
      <x:c r="M439" s="9" t="n"/>
      <x:c r="N439" s="12" t="n"/>
      <x:c r="O439" s="6">
        <x:f>IF(N439="","",IFERROR(VLOOKUP(N439,Master_Data!$A$5:$C$8,3,FALSE),0))</x:f>
      </x:c>
      <x:c r="P439" s="7">
        <x:f>IF(M439="","",M439*O439)</x:f>
      </x:c>
      <x:c r="Q439" s="7">
        <x:f>IF(M439="","",M439+P439)</x:f>
      </x:c>
      <x:c r="R439" s="7">
        <x:f>IF(K439&lt;&gt;"Paid",0,IF(C439="Income",Q439,-Q439))</x:f>
      </x:c>
      <x:c r="S439" s="14">
        <x:f>IF(A439="","",DATE(YEAR(A439),MONTH(A439),1))</x:f>
      </x:c>
      <x:c r="T439" s="14">
        <x:f>IF(L439="","",DATE(YEAR(L439),MONTH(L439),1))</x:f>
      </x:c>
    </x:row>
    <x:row r="440">
      <x:c r="A440" s="11" t="n"/>
      <x:c r="B440" s="5" t="n"/>
      <x:c r="C440" s="12" t="n"/>
      <x:c r="D440" s="12" t="n"/>
      <x:c r="E440" s="12" t="n"/>
      <x:c r="F440" s="12" t="n"/>
      <x:c r="G440" s="13">
        <x:f>IF(F440="","",IFERROR(VLOOKUP(F440,Master_Data!$E$24:$G$33,2,FALSE),"9999"))</x:f>
      </x:c>
      <x:c r="H440" s="12" t="n"/>
      <x:c r="I440" s="12" t="n"/>
      <x:c r="J440" s="12" t="n"/>
      <x:c r="K440" s="12" t="n"/>
      <x:c r="L440" s="11" t="n"/>
      <x:c r="M440" s="9" t="n"/>
      <x:c r="N440" s="12" t="n"/>
      <x:c r="O440" s="6">
        <x:f>IF(N440="","",IFERROR(VLOOKUP(N440,Master_Data!$A$5:$C$8,3,FALSE),0))</x:f>
      </x:c>
      <x:c r="P440" s="7">
        <x:f>IF(M440="","",M440*O440)</x:f>
      </x:c>
      <x:c r="Q440" s="7">
        <x:f>IF(M440="","",M440+P440)</x:f>
      </x:c>
      <x:c r="R440" s="7">
        <x:f>IF(K440&lt;&gt;"Paid",0,IF(C440="Income",Q440,-Q440))</x:f>
      </x:c>
      <x:c r="S440" s="14">
        <x:f>IF(A440="","",DATE(YEAR(A440),MONTH(A440),1))</x:f>
      </x:c>
      <x:c r="T440" s="14">
        <x:f>IF(L440="","",DATE(YEAR(L440),MONTH(L440),1))</x:f>
      </x:c>
    </x:row>
    <x:row r="441">
      <x:c r="A441" s="11" t="n"/>
      <x:c r="B441" s="5" t="n"/>
      <x:c r="C441" s="12" t="n"/>
      <x:c r="D441" s="12" t="n"/>
      <x:c r="E441" s="12" t="n"/>
      <x:c r="F441" s="12" t="n"/>
      <x:c r="G441" s="13">
        <x:f>IF(F441="","",IFERROR(VLOOKUP(F441,Master_Data!$E$24:$G$33,2,FALSE),"9999"))</x:f>
      </x:c>
      <x:c r="H441" s="12" t="n"/>
      <x:c r="I441" s="12" t="n"/>
      <x:c r="J441" s="12" t="n"/>
      <x:c r="K441" s="12" t="n"/>
      <x:c r="L441" s="11" t="n"/>
      <x:c r="M441" s="9" t="n"/>
      <x:c r="N441" s="12" t="n"/>
      <x:c r="O441" s="6">
        <x:f>IF(N441="","",IFERROR(VLOOKUP(N441,Master_Data!$A$5:$C$8,3,FALSE),0))</x:f>
      </x:c>
      <x:c r="P441" s="7">
        <x:f>IF(M441="","",M441*O441)</x:f>
      </x:c>
      <x:c r="Q441" s="7">
        <x:f>IF(M441="","",M441+P441)</x:f>
      </x:c>
      <x:c r="R441" s="7">
        <x:f>IF(K441&lt;&gt;"Paid",0,IF(C441="Income",Q441,-Q441))</x:f>
      </x:c>
      <x:c r="S441" s="14">
        <x:f>IF(A441="","",DATE(YEAR(A441),MONTH(A441),1))</x:f>
      </x:c>
      <x:c r="T441" s="14">
        <x:f>IF(L441="","",DATE(YEAR(L441),MONTH(L441),1))</x:f>
      </x:c>
    </x:row>
    <x:row r="442">
      <x:c r="A442" s="11" t="n"/>
      <x:c r="B442" s="5" t="n"/>
      <x:c r="C442" s="12" t="n"/>
      <x:c r="D442" s="12" t="n"/>
      <x:c r="E442" s="12" t="n"/>
      <x:c r="F442" s="12" t="n"/>
      <x:c r="G442" s="13">
        <x:f>IF(F442="","",IFERROR(VLOOKUP(F442,Master_Data!$E$24:$G$33,2,FALSE),"9999"))</x:f>
      </x:c>
      <x:c r="H442" s="12" t="n"/>
      <x:c r="I442" s="12" t="n"/>
      <x:c r="J442" s="12" t="n"/>
      <x:c r="K442" s="12" t="n"/>
      <x:c r="L442" s="11" t="n"/>
      <x:c r="M442" s="9" t="n"/>
      <x:c r="N442" s="12" t="n"/>
      <x:c r="O442" s="6">
        <x:f>IF(N442="","",IFERROR(VLOOKUP(N442,Master_Data!$A$5:$C$8,3,FALSE),0))</x:f>
      </x:c>
      <x:c r="P442" s="7">
        <x:f>IF(M442="","",M442*O442)</x:f>
      </x:c>
      <x:c r="Q442" s="7">
        <x:f>IF(M442="","",M442+P442)</x:f>
      </x:c>
      <x:c r="R442" s="7">
        <x:f>IF(K442&lt;&gt;"Paid",0,IF(C442="Income",Q442,-Q442))</x:f>
      </x:c>
      <x:c r="S442" s="14">
        <x:f>IF(A442="","",DATE(YEAR(A442),MONTH(A442),1))</x:f>
      </x:c>
      <x:c r="T442" s="14">
        <x:f>IF(L442="","",DATE(YEAR(L442),MONTH(L442),1))</x:f>
      </x:c>
    </x:row>
    <x:row r="443">
      <x:c r="A443" s="11" t="n"/>
      <x:c r="B443" s="5" t="n"/>
      <x:c r="C443" s="12" t="n"/>
      <x:c r="D443" s="12" t="n"/>
      <x:c r="E443" s="12" t="n"/>
      <x:c r="F443" s="12" t="n"/>
      <x:c r="G443" s="13">
        <x:f>IF(F443="","",IFERROR(VLOOKUP(F443,Master_Data!$E$24:$G$33,2,FALSE),"9999"))</x:f>
      </x:c>
      <x:c r="H443" s="12" t="n"/>
      <x:c r="I443" s="12" t="n"/>
      <x:c r="J443" s="12" t="n"/>
      <x:c r="K443" s="12" t="n"/>
      <x:c r="L443" s="11" t="n"/>
      <x:c r="M443" s="9" t="n"/>
      <x:c r="N443" s="12" t="n"/>
      <x:c r="O443" s="6">
        <x:f>IF(N443="","",IFERROR(VLOOKUP(N443,Master_Data!$A$5:$C$8,3,FALSE),0))</x:f>
      </x:c>
      <x:c r="P443" s="7">
        <x:f>IF(M443="","",M443*O443)</x:f>
      </x:c>
      <x:c r="Q443" s="7">
        <x:f>IF(M443="","",M443+P443)</x:f>
      </x:c>
      <x:c r="R443" s="7">
        <x:f>IF(K443&lt;&gt;"Paid",0,IF(C443="Income",Q443,-Q443))</x:f>
      </x:c>
      <x:c r="S443" s="14">
        <x:f>IF(A443="","",DATE(YEAR(A443),MONTH(A443),1))</x:f>
      </x:c>
      <x:c r="T443" s="14">
        <x:f>IF(L443="","",DATE(YEAR(L443),MONTH(L443),1))</x:f>
      </x:c>
    </x:row>
    <x:row r="444">
      <x:c r="A444" s="11" t="n"/>
      <x:c r="B444" s="5" t="n"/>
      <x:c r="C444" s="12" t="n"/>
      <x:c r="D444" s="12" t="n"/>
      <x:c r="E444" s="12" t="n"/>
      <x:c r="F444" s="12" t="n"/>
      <x:c r="G444" s="13">
        <x:f>IF(F444="","",IFERROR(VLOOKUP(F444,Master_Data!$E$24:$G$33,2,FALSE),"9999"))</x:f>
      </x:c>
      <x:c r="H444" s="12" t="n"/>
      <x:c r="I444" s="12" t="n"/>
      <x:c r="J444" s="12" t="n"/>
      <x:c r="K444" s="12" t="n"/>
      <x:c r="L444" s="11" t="n"/>
      <x:c r="M444" s="9" t="n"/>
      <x:c r="N444" s="12" t="n"/>
      <x:c r="O444" s="6">
        <x:f>IF(N444="","",IFERROR(VLOOKUP(N444,Master_Data!$A$5:$C$8,3,FALSE),0))</x:f>
      </x:c>
      <x:c r="P444" s="7">
        <x:f>IF(M444="","",M444*O444)</x:f>
      </x:c>
      <x:c r="Q444" s="7">
        <x:f>IF(M444="","",M444+P444)</x:f>
      </x:c>
      <x:c r="R444" s="7">
        <x:f>IF(K444&lt;&gt;"Paid",0,IF(C444="Income",Q444,-Q444))</x:f>
      </x:c>
      <x:c r="S444" s="14">
        <x:f>IF(A444="","",DATE(YEAR(A444),MONTH(A444),1))</x:f>
      </x:c>
      <x:c r="T444" s="14">
        <x:f>IF(L444="","",DATE(YEAR(L444),MONTH(L444),1))</x:f>
      </x:c>
    </x:row>
    <x:row r="445">
      <x:c r="A445" s="11" t="n"/>
      <x:c r="B445" s="5" t="n"/>
      <x:c r="C445" s="12" t="n"/>
      <x:c r="D445" s="12" t="n"/>
      <x:c r="E445" s="12" t="n"/>
      <x:c r="F445" s="12" t="n"/>
      <x:c r="G445" s="13">
        <x:f>IF(F445="","",IFERROR(VLOOKUP(F445,Master_Data!$E$24:$G$33,2,FALSE),"9999"))</x:f>
      </x:c>
      <x:c r="H445" s="12" t="n"/>
      <x:c r="I445" s="12" t="n"/>
      <x:c r="J445" s="12" t="n"/>
      <x:c r="K445" s="12" t="n"/>
      <x:c r="L445" s="11" t="n"/>
      <x:c r="M445" s="9" t="n"/>
      <x:c r="N445" s="12" t="n"/>
      <x:c r="O445" s="6">
        <x:f>IF(N445="","",IFERROR(VLOOKUP(N445,Master_Data!$A$5:$C$8,3,FALSE),0))</x:f>
      </x:c>
      <x:c r="P445" s="7">
        <x:f>IF(M445="","",M445*O445)</x:f>
      </x:c>
      <x:c r="Q445" s="7">
        <x:f>IF(M445="","",M445+P445)</x:f>
      </x:c>
      <x:c r="R445" s="7">
        <x:f>IF(K445&lt;&gt;"Paid",0,IF(C445="Income",Q445,-Q445))</x:f>
      </x:c>
      <x:c r="S445" s="14">
        <x:f>IF(A445="","",DATE(YEAR(A445),MONTH(A445),1))</x:f>
      </x:c>
      <x:c r="T445" s="14">
        <x:f>IF(L445="","",DATE(YEAR(L445),MONTH(L445),1))</x:f>
      </x:c>
    </x:row>
    <x:row r="446">
      <x:c r="A446" s="11" t="n"/>
      <x:c r="B446" s="5" t="n"/>
      <x:c r="C446" s="12" t="n"/>
      <x:c r="D446" s="12" t="n"/>
      <x:c r="E446" s="12" t="n"/>
      <x:c r="F446" s="12" t="n"/>
      <x:c r="G446" s="13">
        <x:f>IF(F446="","",IFERROR(VLOOKUP(F446,Master_Data!$E$24:$G$33,2,FALSE),"9999"))</x:f>
      </x:c>
      <x:c r="H446" s="12" t="n"/>
      <x:c r="I446" s="12" t="n"/>
      <x:c r="J446" s="12" t="n"/>
      <x:c r="K446" s="12" t="n"/>
      <x:c r="L446" s="11" t="n"/>
      <x:c r="M446" s="9" t="n"/>
      <x:c r="N446" s="12" t="n"/>
      <x:c r="O446" s="6">
        <x:f>IF(N446="","",IFERROR(VLOOKUP(N446,Master_Data!$A$5:$C$8,3,FALSE),0))</x:f>
      </x:c>
      <x:c r="P446" s="7">
        <x:f>IF(M446="","",M446*O446)</x:f>
      </x:c>
      <x:c r="Q446" s="7">
        <x:f>IF(M446="","",M446+P446)</x:f>
      </x:c>
      <x:c r="R446" s="7">
        <x:f>IF(K446&lt;&gt;"Paid",0,IF(C446="Income",Q446,-Q446))</x:f>
      </x:c>
      <x:c r="S446" s="14">
        <x:f>IF(A446="","",DATE(YEAR(A446),MONTH(A446),1))</x:f>
      </x:c>
      <x:c r="T446" s="14">
        <x:f>IF(L446="","",DATE(YEAR(L446),MONTH(L446),1))</x:f>
      </x:c>
    </x:row>
    <x:row r="447">
      <x:c r="A447" s="11" t="n"/>
      <x:c r="B447" s="5" t="n"/>
      <x:c r="C447" s="12" t="n"/>
      <x:c r="D447" s="12" t="n"/>
      <x:c r="E447" s="12" t="n"/>
      <x:c r="F447" s="12" t="n"/>
      <x:c r="G447" s="13">
        <x:f>IF(F447="","",IFERROR(VLOOKUP(F447,Master_Data!$E$24:$G$33,2,FALSE),"9999"))</x:f>
      </x:c>
      <x:c r="H447" s="12" t="n"/>
      <x:c r="I447" s="12" t="n"/>
      <x:c r="J447" s="12" t="n"/>
      <x:c r="K447" s="12" t="n"/>
      <x:c r="L447" s="11" t="n"/>
      <x:c r="M447" s="9" t="n"/>
      <x:c r="N447" s="12" t="n"/>
      <x:c r="O447" s="6">
        <x:f>IF(N447="","",IFERROR(VLOOKUP(N447,Master_Data!$A$5:$C$8,3,FALSE),0))</x:f>
      </x:c>
      <x:c r="P447" s="7">
        <x:f>IF(M447="","",M447*O447)</x:f>
      </x:c>
      <x:c r="Q447" s="7">
        <x:f>IF(M447="","",M447+P447)</x:f>
      </x:c>
      <x:c r="R447" s="7">
        <x:f>IF(K447&lt;&gt;"Paid",0,IF(C447="Income",Q447,-Q447))</x:f>
      </x:c>
      <x:c r="S447" s="14">
        <x:f>IF(A447="","",DATE(YEAR(A447),MONTH(A447),1))</x:f>
      </x:c>
      <x:c r="T447" s="14">
        <x:f>IF(L447="","",DATE(YEAR(L447),MONTH(L447),1))</x:f>
      </x:c>
    </x:row>
    <x:row r="448">
      <x:c r="A448" s="11" t="n"/>
      <x:c r="B448" s="5" t="n"/>
      <x:c r="C448" s="12" t="n"/>
      <x:c r="D448" s="12" t="n"/>
      <x:c r="E448" s="12" t="n"/>
      <x:c r="F448" s="12" t="n"/>
      <x:c r="G448" s="13">
        <x:f>IF(F448="","",IFERROR(VLOOKUP(F448,Master_Data!$E$24:$G$33,2,FALSE),"9999"))</x:f>
      </x:c>
      <x:c r="H448" s="12" t="n"/>
      <x:c r="I448" s="12" t="n"/>
      <x:c r="J448" s="12" t="n"/>
      <x:c r="K448" s="12" t="n"/>
      <x:c r="L448" s="11" t="n"/>
      <x:c r="M448" s="9" t="n"/>
      <x:c r="N448" s="12" t="n"/>
      <x:c r="O448" s="6">
        <x:f>IF(N448="","",IFERROR(VLOOKUP(N448,Master_Data!$A$5:$C$8,3,FALSE),0))</x:f>
      </x:c>
      <x:c r="P448" s="7">
        <x:f>IF(M448="","",M448*O448)</x:f>
      </x:c>
      <x:c r="Q448" s="7">
        <x:f>IF(M448="","",M448+P448)</x:f>
      </x:c>
      <x:c r="R448" s="7">
        <x:f>IF(K448&lt;&gt;"Paid",0,IF(C448="Income",Q448,-Q448))</x:f>
      </x:c>
      <x:c r="S448" s="14">
        <x:f>IF(A448="","",DATE(YEAR(A448),MONTH(A448),1))</x:f>
      </x:c>
      <x:c r="T448" s="14">
        <x:f>IF(L448="","",DATE(YEAR(L448),MONTH(L448),1))</x:f>
      </x:c>
    </x:row>
    <x:row r="449">
      <x:c r="A449" s="11" t="n"/>
      <x:c r="B449" s="5" t="n"/>
      <x:c r="C449" s="12" t="n"/>
      <x:c r="D449" s="12" t="n"/>
      <x:c r="E449" s="12" t="n"/>
      <x:c r="F449" s="12" t="n"/>
      <x:c r="G449" s="13">
        <x:f>IF(F449="","",IFERROR(VLOOKUP(F449,Master_Data!$E$24:$G$33,2,FALSE),"9999"))</x:f>
      </x:c>
      <x:c r="H449" s="12" t="n"/>
      <x:c r="I449" s="12" t="n"/>
      <x:c r="J449" s="12" t="n"/>
      <x:c r="K449" s="12" t="n"/>
      <x:c r="L449" s="11" t="n"/>
      <x:c r="M449" s="9" t="n"/>
      <x:c r="N449" s="12" t="n"/>
      <x:c r="O449" s="6">
        <x:f>IF(N449="","",IFERROR(VLOOKUP(N449,Master_Data!$A$5:$C$8,3,FALSE),0))</x:f>
      </x:c>
      <x:c r="P449" s="7">
        <x:f>IF(M449="","",M449*O449)</x:f>
      </x:c>
      <x:c r="Q449" s="7">
        <x:f>IF(M449="","",M449+P449)</x:f>
      </x:c>
      <x:c r="R449" s="7">
        <x:f>IF(K449&lt;&gt;"Paid",0,IF(C449="Income",Q449,-Q449))</x:f>
      </x:c>
      <x:c r="S449" s="14">
        <x:f>IF(A449="","",DATE(YEAR(A449),MONTH(A449),1))</x:f>
      </x:c>
      <x:c r="T449" s="14">
        <x:f>IF(L449="","",DATE(YEAR(L449),MONTH(L449),1))</x:f>
      </x:c>
    </x:row>
    <x:row r="450">
      <x:c r="A450" s="11" t="n"/>
      <x:c r="B450" s="5" t="n"/>
      <x:c r="C450" s="12" t="n"/>
      <x:c r="D450" s="12" t="n"/>
      <x:c r="E450" s="12" t="n"/>
      <x:c r="F450" s="12" t="n"/>
      <x:c r="G450" s="13">
        <x:f>IF(F450="","",IFERROR(VLOOKUP(F450,Master_Data!$E$24:$G$33,2,FALSE),"9999"))</x:f>
      </x:c>
      <x:c r="H450" s="12" t="n"/>
      <x:c r="I450" s="12" t="n"/>
      <x:c r="J450" s="12" t="n"/>
      <x:c r="K450" s="12" t="n"/>
      <x:c r="L450" s="11" t="n"/>
      <x:c r="M450" s="9" t="n"/>
      <x:c r="N450" s="12" t="n"/>
      <x:c r="O450" s="6">
        <x:f>IF(N450="","",IFERROR(VLOOKUP(N450,Master_Data!$A$5:$C$8,3,FALSE),0))</x:f>
      </x:c>
      <x:c r="P450" s="7">
        <x:f>IF(M450="","",M450*O450)</x:f>
      </x:c>
      <x:c r="Q450" s="7">
        <x:f>IF(M450="","",M450+P450)</x:f>
      </x:c>
      <x:c r="R450" s="7">
        <x:f>IF(K450&lt;&gt;"Paid",0,IF(C450="Income",Q450,-Q450))</x:f>
      </x:c>
      <x:c r="S450" s="14">
        <x:f>IF(A450="","",DATE(YEAR(A450),MONTH(A450),1))</x:f>
      </x:c>
      <x:c r="T450" s="14">
        <x:f>IF(L450="","",DATE(YEAR(L450),MONTH(L450),1))</x:f>
      </x:c>
    </x:row>
    <x:row r="451">
      <x:c r="A451" s="11" t="n"/>
      <x:c r="B451" s="5" t="n"/>
      <x:c r="C451" s="12" t="n"/>
      <x:c r="D451" s="12" t="n"/>
      <x:c r="E451" s="12" t="n"/>
      <x:c r="F451" s="12" t="n"/>
      <x:c r="G451" s="13">
        <x:f>IF(F451="","",IFERROR(VLOOKUP(F451,Master_Data!$E$24:$G$33,2,FALSE),"9999"))</x:f>
      </x:c>
      <x:c r="H451" s="12" t="n"/>
      <x:c r="I451" s="12" t="n"/>
      <x:c r="J451" s="12" t="n"/>
      <x:c r="K451" s="12" t="n"/>
      <x:c r="L451" s="11" t="n"/>
      <x:c r="M451" s="9" t="n"/>
      <x:c r="N451" s="12" t="n"/>
      <x:c r="O451" s="6">
        <x:f>IF(N451="","",IFERROR(VLOOKUP(N451,Master_Data!$A$5:$C$8,3,FALSE),0))</x:f>
      </x:c>
      <x:c r="P451" s="7">
        <x:f>IF(M451="","",M451*O451)</x:f>
      </x:c>
      <x:c r="Q451" s="7">
        <x:f>IF(M451="","",M451+P451)</x:f>
      </x:c>
      <x:c r="R451" s="7">
        <x:f>IF(K451&lt;&gt;"Paid",0,IF(C451="Income",Q451,-Q451))</x:f>
      </x:c>
      <x:c r="S451" s="14">
        <x:f>IF(A451="","",DATE(YEAR(A451),MONTH(A451),1))</x:f>
      </x:c>
      <x:c r="T451" s="14">
        <x:f>IF(L451="","",DATE(YEAR(L451),MONTH(L451),1))</x:f>
      </x:c>
    </x:row>
    <x:row r="452">
      <x:c r="A452" s="11" t="n"/>
      <x:c r="B452" s="5" t="n"/>
      <x:c r="C452" s="12" t="n"/>
      <x:c r="D452" s="12" t="n"/>
      <x:c r="E452" s="12" t="n"/>
      <x:c r="F452" s="12" t="n"/>
      <x:c r="G452" s="13">
        <x:f>IF(F452="","",IFERROR(VLOOKUP(F452,Master_Data!$E$24:$G$33,2,FALSE),"9999"))</x:f>
      </x:c>
      <x:c r="H452" s="12" t="n"/>
      <x:c r="I452" s="12" t="n"/>
      <x:c r="J452" s="12" t="n"/>
      <x:c r="K452" s="12" t="n"/>
      <x:c r="L452" s="11" t="n"/>
      <x:c r="M452" s="9" t="n"/>
      <x:c r="N452" s="12" t="n"/>
      <x:c r="O452" s="6">
        <x:f>IF(N452="","",IFERROR(VLOOKUP(N452,Master_Data!$A$5:$C$8,3,FALSE),0))</x:f>
      </x:c>
      <x:c r="P452" s="7">
        <x:f>IF(M452="","",M452*O452)</x:f>
      </x:c>
      <x:c r="Q452" s="7">
        <x:f>IF(M452="","",M452+P452)</x:f>
      </x:c>
      <x:c r="R452" s="7">
        <x:f>IF(K452&lt;&gt;"Paid",0,IF(C452="Income",Q452,-Q452))</x:f>
      </x:c>
      <x:c r="S452" s="14">
        <x:f>IF(A452="","",DATE(YEAR(A452),MONTH(A452),1))</x:f>
      </x:c>
      <x:c r="T452" s="14">
        <x:f>IF(L452="","",DATE(YEAR(L452),MONTH(L452),1))</x:f>
      </x:c>
    </x:row>
    <x:row r="453">
      <x:c r="A453" s="11" t="n"/>
      <x:c r="B453" s="5" t="n"/>
      <x:c r="C453" s="12" t="n"/>
      <x:c r="D453" s="12" t="n"/>
      <x:c r="E453" s="12" t="n"/>
      <x:c r="F453" s="12" t="n"/>
      <x:c r="G453" s="13">
        <x:f>IF(F453="","",IFERROR(VLOOKUP(F453,Master_Data!$E$24:$G$33,2,FALSE),"9999"))</x:f>
      </x:c>
      <x:c r="H453" s="12" t="n"/>
      <x:c r="I453" s="12" t="n"/>
      <x:c r="J453" s="12" t="n"/>
      <x:c r="K453" s="12" t="n"/>
      <x:c r="L453" s="11" t="n"/>
      <x:c r="M453" s="9" t="n"/>
      <x:c r="N453" s="12" t="n"/>
      <x:c r="O453" s="6">
        <x:f>IF(N453="","",IFERROR(VLOOKUP(N453,Master_Data!$A$5:$C$8,3,FALSE),0))</x:f>
      </x:c>
      <x:c r="P453" s="7">
        <x:f>IF(M453="","",M453*O453)</x:f>
      </x:c>
      <x:c r="Q453" s="7">
        <x:f>IF(M453="","",M453+P453)</x:f>
      </x:c>
      <x:c r="R453" s="7">
        <x:f>IF(K453&lt;&gt;"Paid",0,IF(C453="Income",Q453,-Q453))</x:f>
      </x:c>
      <x:c r="S453" s="14">
        <x:f>IF(A453="","",DATE(YEAR(A453),MONTH(A453),1))</x:f>
      </x:c>
      <x:c r="T453" s="14">
        <x:f>IF(L453="","",DATE(YEAR(L453),MONTH(L453),1))</x:f>
      </x:c>
    </x:row>
    <x:row r="454">
      <x:c r="A454" s="11" t="n"/>
      <x:c r="B454" s="5" t="n"/>
      <x:c r="C454" s="12" t="n"/>
      <x:c r="D454" s="12" t="n"/>
      <x:c r="E454" s="12" t="n"/>
      <x:c r="F454" s="12" t="n"/>
      <x:c r="G454" s="13">
        <x:f>IF(F454="","",IFERROR(VLOOKUP(F454,Master_Data!$E$24:$G$33,2,FALSE),"9999"))</x:f>
      </x:c>
      <x:c r="H454" s="12" t="n"/>
      <x:c r="I454" s="12" t="n"/>
      <x:c r="J454" s="12" t="n"/>
      <x:c r="K454" s="12" t="n"/>
      <x:c r="L454" s="11" t="n"/>
      <x:c r="M454" s="9" t="n"/>
      <x:c r="N454" s="12" t="n"/>
      <x:c r="O454" s="6">
        <x:f>IF(N454="","",IFERROR(VLOOKUP(N454,Master_Data!$A$5:$C$8,3,FALSE),0))</x:f>
      </x:c>
      <x:c r="P454" s="7">
        <x:f>IF(M454="","",M454*O454)</x:f>
      </x:c>
      <x:c r="Q454" s="7">
        <x:f>IF(M454="","",M454+P454)</x:f>
      </x:c>
      <x:c r="R454" s="7">
        <x:f>IF(K454&lt;&gt;"Paid",0,IF(C454="Income",Q454,-Q454))</x:f>
      </x:c>
      <x:c r="S454" s="14">
        <x:f>IF(A454="","",DATE(YEAR(A454),MONTH(A454),1))</x:f>
      </x:c>
      <x:c r="T454" s="14">
        <x:f>IF(L454="","",DATE(YEAR(L454),MONTH(L454),1))</x:f>
      </x:c>
    </x:row>
    <x:row r="455">
      <x:c r="A455" s="11" t="n"/>
      <x:c r="B455" s="5" t="n"/>
      <x:c r="C455" s="12" t="n"/>
      <x:c r="D455" s="12" t="n"/>
      <x:c r="E455" s="12" t="n"/>
      <x:c r="F455" s="12" t="n"/>
      <x:c r="G455" s="13">
        <x:f>IF(F455="","",IFERROR(VLOOKUP(F455,Master_Data!$E$24:$G$33,2,FALSE),"9999"))</x:f>
      </x:c>
      <x:c r="H455" s="12" t="n"/>
      <x:c r="I455" s="12" t="n"/>
      <x:c r="J455" s="12" t="n"/>
      <x:c r="K455" s="12" t="n"/>
      <x:c r="L455" s="11" t="n"/>
      <x:c r="M455" s="9" t="n"/>
      <x:c r="N455" s="12" t="n"/>
      <x:c r="O455" s="6">
        <x:f>IF(N455="","",IFERROR(VLOOKUP(N455,Master_Data!$A$5:$C$8,3,FALSE),0))</x:f>
      </x:c>
      <x:c r="P455" s="7">
        <x:f>IF(M455="","",M455*O455)</x:f>
      </x:c>
      <x:c r="Q455" s="7">
        <x:f>IF(M455="","",M455+P455)</x:f>
      </x:c>
      <x:c r="R455" s="7">
        <x:f>IF(K455&lt;&gt;"Paid",0,IF(C455="Income",Q455,-Q455))</x:f>
      </x:c>
      <x:c r="S455" s="14">
        <x:f>IF(A455="","",DATE(YEAR(A455),MONTH(A455),1))</x:f>
      </x:c>
      <x:c r="T455" s="14">
        <x:f>IF(L455="","",DATE(YEAR(L455),MONTH(L455),1))</x:f>
      </x:c>
    </x:row>
    <x:row r="456">
      <x:c r="A456" s="11" t="n"/>
      <x:c r="B456" s="5" t="n"/>
      <x:c r="C456" s="12" t="n"/>
      <x:c r="D456" s="12" t="n"/>
      <x:c r="E456" s="12" t="n"/>
      <x:c r="F456" s="12" t="n"/>
      <x:c r="G456" s="13">
        <x:f>IF(F456="","",IFERROR(VLOOKUP(F456,Master_Data!$E$24:$G$33,2,FALSE),"9999"))</x:f>
      </x:c>
      <x:c r="H456" s="12" t="n"/>
      <x:c r="I456" s="12" t="n"/>
      <x:c r="J456" s="12" t="n"/>
      <x:c r="K456" s="12" t="n"/>
      <x:c r="L456" s="11" t="n"/>
      <x:c r="M456" s="9" t="n"/>
      <x:c r="N456" s="12" t="n"/>
      <x:c r="O456" s="6">
        <x:f>IF(N456="","",IFERROR(VLOOKUP(N456,Master_Data!$A$5:$C$8,3,FALSE),0))</x:f>
      </x:c>
      <x:c r="P456" s="7">
        <x:f>IF(M456="","",M456*O456)</x:f>
      </x:c>
      <x:c r="Q456" s="7">
        <x:f>IF(M456="","",M456+P456)</x:f>
      </x:c>
      <x:c r="R456" s="7">
        <x:f>IF(K456&lt;&gt;"Paid",0,IF(C456="Income",Q456,-Q456))</x:f>
      </x:c>
      <x:c r="S456" s="14">
        <x:f>IF(A456="","",DATE(YEAR(A456),MONTH(A456),1))</x:f>
      </x:c>
      <x:c r="T456" s="14">
        <x:f>IF(L456="","",DATE(YEAR(L456),MONTH(L456),1))</x:f>
      </x:c>
    </x:row>
    <x:row r="457">
      <x:c r="A457" s="11" t="n"/>
      <x:c r="B457" s="5" t="n"/>
      <x:c r="C457" s="12" t="n"/>
      <x:c r="D457" s="12" t="n"/>
      <x:c r="E457" s="12" t="n"/>
      <x:c r="F457" s="12" t="n"/>
      <x:c r="G457" s="13">
        <x:f>IF(F457="","",IFERROR(VLOOKUP(F457,Master_Data!$E$24:$G$33,2,FALSE),"9999"))</x:f>
      </x:c>
      <x:c r="H457" s="12" t="n"/>
      <x:c r="I457" s="12" t="n"/>
      <x:c r="J457" s="12" t="n"/>
      <x:c r="K457" s="12" t="n"/>
      <x:c r="L457" s="11" t="n"/>
      <x:c r="M457" s="9" t="n"/>
      <x:c r="N457" s="12" t="n"/>
      <x:c r="O457" s="6">
        <x:f>IF(N457="","",IFERROR(VLOOKUP(N457,Master_Data!$A$5:$C$8,3,FALSE),0))</x:f>
      </x:c>
      <x:c r="P457" s="7">
        <x:f>IF(M457="","",M457*O457)</x:f>
      </x:c>
      <x:c r="Q457" s="7">
        <x:f>IF(M457="","",M457+P457)</x:f>
      </x:c>
      <x:c r="R457" s="7">
        <x:f>IF(K457&lt;&gt;"Paid",0,IF(C457="Income",Q457,-Q457))</x:f>
      </x:c>
      <x:c r="S457" s="14">
        <x:f>IF(A457="","",DATE(YEAR(A457),MONTH(A457),1))</x:f>
      </x:c>
      <x:c r="T457" s="14">
        <x:f>IF(L457="","",DATE(YEAR(L457),MONTH(L457),1))</x:f>
      </x:c>
    </x:row>
    <x:row r="458">
      <x:c r="A458" s="11" t="n"/>
      <x:c r="B458" s="5" t="n"/>
      <x:c r="C458" s="12" t="n"/>
      <x:c r="D458" s="12" t="n"/>
      <x:c r="E458" s="12" t="n"/>
      <x:c r="F458" s="12" t="n"/>
      <x:c r="G458" s="13">
        <x:f>IF(F458="","",IFERROR(VLOOKUP(F458,Master_Data!$E$24:$G$33,2,FALSE),"9999"))</x:f>
      </x:c>
      <x:c r="H458" s="12" t="n"/>
      <x:c r="I458" s="12" t="n"/>
      <x:c r="J458" s="12" t="n"/>
      <x:c r="K458" s="12" t="n"/>
      <x:c r="L458" s="11" t="n"/>
      <x:c r="M458" s="9" t="n"/>
      <x:c r="N458" s="12" t="n"/>
      <x:c r="O458" s="6">
        <x:f>IF(N458="","",IFERROR(VLOOKUP(N458,Master_Data!$A$5:$C$8,3,FALSE),0))</x:f>
      </x:c>
      <x:c r="P458" s="7">
        <x:f>IF(M458="","",M458*O458)</x:f>
      </x:c>
      <x:c r="Q458" s="7">
        <x:f>IF(M458="","",M458+P458)</x:f>
      </x:c>
      <x:c r="R458" s="7">
        <x:f>IF(K458&lt;&gt;"Paid",0,IF(C458="Income",Q458,-Q458))</x:f>
      </x:c>
      <x:c r="S458" s="14">
        <x:f>IF(A458="","",DATE(YEAR(A458),MONTH(A458),1))</x:f>
      </x:c>
      <x:c r="T458" s="14">
        <x:f>IF(L458="","",DATE(YEAR(L458),MONTH(L458),1))</x:f>
      </x:c>
    </x:row>
    <x:row r="459">
      <x:c r="A459" s="11" t="n"/>
      <x:c r="B459" s="5" t="n"/>
      <x:c r="C459" s="12" t="n"/>
      <x:c r="D459" s="12" t="n"/>
      <x:c r="E459" s="12" t="n"/>
      <x:c r="F459" s="12" t="n"/>
      <x:c r="G459" s="13">
        <x:f>IF(F459="","",IFERROR(VLOOKUP(F459,Master_Data!$E$24:$G$33,2,FALSE),"9999"))</x:f>
      </x:c>
      <x:c r="H459" s="12" t="n"/>
      <x:c r="I459" s="12" t="n"/>
      <x:c r="J459" s="12" t="n"/>
      <x:c r="K459" s="12" t="n"/>
      <x:c r="L459" s="11" t="n"/>
      <x:c r="M459" s="9" t="n"/>
      <x:c r="N459" s="12" t="n"/>
      <x:c r="O459" s="6">
        <x:f>IF(N459="","",IFERROR(VLOOKUP(N459,Master_Data!$A$5:$C$8,3,FALSE),0))</x:f>
      </x:c>
      <x:c r="P459" s="7">
        <x:f>IF(M459="","",M459*O459)</x:f>
      </x:c>
      <x:c r="Q459" s="7">
        <x:f>IF(M459="","",M459+P459)</x:f>
      </x:c>
      <x:c r="R459" s="7">
        <x:f>IF(K459&lt;&gt;"Paid",0,IF(C459="Income",Q459,-Q459))</x:f>
      </x:c>
      <x:c r="S459" s="14">
        <x:f>IF(A459="","",DATE(YEAR(A459),MONTH(A459),1))</x:f>
      </x:c>
      <x:c r="T459" s="14">
        <x:f>IF(L459="","",DATE(YEAR(L459),MONTH(L459),1))</x:f>
      </x:c>
    </x:row>
    <x:row r="460">
      <x:c r="A460" s="11" t="n"/>
      <x:c r="B460" s="5" t="n"/>
      <x:c r="C460" s="12" t="n"/>
      <x:c r="D460" s="12" t="n"/>
      <x:c r="E460" s="12" t="n"/>
      <x:c r="F460" s="12" t="n"/>
      <x:c r="G460" s="13">
        <x:f>IF(F460="","",IFERROR(VLOOKUP(F460,Master_Data!$E$24:$G$33,2,FALSE),"9999"))</x:f>
      </x:c>
      <x:c r="H460" s="12" t="n"/>
      <x:c r="I460" s="12" t="n"/>
      <x:c r="J460" s="12" t="n"/>
      <x:c r="K460" s="12" t="n"/>
      <x:c r="L460" s="11" t="n"/>
      <x:c r="M460" s="9" t="n"/>
      <x:c r="N460" s="12" t="n"/>
      <x:c r="O460" s="6">
        <x:f>IF(N460="","",IFERROR(VLOOKUP(N460,Master_Data!$A$5:$C$8,3,FALSE),0))</x:f>
      </x:c>
      <x:c r="P460" s="7">
        <x:f>IF(M460="","",M460*O460)</x:f>
      </x:c>
      <x:c r="Q460" s="7">
        <x:f>IF(M460="","",M460+P460)</x:f>
      </x:c>
      <x:c r="R460" s="7">
        <x:f>IF(K460&lt;&gt;"Paid",0,IF(C460="Income",Q460,-Q460))</x:f>
      </x:c>
      <x:c r="S460" s="14">
        <x:f>IF(A460="","",DATE(YEAR(A460),MONTH(A460),1))</x:f>
      </x:c>
      <x:c r="T460" s="14">
        <x:f>IF(L460="","",DATE(YEAR(L460),MONTH(L460),1))</x:f>
      </x:c>
    </x:row>
    <x:row r="461">
      <x:c r="A461" s="11" t="n"/>
      <x:c r="B461" s="5" t="n"/>
      <x:c r="C461" s="12" t="n"/>
      <x:c r="D461" s="12" t="n"/>
      <x:c r="E461" s="12" t="n"/>
      <x:c r="F461" s="12" t="n"/>
      <x:c r="G461" s="13">
        <x:f>IF(F461="","",IFERROR(VLOOKUP(F461,Master_Data!$E$24:$G$33,2,FALSE),"9999"))</x:f>
      </x:c>
      <x:c r="H461" s="12" t="n"/>
      <x:c r="I461" s="12" t="n"/>
      <x:c r="J461" s="12" t="n"/>
      <x:c r="K461" s="12" t="n"/>
      <x:c r="L461" s="11" t="n"/>
      <x:c r="M461" s="9" t="n"/>
      <x:c r="N461" s="12" t="n"/>
      <x:c r="O461" s="6">
        <x:f>IF(N461="","",IFERROR(VLOOKUP(N461,Master_Data!$A$5:$C$8,3,FALSE),0))</x:f>
      </x:c>
      <x:c r="P461" s="7">
        <x:f>IF(M461="","",M461*O461)</x:f>
      </x:c>
      <x:c r="Q461" s="7">
        <x:f>IF(M461="","",M461+P461)</x:f>
      </x:c>
      <x:c r="R461" s="7">
        <x:f>IF(K461&lt;&gt;"Paid",0,IF(C461="Income",Q461,-Q461))</x:f>
      </x:c>
      <x:c r="S461" s="14">
        <x:f>IF(A461="","",DATE(YEAR(A461),MONTH(A461),1))</x:f>
      </x:c>
      <x:c r="T461" s="14">
        <x:f>IF(L461="","",DATE(YEAR(L461),MONTH(L461),1))</x:f>
      </x:c>
    </x:row>
    <x:row r="462">
      <x:c r="A462" s="11" t="n"/>
      <x:c r="B462" s="5" t="n"/>
      <x:c r="C462" s="12" t="n"/>
      <x:c r="D462" s="12" t="n"/>
      <x:c r="E462" s="12" t="n"/>
      <x:c r="F462" s="12" t="n"/>
      <x:c r="G462" s="13">
        <x:f>IF(F462="","",IFERROR(VLOOKUP(F462,Master_Data!$E$24:$G$33,2,FALSE),"9999"))</x:f>
      </x:c>
      <x:c r="H462" s="12" t="n"/>
      <x:c r="I462" s="12" t="n"/>
      <x:c r="J462" s="12" t="n"/>
      <x:c r="K462" s="12" t="n"/>
      <x:c r="L462" s="11" t="n"/>
      <x:c r="M462" s="9" t="n"/>
      <x:c r="N462" s="12" t="n"/>
      <x:c r="O462" s="6">
        <x:f>IF(N462="","",IFERROR(VLOOKUP(N462,Master_Data!$A$5:$C$8,3,FALSE),0))</x:f>
      </x:c>
      <x:c r="P462" s="7">
        <x:f>IF(M462="","",M462*O462)</x:f>
      </x:c>
      <x:c r="Q462" s="7">
        <x:f>IF(M462="","",M462+P462)</x:f>
      </x:c>
      <x:c r="R462" s="7">
        <x:f>IF(K462&lt;&gt;"Paid",0,IF(C462="Income",Q462,-Q462))</x:f>
      </x:c>
      <x:c r="S462" s="14">
        <x:f>IF(A462="","",DATE(YEAR(A462),MONTH(A462),1))</x:f>
      </x:c>
      <x:c r="T462" s="14">
        <x:f>IF(L462="","",DATE(YEAR(L462),MONTH(L462),1))</x:f>
      </x:c>
    </x:row>
    <x:row r="463">
      <x:c r="A463" s="11" t="n"/>
      <x:c r="B463" s="5" t="n"/>
      <x:c r="C463" s="12" t="n"/>
      <x:c r="D463" s="12" t="n"/>
      <x:c r="E463" s="12" t="n"/>
      <x:c r="F463" s="12" t="n"/>
      <x:c r="G463" s="13">
        <x:f>IF(F463="","",IFERROR(VLOOKUP(F463,Master_Data!$E$24:$G$33,2,FALSE),"9999"))</x:f>
      </x:c>
      <x:c r="H463" s="12" t="n"/>
      <x:c r="I463" s="12" t="n"/>
      <x:c r="J463" s="12" t="n"/>
      <x:c r="K463" s="12" t="n"/>
      <x:c r="L463" s="11" t="n"/>
      <x:c r="M463" s="9" t="n"/>
      <x:c r="N463" s="12" t="n"/>
      <x:c r="O463" s="6">
        <x:f>IF(N463="","",IFERROR(VLOOKUP(N463,Master_Data!$A$5:$C$8,3,FALSE),0))</x:f>
      </x:c>
      <x:c r="P463" s="7">
        <x:f>IF(M463="","",M463*O463)</x:f>
      </x:c>
      <x:c r="Q463" s="7">
        <x:f>IF(M463="","",M463+P463)</x:f>
      </x:c>
      <x:c r="R463" s="7">
        <x:f>IF(K463&lt;&gt;"Paid",0,IF(C463="Income",Q463,-Q463))</x:f>
      </x:c>
      <x:c r="S463" s="14">
        <x:f>IF(A463="","",DATE(YEAR(A463),MONTH(A463),1))</x:f>
      </x:c>
      <x:c r="T463" s="14">
        <x:f>IF(L463="","",DATE(YEAR(L463),MONTH(L463),1))</x:f>
      </x:c>
    </x:row>
    <x:row r="464">
      <x:c r="A464" s="11" t="n"/>
      <x:c r="B464" s="5" t="n"/>
      <x:c r="C464" s="12" t="n"/>
      <x:c r="D464" s="12" t="n"/>
      <x:c r="E464" s="12" t="n"/>
      <x:c r="F464" s="12" t="n"/>
      <x:c r="G464" s="13">
        <x:f>IF(F464="","",IFERROR(VLOOKUP(F464,Master_Data!$E$24:$G$33,2,FALSE),"9999"))</x:f>
      </x:c>
      <x:c r="H464" s="12" t="n"/>
      <x:c r="I464" s="12" t="n"/>
      <x:c r="J464" s="12" t="n"/>
      <x:c r="K464" s="12" t="n"/>
      <x:c r="L464" s="11" t="n"/>
      <x:c r="M464" s="9" t="n"/>
      <x:c r="N464" s="12" t="n"/>
      <x:c r="O464" s="6">
        <x:f>IF(N464="","",IFERROR(VLOOKUP(N464,Master_Data!$A$5:$C$8,3,FALSE),0))</x:f>
      </x:c>
      <x:c r="P464" s="7">
        <x:f>IF(M464="","",M464*O464)</x:f>
      </x:c>
      <x:c r="Q464" s="7">
        <x:f>IF(M464="","",M464+P464)</x:f>
      </x:c>
      <x:c r="R464" s="7">
        <x:f>IF(K464&lt;&gt;"Paid",0,IF(C464="Income",Q464,-Q464))</x:f>
      </x:c>
      <x:c r="S464" s="14">
        <x:f>IF(A464="","",DATE(YEAR(A464),MONTH(A464),1))</x:f>
      </x:c>
      <x:c r="T464" s="14">
        <x:f>IF(L464="","",DATE(YEAR(L464),MONTH(L464),1))</x:f>
      </x:c>
    </x:row>
    <x:row r="465">
      <x:c r="A465" s="11" t="n"/>
      <x:c r="B465" s="5" t="n"/>
      <x:c r="C465" s="12" t="n"/>
      <x:c r="D465" s="12" t="n"/>
      <x:c r="E465" s="12" t="n"/>
      <x:c r="F465" s="12" t="n"/>
      <x:c r="G465" s="13">
        <x:f>IF(F465="","",IFERROR(VLOOKUP(F465,Master_Data!$E$24:$G$33,2,FALSE),"9999"))</x:f>
      </x:c>
      <x:c r="H465" s="12" t="n"/>
      <x:c r="I465" s="12" t="n"/>
      <x:c r="J465" s="12" t="n"/>
      <x:c r="K465" s="12" t="n"/>
      <x:c r="L465" s="11" t="n"/>
      <x:c r="M465" s="9" t="n"/>
      <x:c r="N465" s="12" t="n"/>
      <x:c r="O465" s="6">
        <x:f>IF(N465="","",IFERROR(VLOOKUP(N465,Master_Data!$A$5:$C$8,3,FALSE),0))</x:f>
      </x:c>
      <x:c r="P465" s="7">
        <x:f>IF(M465="","",M465*O465)</x:f>
      </x:c>
      <x:c r="Q465" s="7">
        <x:f>IF(M465="","",M465+P465)</x:f>
      </x:c>
      <x:c r="R465" s="7">
        <x:f>IF(K465&lt;&gt;"Paid",0,IF(C465="Income",Q465,-Q465))</x:f>
      </x:c>
      <x:c r="S465" s="14">
        <x:f>IF(A465="","",DATE(YEAR(A465),MONTH(A465),1))</x:f>
      </x:c>
      <x:c r="T465" s="14">
        <x:f>IF(L465="","",DATE(YEAR(L465),MONTH(L465),1))</x:f>
      </x:c>
    </x:row>
    <x:row r="466">
      <x:c r="A466" s="11" t="n"/>
      <x:c r="B466" s="5" t="n"/>
      <x:c r="C466" s="12" t="n"/>
      <x:c r="D466" s="12" t="n"/>
      <x:c r="E466" s="12" t="n"/>
      <x:c r="F466" s="12" t="n"/>
      <x:c r="G466" s="13">
        <x:f>IF(F466="","",IFERROR(VLOOKUP(F466,Master_Data!$E$24:$G$33,2,FALSE),"9999"))</x:f>
      </x:c>
      <x:c r="H466" s="12" t="n"/>
      <x:c r="I466" s="12" t="n"/>
      <x:c r="J466" s="12" t="n"/>
      <x:c r="K466" s="12" t="n"/>
      <x:c r="L466" s="11" t="n"/>
      <x:c r="M466" s="9" t="n"/>
      <x:c r="N466" s="12" t="n"/>
      <x:c r="O466" s="6">
        <x:f>IF(N466="","",IFERROR(VLOOKUP(N466,Master_Data!$A$5:$C$8,3,FALSE),0))</x:f>
      </x:c>
      <x:c r="P466" s="7">
        <x:f>IF(M466="","",M466*O466)</x:f>
      </x:c>
      <x:c r="Q466" s="7">
        <x:f>IF(M466="","",M466+P466)</x:f>
      </x:c>
      <x:c r="R466" s="7">
        <x:f>IF(K466&lt;&gt;"Paid",0,IF(C466="Income",Q466,-Q466))</x:f>
      </x:c>
      <x:c r="S466" s="14">
        <x:f>IF(A466="","",DATE(YEAR(A466),MONTH(A466),1))</x:f>
      </x:c>
      <x:c r="T466" s="14">
        <x:f>IF(L466="","",DATE(YEAR(L466),MONTH(L466),1))</x:f>
      </x:c>
    </x:row>
    <x:row r="467">
      <x:c r="A467" s="11" t="n"/>
      <x:c r="B467" s="5" t="n"/>
      <x:c r="C467" s="12" t="n"/>
      <x:c r="D467" s="12" t="n"/>
      <x:c r="E467" s="12" t="n"/>
      <x:c r="F467" s="12" t="n"/>
      <x:c r="G467" s="13">
        <x:f>IF(F467="","",IFERROR(VLOOKUP(F467,Master_Data!$E$24:$G$33,2,FALSE),"9999"))</x:f>
      </x:c>
      <x:c r="H467" s="12" t="n"/>
      <x:c r="I467" s="12" t="n"/>
      <x:c r="J467" s="12" t="n"/>
      <x:c r="K467" s="12" t="n"/>
      <x:c r="L467" s="11" t="n"/>
      <x:c r="M467" s="9" t="n"/>
      <x:c r="N467" s="12" t="n"/>
      <x:c r="O467" s="6">
        <x:f>IF(N467="","",IFERROR(VLOOKUP(N467,Master_Data!$A$5:$C$8,3,FALSE),0))</x:f>
      </x:c>
      <x:c r="P467" s="7">
        <x:f>IF(M467="","",M467*O467)</x:f>
      </x:c>
      <x:c r="Q467" s="7">
        <x:f>IF(M467="","",M467+P467)</x:f>
      </x:c>
      <x:c r="R467" s="7">
        <x:f>IF(K467&lt;&gt;"Paid",0,IF(C467="Income",Q467,-Q467))</x:f>
      </x:c>
      <x:c r="S467" s="14">
        <x:f>IF(A467="","",DATE(YEAR(A467),MONTH(A467),1))</x:f>
      </x:c>
      <x:c r="T467" s="14">
        <x:f>IF(L467="","",DATE(YEAR(L467),MONTH(L467),1))</x:f>
      </x:c>
    </x:row>
    <x:row r="468">
      <x:c r="A468" s="11" t="n"/>
      <x:c r="B468" s="5" t="n"/>
      <x:c r="C468" s="12" t="n"/>
      <x:c r="D468" s="12" t="n"/>
      <x:c r="E468" s="12" t="n"/>
      <x:c r="F468" s="12" t="n"/>
      <x:c r="G468" s="13">
        <x:f>IF(F468="","",IFERROR(VLOOKUP(F468,Master_Data!$E$24:$G$33,2,FALSE),"9999"))</x:f>
      </x:c>
      <x:c r="H468" s="12" t="n"/>
      <x:c r="I468" s="12" t="n"/>
      <x:c r="J468" s="12" t="n"/>
      <x:c r="K468" s="12" t="n"/>
      <x:c r="L468" s="11" t="n"/>
      <x:c r="M468" s="9" t="n"/>
      <x:c r="N468" s="12" t="n"/>
      <x:c r="O468" s="6">
        <x:f>IF(N468="","",IFERROR(VLOOKUP(N468,Master_Data!$A$5:$C$8,3,FALSE),0))</x:f>
      </x:c>
      <x:c r="P468" s="7">
        <x:f>IF(M468="","",M468*O468)</x:f>
      </x:c>
      <x:c r="Q468" s="7">
        <x:f>IF(M468="","",M468+P468)</x:f>
      </x:c>
      <x:c r="R468" s="7">
        <x:f>IF(K468&lt;&gt;"Paid",0,IF(C468="Income",Q468,-Q468))</x:f>
      </x:c>
      <x:c r="S468" s="14">
        <x:f>IF(A468="","",DATE(YEAR(A468),MONTH(A468),1))</x:f>
      </x:c>
      <x:c r="T468" s="14">
        <x:f>IF(L468="","",DATE(YEAR(L468),MONTH(L468),1))</x:f>
      </x:c>
    </x:row>
    <x:row r="469">
      <x:c r="A469" s="11" t="n"/>
      <x:c r="B469" s="5" t="n"/>
      <x:c r="C469" s="12" t="n"/>
      <x:c r="D469" s="12" t="n"/>
      <x:c r="E469" s="12" t="n"/>
      <x:c r="F469" s="12" t="n"/>
      <x:c r="G469" s="13">
        <x:f>IF(F469="","",IFERROR(VLOOKUP(F469,Master_Data!$E$24:$G$33,2,FALSE),"9999"))</x:f>
      </x:c>
      <x:c r="H469" s="12" t="n"/>
      <x:c r="I469" s="12" t="n"/>
      <x:c r="J469" s="12" t="n"/>
      <x:c r="K469" s="12" t="n"/>
      <x:c r="L469" s="11" t="n"/>
      <x:c r="M469" s="9" t="n"/>
      <x:c r="N469" s="12" t="n"/>
      <x:c r="O469" s="6">
        <x:f>IF(N469="","",IFERROR(VLOOKUP(N469,Master_Data!$A$5:$C$8,3,FALSE),0))</x:f>
      </x:c>
      <x:c r="P469" s="7">
        <x:f>IF(M469="","",M469*O469)</x:f>
      </x:c>
      <x:c r="Q469" s="7">
        <x:f>IF(M469="","",M469+P469)</x:f>
      </x:c>
      <x:c r="R469" s="7">
        <x:f>IF(K469&lt;&gt;"Paid",0,IF(C469="Income",Q469,-Q469))</x:f>
      </x:c>
      <x:c r="S469" s="14">
        <x:f>IF(A469="","",DATE(YEAR(A469),MONTH(A469),1))</x:f>
      </x:c>
      <x:c r="T469" s="14">
        <x:f>IF(L469="","",DATE(YEAR(L469),MONTH(L469),1))</x:f>
      </x:c>
    </x:row>
    <x:row r="470">
      <x:c r="A470" s="11" t="n"/>
      <x:c r="B470" s="5" t="n"/>
      <x:c r="C470" s="12" t="n"/>
      <x:c r="D470" s="12" t="n"/>
      <x:c r="E470" s="12" t="n"/>
      <x:c r="F470" s="12" t="n"/>
      <x:c r="G470" s="13">
        <x:f>IF(F470="","",IFERROR(VLOOKUP(F470,Master_Data!$E$24:$G$33,2,FALSE),"9999"))</x:f>
      </x:c>
      <x:c r="H470" s="12" t="n"/>
      <x:c r="I470" s="12" t="n"/>
      <x:c r="J470" s="12" t="n"/>
      <x:c r="K470" s="12" t="n"/>
      <x:c r="L470" s="11" t="n"/>
      <x:c r="M470" s="9" t="n"/>
      <x:c r="N470" s="12" t="n"/>
      <x:c r="O470" s="6">
        <x:f>IF(N470="","",IFERROR(VLOOKUP(N470,Master_Data!$A$5:$C$8,3,FALSE),0))</x:f>
      </x:c>
      <x:c r="P470" s="7">
        <x:f>IF(M470="","",M470*O470)</x:f>
      </x:c>
      <x:c r="Q470" s="7">
        <x:f>IF(M470="","",M470+P470)</x:f>
      </x:c>
      <x:c r="R470" s="7">
        <x:f>IF(K470&lt;&gt;"Paid",0,IF(C470="Income",Q470,-Q470))</x:f>
      </x:c>
      <x:c r="S470" s="14">
        <x:f>IF(A470="","",DATE(YEAR(A470),MONTH(A470),1))</x:f>
      </x:c>
      <x:c r="T470" s="14">
        <x:f>IF(L470="","",DATE(YEAR(L470),MONTH(L470),1))</x:f>
      </x:c>
    </x:row>
    <x:row r="471">
      <x:c r="A471" s="11" t="n"/>
      <x:c r="B471" s="5" t="n"/>
      <x:c r="C471" s="12" t="n"/>
      <x:c r="D471" s="12" t="n"/>
      <x:c r="E471" s="12" t="n"/>
      <x:c r="F471" s="12" t="n"/>
      <x:c r="G471" s="13">
        <x:f>IF(F471="","",IFERROR(VLOOKUP(F471,Master_Data!$E$24:$G$33,2,FALSE),"9999"))</x:f>
      </x:c>
      <x:c r="H471" s="12" t="n"/>
      <x:c r="I471" s="12" t="n"/>
      <x:c r="J471" s="12" t="n"/>
      <x:c r="K471" s="12" t="n"/>
      <x:c r="L471" s="11" t="n"/>
      <x:c r="M471" s="9" t="n"/>
      <x:c r="N471" s="12" t="n"/>
      <x:c r="O471" s="6">
        <x:f>IF(N471="","",IFERROR(VLOOKUP(N471,Master_Data!$A$5:$C$8,3,FALSE),0))</x:f>
      </x:c>
      <x:c r="P471" s="7">
        <x:f>IF(M471="","",M471*O471)</x:f>
      </x:c>
      <x:c r="Q471" s="7">
        <x:f>IF(M471="","",M471+P471)</x:f>
      </x:c>
      <x:c r="R471" s="7">
        <x:f>IF(K471&lt;&gt;"Paid",0,IF(C471="Income",Q471,-Q471))</x:f>
      </x:c>
      <x:c r="S471" s="14">
        <x:f>IF(A471="","",DATE(YEAR(A471),MONTH(A471),1))</x:f>
      </x:c>
      <x:c r="T471" s="14">
        <x:f>IF(L471="","",DATE(YEAR(L471),MONTH(L471),1))</x:f>
      </x:c>
    </x:row>
    <x:row r="472">
      <x:c r="A472" s="11" t="n"/>
      <x:c r="B472" s="5" t="n"/>
      <x:c r="C472" s="12" t="n"/>
      <x:c r="D472" s="12" t="n"/>
      <x:c r="E472" s="12" t="n"/>
      <x:c r="F472" s="12" t="n"/>
      <x:c r="G472" s="13">
        <x:f>IF(F472="","",IFERROR(VLOOKUP(F472,Master_Data!$E$24:$G$33,2,FALSE),"9999"))</x:f>
      </x:c>
      <x:c r="H472" s="12" t="n"/>
      <x:c r="I472" s="12" t="n"/>
      <x:c r="J472" s="12" t="n"/>
      <x:c r="K472" s="12" t="n"/>
      <x:c r="L472" s="11" t="n"/>
      <x:c r="M472" s="9" t="n"/>
      <x:c r="N472" s="12" t="n"/>
      <x:c r="O472" s="6">
        <x:f>IF(N472="","",IFERROR(VLOOKUP(N472,Master_Data!$A$5:$C$8,3,FALSE),0))</x:f>
      </x:c>
      <x:c r="P472" s="7">
        <x:f>IF(M472="","",M472*O472)</x:f>
      </x:c>
      <x:c r="Q472" s="7">
        <x:f>IF(M472="","",M472+P472)</x:f>
      </x:c>
      <x:c r="R472" s="7">
        <x:f>IF(K472&lt;&gt;"Paid",0,IF(C472="Income",Q472,-Q472))</x:f>
      </x:c>
      <x:c r="S472" s="14">
        <x:f>IF(A472="","",DATE(YEAR(A472),MONTH(A472),1))</x:f>
      </x:c>
      <x:c r="T472" s="14">
        <x:f>IF(L472="","",DATE(YEAR(L472),MONTH(L472),1))</x:f>
      </x:c>
    </x:row>
    <x:row r="473">
      <x:c r="A473" s="11" t="n"/>
      <x:c r="B473" s="5" t="n"/>
      <x:c r="C473" s="12" t="n"/>
      <x:c r="D473" s="12" t="n"/>
      <x:c r="E473" s="12" t="n"/>
      <x:c r="F473" s="12" t="n"/>
      <x:c r="G473" s="13">
        <x:f>IF(F473="","",IFERROR(VLOOKUP(F473,Master_Data!$E$24:$G$33,2,FALSE),"9999"))</x:f>
      </x:c>
      <x:c r="H473" s="12" t="n"/>
      <x:c r="I473" s="12" t="n"/>
      <x:c r="J473" s="12" t="n"/>
      <x:c r="K473" s="12" t="n"/>
      <x:c r="L473" s="11" t="n"/>
      <x:c r="M473" s="9" t="n"/>
      <x:c r="N473" s="12" t="n"/>
      <x:c r="O473" s="6">
        <x:f>IF(N473="","",IFERROR(VLOOKUP(N473,Master_Data!$A$5:$C$8,3,FALSE),0))</x:f>
      </x:c>
      <x:c r="P473" s="7">
        <x:f>IF(M473="","",M473*O473)</x:f>
      </x:c>
      <x:c r="Q473" s="7">
        <x:f>IF(M473="","",M473+P473)</x:f>
      </x:c>
      <x:c r="R473" s="7">
        <x:f>IF(K473&lt;&gt;"Paid",0,IF(C473="Income",Q473,-Q473))</x:f>
      </x:c>
      <x:c r="S473" s="14">
        <x:f>IF(A473="","",DATE(YEAR(A473),MONTH(A473),1))</x:f>
      </x:c>
      <x:c r="T473" s="14">
        <x:f>IF(L473="","",DATE(YEAR(L473),MONTH(L473),1))</x:f>
      </x:c>
    </x:row>
    <x:row r="474">
      <x:c r="A474" s="11" t="n"/>
      <x:c r="B474" s="5" t="n"/>
      <x:c r="C474" s="12" t="n"/>
      <x:c r="D474" s="12" t="n"/>
      <x:c r="E474" s="12" t="n"/>
      <x:c r="F474" s="12" t="n"/>
      <x:c r="G474" s="13">
        <x:f>IF(F474="","",IFERROR(VLOOKUP(F474,Master_Data!$E$24:$G$33,2,FALSE),"9999"))</x:f>
      </x:c>
      <x:c r="H474" s="12" t="n"/>
      <x:c r="I474" s="12" t="n"/>
      <x:c r="J474" s="12" t="n"/>
      <x:c r="K474" s="12" t="n"/>
      <x:c r="L474" s="11" t="n"/>
      <x:c r="M474" s="9" t="n"/>
      <x:c r="N474" s="12" t="n"/>
      <x:c r="O474" s="6">
        <x:f>IF(N474="","",IFERROR(VLOOKUP(N474,Master_Data!$A$5:$C$8,3,FALSE),0))</x:f>
      </x:c>
      <x:c r="P474" s="7">
        <x:f>IF(M474="","",M474*O474)</x:f>
      </x:c>
      <x:c r="Q474" s="7">
        <x:f>IF(M474="","",M474+P474)</x:f>
      </x:c>
      <x:c r="R474" s="7">
        <x:f>IF(K474&lt;&gt;"Paid",0,IF(C474="Income",Q474,-Q474))</x:f>
      </x:c>
      <x:c r="S474" s="14">
        <x:f>IF(A474="","",DATE(YEAR(A474),MONTH(A474),1))</x:f>
      </x:c>
      <x:c r="T474" s="14">
        <x:f>IF(L474="","",DATE(YEAR(L474),MONTH(L474),1))</x:f>
      </x:c>
    </x:row>
    <x:row r="475">
      <x:c r="A475" s="11" t="n"/>
      <x:c r="B475" s="5" t="n"/>
      <x:c r="C475" s="12" t="n"/>
      <x:c r="D475" s="12" t="n"/>
      <x:c r="E475" s="12" t="n"/>
      <x:c r="F475" s="12" t="n"/>
      <x:c r="G475" s="13">
        <x:f>IF(F475="","",IFERROR(VLOOKUP(F475,Master_Data!$E$24:$G$33,2,FALSE),"9999"))</x:f>
      </x:c>
      <x:c r="H475" s="12" t="n"/>
      <x:c r="I475" s="12" t="n"/>
      <x:c r="J475" s="12" t="n"/>
      <x:c r="K475" s="12" t="n"/>
      <x:c r="L475" s="11" t="n"/>
      <x:c r="M475" s="9" t="n"/>
      <x:c r="N475" s="12" t="n"/>
      <x:c r="O475" s="6">
        <x:f>IF(N475="","",IFERROR(VLOOKUP(N475,Master_Data!$A$5:$C$8,3,FALSE),0))</x:f>
      </x:c>
      <x:c r="P475" s="7">
        <x:f>IF(M475="","",M475*O475)</x:f>
      </x:c>
      <x:c r="Q475" s="7">
        <x:f>IF(M475="","",M475+P475)</x:f>
      </x:c>
      <x:c r="R475" s="7">
        <x:f>IF(K475&lt;&gt;"Paid",0,IF(C475="Income",Q475,-Q475))</x:f>
      </x:c>
      <x:c r="S475" s="14">
        <x:f>IF(A475="","",DATE(YEAR(A475),MONTH(A475),1))</x:f>
      </x:c>
      <x:c r="T475" s="14">
        <x:f>IF(L475="","",DATE(YEAR(L475),MONTH(L475),1))</x:f>
      </x:c>
    </x:row>
    <x:row r="476">
      <x:c r="A476" s="11" t="n"/>
      <x:c r="B476" s="5" t="n"/>
      <x:c r="C476" s="12" t="n"/>
      <x:c r="D476" s="12" t="n"/>
      <x:c r="E476" s="12" t="n"/>
      <x:c r="F476" s="12" t="n"/>
      <x:c r="G476" s="13">
        <x:f>IF(F476="","",IFERROR(VLOOKUP(F476,Master_Data!$E$24:$G$33,2,FALSE),"9999"))</x:f>
      </x:c>
      <x:c r="H476" s="12" t="n"/>
      <x:c r="I476" s="12" t="n"/>
      <x:c r="J476" s="12" t="n"/>
      <x:c r="K476" s="12" t="n"/>
      <x:c r="L476" s="11" t="n"/>
      <x:c r="M476" s="9" t="n"/>
      <x:c r="N476" s="12" t="n"/>
      <x:c r="O476" s="6">
        <x:f>IF(N476="","",IFERROR(VLOOKUP(N476,Master_Data!$A$5:$C$8,3,FALSE),0))</x:f>
      </x:c>
      <x:c r="P476" s="7">
        <x:f>IF(M476="","",M476*O476)</x:f>
      </x:c>
      <x:c r="Q476" s="7">
        <x:f>IF(M476="","",M476+P476)</x:f>
      </x:c>
      <x:c r="R476" s="7">
        <x:f>IF(K476&lt;&gt;"Paid",0,IF(C476="Income",Q476,-Q476))</x:f>
      </x:c>
      <x:c r="S476" s="14">
        <x:f>IF(A476="","",DATE(YEAR(A476),MONTH(A476),1))</x:f>
      </x:c>
      <x:c r="T476" s="14">
        <x:f>IF(L476="","",DATE(YEAR(L476),MONTH(L476),1))</x:f>
      </x:c>
    </x:row>
    <x:row r="477">
      <x:c r="A477" s="11" t="n"/>
      <x:c r="B477" s="5" t="n"/>
      <x:c r="C477" s="12" t="n"/>
      <x:c r="D477" s="12" t="n"/>
      <x:c r="E477" s="12" t="n"/>
      <x:c r="F477" s="12" t="n"/>
      <x:c r="G477" s="13">
        <x:f>IF(F477="","",IFERROR(VLOOKUP(F477,Master_Data!$E$24:$G$33,2,FALSE),"9999"))</x:f>
      </x:c>
      <x:c r="H477" s="12" t="n"/>
      <x:c r="I477" s="12" t="n"/>
      <x:c r="J477" s="12" t="n"/>
      <x:c r="K477" s="12" t="n"/>
      <x:c r="L477" s="11" t="n"/>
      <x:c r="M477" s="9" t="n"/>
      <x:c r="N477" s="12" t="n"/>
      <x:c r="O477" s="6">
        <x:f>IF(N477="","",IFERROR(VLOOKUP(N477,Master_Data!$A$5:$C$8,3,FALSE),0))</x:f>
      </x:c>
      <x:c r="P477" s="7">
        <x:f>IF(M477="","",M477*O477)</x:f>
      </x:c>
      <x:c r="Q477" s="7">
        <x:f>IF(M477="","",M477+P477)</x:f>
      </x:c>
      <x:c r="R477" s="7">
        <x:f>IF(K477&lt;&gt;"Paid",0,IF(C477="Income",Q477,-Q477))</x:f>
      </x:c>
      <x:c r="S477" s="14">
        <x:f>IF(A477="","",DATE(YEAR(A477),MONTH(A477),1))</x:f>
      </x:c>
      <x:c r="T477" s="14">
        <x:f>IF(L477="","",DATE(YEAR(L477),MONTH(L477),1))</x:f>
      </x:c>
    </x:row>
    <x:row r="478">
      <x:c r="A478" s="11" t="n"/>
      <x:c r="B478" s="5" t="n"/>
      <x:c r="C478" s="12" t="n"/>
      <x:c r="D478" s="12" t="n"/>
      <x:c r="E478" s="12" t="n"/>
      <x:c r="F478" s="12" t="n"/>
      <x:c r="G478" s="13">
        <x:f>IF(F478="","",IFERROR(VLOOKUP(F478,Master_Data!$E$24:$G$33,2,FALSE),"9999"))</x:f>
      </x:c>
      <x:c r="H478" s="12" t="n"/>
      <x:c r="I478" s="12" t="n"/>
      <x:c r="J478" s="12" t="n"/>
      <x:c r="K478" s="12" t="n"/>
      <x:c r="L478" s="11" t="n"/>
      <x:c r="M478" s="9" t="n"/>
      <x:c r="N478" s="12" t="n"/>
      <x:c r="O478" s="6">
        <x:f>IF(N478="","",IFERROR(VLOOKUP(N478,Master_Data!$A$5:$C$8,3,FALSE),0))</x:f>
      </x:c>
      <x:c r="P478" s="7">
        <x:f>IF(M478="","",M478*O478)</x:f>
      </x:c>
      <x:c r="Q478" s="7">
        <x:f>IF(M478="","",M478+P478)</x:f>
      </x:c>
      <x:c r="R478" s="7">
        <x:f>IF(K478&lt;&gt;"Paid",0,IF(C478="Income",Q478,-Q478))</x:f>
      </x:c>
      <x:c r="S478" s="14">
        <x:f>IF(A478="","",DATE(YEAR(A478),MONTH(A478),1))</x:f>
      </x:c>
      <x:c r="T478" s="14">
        <x:f>IF(L478="","",DATE(YEAR(L478),MONTH(L478),1))</x:f>
      </x:c>
    </x:row>
    <x:row r="479">
      <x:c r="A479" s="11" t="n"/>
      <x:c r="B479" s="5" t="n"/>
      <x:c r="C479" s="12" t="n"/>
      <x:c r="D479" s="12" t="n"/>
      <x:c r="E479" s="12" t="n"/>
      <x:c r="F479" s="12" t="n"/>
      <x:c r="G479" s="13">
        <x:f>IF(F479="","",IFERROR(VLOOKUP(F479,Master_Data!$E$24:$G$33,2,FALSE),"9999"))</x:f>
      </x:c>
      <x:c r="H479" s="12" t="n"/>
      <x:c r="I479" s="12" t="n"/>
      <x:c r="J479" s="12" t="n"/>
      <x:c r="K479" s="12" t="n"/>
      <x:c r="L479" s="11" t="n"/>
      <x:c r="M479" s="9" t="n"/>
      <x:c r="N479" s="12" t="n"/>
      <x:c r="O479" s="6">
        <x:f>IF(N479="","",IFERROR(VLOOKUP(N479,Master_Data!$A$5:$C$8,3,FALSE),0))</x:f>
      </x:c>
      <x:c r="P479" s="7">
        <x:f>IF(M479="","",M479*O479)</x:f>
      </x:c>
      <x:c r="Q479" s="7">
        <x:f>IF(M479="","",M479+P479)</x:f>
      </x:c>
      <x:c r="R479" s="7">
        <x:f>IF(K479&lt;&gt;"Paid",0,IF(C479="Income",Q479,-Q479))</x:f>
      </x:c>
      <x:c r="S479" s="14">
        <x:f>IF(A479="","",DATE(YEAR(A479),MONTH(A479),1))</x:f>
      </x:c>
      <x:c r="T479" s="14">
        <x:f>IF(L479="","",DATE(YEAR(L479),MONTH(L479),1))</x:f>
      </x:c>
    </x:row>
    <x:row r="480">
      <x:c r="A480" s="11" t="n"/>
      <x:c r="B480" s="5" t="n"/>
      <x:c r="C480" s="12" t="n"/>
      <x:c r="D480" s="12" t="n"/>
      <x:c r="E480" s="12" t="n"/>
      <x:c r="F480" s="12" t="n"/>
      <x:c r="G480" s="13">
        <x:f>IF(F480="","",IFERROR(VLOOKUP(F480,Master_Data!$E$24:$G$33,2,FALSE),"9999"))</x:f>
      </x:c>
      <x:c r="H480" s="12" t="n"/>
      <x:c r="I480" s="12" t="n"/>
      <x:c r="J480" s="12" t="n"/>
      <x:c r="K480" s="12" t="n"/>
      <x:c r="L480" s="11" t="n"/>
      <x:c r="M480" s="9" t="n"/>
      <x:c r="N480" s="12" t="n"/>
      <x:c r="O480" s="6">
        <x:f>IF(N480="","",IFERROR(VLOOKUP(N480,Master_Data!$A$5:$C$8,3,FALSE),0))</x:f>
      </x:c>
      <x:c r="P480" s="7">
        <x:f>IF(M480="","",M480*O480)</x:f>
      </x:c>
      <x:c r="Q480" s="7">
        <x:f>IF(M480="","",M480+P480)</x:f>
      </x:c>
      <x:c r="R480" s="7">
        <x:f>IF(K480&lt;&gt;"Paid",0,IF(C480="Income",Q480,-Q480))</x:f>
      </x:c>
      <x:c r="S480" s="14">
        <x:f>IF(A480="","",DATE(YEAR(A480),MONTH(A480),1))</x:f>
      </x:c>
      <x:c r="T480" s="14">
        <x:f>IF(L480="","",DATE(YEAR(L480),MONTH(L480),1))</x:f>
      </x:c>
    </x:row>
    <x:row r="481">
      <x:c r="A481" s="11" t="n"/>
      <x:c r="B481" s="5" t="n"/>
      <x:c r="C481" s="12" t="n"/>
      <x:c r="D481" s="12" t="n"/>
      <x:c r="E481" s="12" t="n"/>
      <x:c r="F481" s="12" t="n"/>
      <x:c r="G481" s="13">
        <x:f>IF(F481="","",IFERROR(VLOOKUP(F481,Master_Data!$E$24:$G$33,2,FALSE),"9999"))</x:f>
      </x:c>
      <x:c r="H481" s="12" t="n"/>
      <x:c r="I481" s="12" t="n"/>
      <x:c r="J481" s="12" t="n"/>
      <x:c r="K481" s="12" t="n"/>
      <x:c r="L481" s="11" t="n"/>
      <x:c r="M481" s="9" t="n"/>
      <x:c r="N481" s="12" t="n"/>
      <x:c r="O481" s="6">
        <x:f>IF(N481="","",IFERROR(VLOOKUP(N481,Master_Data!$A$5:$C$8,3,FALSE),0))</x:f>
      </x:c>
      <x:c r="P481" s="7">
        <x:f>IF(M481="","",M481*O481)</x:f>
      </x:c>
      <x:c r="Q481" s="7">
        <x:f>IF(M481="","",M481+P481)</x:f>
      </x:c>
      <x:c r="R481" s="7">
        <x:f>IF(K481&lt;&gt;"Paid",0,IF(C481="Income",Q481,-Q481))</x:f>
      </x:c>
      <x:c r="S481" s="14">
        <x:f>IF(A481="","",DATE(YEAR(A481),MONTH(A481),1))</x:f>
      </x:c>
      <x:c r="T481" s="14">
        <x:f>IF(L481="","",DATE(YEAR(L481),MONTH(L481),1))</x:f>
      </x:c>
    </x:row>
    <x:row r="482">
      <x:c r="A482" s="11" t="n"/>
      <x:c r="B482" s="5" t="n"/>
      <x:c r="C482" s="12" t="n"/>
      <x:c r="D482" s="12" t="n"/>
      <x:c r="E482" s="12" t="n"/>
      <x:c r="F482" s="12" t="n"/>
      <x:c r="G482" s="13">
        <x:f>IF(F482="","",IFERROR(VLOOKUP(F482,Master_Data!$E$24:$G$33,2,FALSE),"9999"))</x:f>
      </x:c>
      <x:c r="H482" s="12" t="n"/>
      <x:c r="I482" s="12" t="n"/>
      <x:c r="J482" s="12" t="n"/>
      <x:c r="K482" s="12" t="n"/>
      <x:c r="L482" s="11" t="n"/>
      <x:c r="M482" s="9" t="n"/>
      <x:c r="N482" s="12" t="n"/>
      <x:c r="O482" s="6">
        <x:f>IF(N482="","",IFERROR(VLOOKUP(N482,Master_Data!$A$5:$C$8,3,FALSE),0))</x:f>
      </x:c>
      <x:c r="P482" s="7">
        <x:f>IF(M482="","",M482*O482)</x:f>
      </x:c>
      <x:c r="Q482" s="7">
        <x:f>IF(M482="","",M482+P482)</x:f>
      </x:c>
      <x:c r="R482" s="7">
        <x:f>IF(K482&lt;&gt;"Paid",0,IF(C482="Income",Q482,-Q482))</x:f>
      </x:c>
      <x:c r="S482" s="14">
        <x:f>IF(A482="","",DATE(YEAR(A482),MONTH(A482),1))</x:f>
      </x:c>
      <x:c r="T482" s="14">
        <x:f>IF(L482="","",DATE(YEAR(L482),MONTH(L482),1))</x:f>
      </x:c>
    </x:row>
    <x:row r="483">
      <x:c r="A483" s="11" t="n"/>
      <x:c r="B483" s="5" t="n"/>
      <x:c r="C483" s="12" t="n"/>
      <x:c r="D483" s="12" t="n"/>
      <x:c r="E483" s="12" t="n"/>
      <x:c r="F483" s="12" t="n"/>
      <x:c r="G483" s="13">
        <x:f>IF(F483="","",IFERROR(VLOOKUP(F483,Master_Data!$E$24:$G$33,2,FALSE),"9999"))</x:f>
      </x:c>
      <x:c r="H483" s="12" t="n"/>
      <x:c r="I483" s="12" t="n"/>
      <x:c r="J483" s="12" t="n"/>
      <x:c r="K483" s="12" t="n"/>
      <x:c r="L483" s="11" t="n"/>
      <x:c r="M483" s="9" t="n"/>
      <x:c r="N483" s="12" t="n"/>
      <x:c r="O483" s="6">
        <x:f>IF(N483="","",IFERROR(VLOOKUP(N483,Master_Data!$A$5:$C$8,3,FALSE),0))</x:f>
      </x:c>
      <x:c r="P483" s="7">
        <x:f>IF(M483="","",M483*O483)</x:f>
      </x:c>
      <x:c r="Q483" s="7">
        <x:f>IF(M483="","",M483+P483)</x:f>
      </x:c>
      <x:c r="R483" s="7">
        <x:f>IF(K483&lt;&gt;"Paid",0,IF(C483="Income",Q483,-Q483))</x:f>
      </x:c>
      <x:c r="S483" s="14">
        <x:f>IF(A483="","",DATE(YEAR(A483),MONTH(A483),1))</x:f>
      </x:c>
      <x:c r="T483" s="14">
        <x:f>IF(L483="","",DATE(YEAR(L483),MONTH(L483),1))</x:f>
      </x:c>
    </x:row>
    <x:row r="484">
      <x:c r="A484" s="11" t="n"/>
      <x:c r="B484" s="5" t="n"/>
      <x:c r="C484" s="12" t="n"/>
      <x:c r="D484" s="12" t="n"/>
      <x:c r="E484" s="12" t="n"/>
      <x:c r="F484" s="12" t="n"/>
      <x:c r="G484" s="13">
        <x:f>IF(F484="","",IFERROR(VLOOKUP(F484,Master_Data!$E$24:$G$33,2,FALSE),"9999"))</x:f>
      </x:c>
      <x:c r="H484" s="12" t="n"/>
      <x:c r="I484" s="12" t="n"/>
      <x:c r="J484" s="12" t="n"/>
      <x:c r="K484" s="12" t="n"/>
      <x:c r="L484" s="11" t="n"/>
      <x:c r="M484" s="9" t="n"/>
      <x:c r="N484" s="12" t="n"/>
      <x:c r="O484" s="6">
        <x:f>IF(N484="","",IFERROR(VLOOKUP(N484,Master_Data!$A$5:$C$8,3,FALSE),0))</x:f>
      </x:c>
      <x:c r="P484" s="7">
        <x:f>IF(M484="","",M484*O484)</x:f>
      </x:c>
      <x:c r="Q484" s="7">
        <x:f>IF(M484="","",M484+P484)</x:f>
      </x:c>
      <x:c r="R484" s="7">
        <x:f>IF(K484&lt;&gt;"Paid",0,IF(C484="Income",Q484,-Q484))</x:f>
      </x:c>
      <x:c r="S484" s="14">
        <x:f>IF(A484="","",DATE(YEAR(A484),MONTH(A484),1))</x:f>
      </x:c>
      <x:c r="T484" s="14">
        <x:f>IF(L484="","",DATE(YEAR(L484),MONTH(L484),1))</x:f>
      </x:c>
    </x:row>
    <x:row r="485">
      <x:c r="A485" s="11" t="n"/>
      <x:c r="B485" s="5" t="n"/>
      <x:c r="C485" s="12" t="n"/>
      <x:c r="D485" s="12" t="n"/>
      <x:c r="E485" s="12" t="n"/>
      <x:c r="F485" s="12" t="n"/>
      <x:c r="G485" s="13">
        <x:f>IF(F485="","",IFERROR(VLOOKUP(F485,Master_Data!$E$24:$G$33,2,FALSE),"9999"))</x:f>
      </x:c>
      <x:c r="H485" s="12" t="n"/>
      <x:c r="I485" s="12" t="n"/>
      <x:c r="J485" s="12" t="n"/>
      <x:c r="K485" s="12" t="n"/>
      <x:c r="L485" s="11" t="n"/>
      <x:c r="M485" s="9" t="n"/>
      <x:c r="N485" s="12" t="n"/>
      <x:c r="O485" s="6">
        <x:f>IF(N485="","",IFERROR(VLOOKUP(N485,Master_Data!$A$5:$C$8,3,FALSE),0))</x:f>
      </x:c>
      <x:c r="P485" s="7">
        <x:f>IF(M485="","",M485*O485)</x:f>
      </x:c>
      <x:c r="Q485" s="7">
        <x:f>IF(M485="","",M485+P485)</x:f>
      </x:c>
      <x:c r="R485" s="7">
        <x:f>IF(K485&lt;&gt;"Paid",0,IF(C485="Income",Q485,-Q485))</x:f>
      </x:c>
      <x:c r="S485" s="14">
        <x:f>IF(A485="","",DATE(YEAR(A485),MONTH(A485),1))</x:f>
      </x:c>
      <x:c r="T485" s="14">
        <x:f>IF(L485="","",DATE(YEAR(L485),MONTH(L485),1))</x:f>
      </x:c>
    </x:row>
    <x:row r="486">
      <x:c r="A486" s="11" t="n"/>
      <x:c r="B486" s="5" t="n"/>
      <x:c r="C486" s="12" t="n"/>
      <x:c r="D486" s="12" t="n"/>
      <x:c r="E486" s="12" t="n"/>
      <x:c r="F486" s="12" t="n"/>
      <x:c r="G486" s="13">
        <x:f>IF(F486="","",IFERROR(VLOOKUP(F486,Master_Data!$E$24:$G$33,2,FALSE),"9999"))</x:f>
      </x:c>
      <x:c r="H486" s="12" t="n"/>
      <x:c r="I486" s="12" t="n"/>
      <x:c r="J486" s="12" t="n"/>
      <x:c r="K486" s="12" t="n"/>
      <x:c r="L486" s="11" t="n"/>
      <x:c r="M486" s="9" t="n"/>
      <x:c r="N486" s="12" t="n"/>
      <x:c r="O486" s="6">
        <x:f>IF(N486="","",IFERROR(VLOOKUP(N486,Master_Data!$A$5:$C$8,3,FALSE),0))</x:f>
      </x:c>
      <x:c r="P486" s="7">
        <x:f>IF(M486="","",M486*O486)</x:f>
      </x:c>
      <x:c r="Q486" s="7">
        <x:f>IF(M486="","",M486+P486)</x:f>
      </x:c>
      <x:c r="R486" s="7">
        <x:f>IF(K486&lt;&gt;"Paid",0,IF(C486="Income",Q486,-Q486))</x:f>
      </x:c>
      <x:c r="S486" s="14">
        <x:f>IF(A486="","",DATE(YEAR(A486),MONTH(A486),1))</x:f>
      </x:c>
      <x:c r="T486" s="14">
        <x:f>IF(L486="","",DATE(YEAR(L486),MONTH(L486),1))</x:f>
      </x:c>
    </x:row>
    <x:row r="487">
      <x:c r="A487" s="11" t="n"/>
      <x:c r="B487" s="5" t="n"/>
      <x:c r="C487" s="12" t="n"/>
      <x:c r="D487" s="12" t="n"/>
      <x:c r="E487" s="12" t="n"/>
      <x:c r="F487" s="12" t="n"/>
      <x:c r="G487" s="13">
        <x:f>IF(F487="","",IFERROR(VLOOKUP(F487,Master_Data!$E$24:$G$33,2,FALSE),"9999"))</x:f>
      </x:c>
      <x:c r="H487" s="12" t="n"/>
      <x:c r="I487" s="12" t="n"/>
      <x:c r="J487" s="12" t="n"/>
      <x:c r="K487" s="12" t="n"/>
      <x:c r="L487" s="11" t="n"/>
      <x:c r="M487" s="9" t="n"/>
      <x:c r="N487" s="12" t="n"/>
      <x:c r="O487" s="6">
        <x:f>IF(N487="","",IFERROR(VLOOKUP(N487,Master_Data!$A$5:$C$8,3,FALSE),0))</x:f>
      </x:c>
      <x:c r="P487" s="7">
        <x:f>IF(M487="","",M487*O487)</x:f>
      </x:c>
      <x:c r="Q487" s="7">
        <x:f>IF(M487="","",M487+P487)</x:f>
      </x:c>
      <x:c r="R487" s="7">
        <x:f>IF(K487&lt;&gt;"Paid",0,IF(C487="Income",Q487,-Q487))</x:f>
      </x:c>
      <x:c r="S487" s="14">
        <x:f>IF(A487="","",DATE(YEAR(A487),MONTH(A487),1))</x:f>
      </x:c>
      <x:c r="T487" s="14">
        <x:f>IF(L487="","",DATE(YEAR(L487),MONTH(L487),1))</x:f>
      </x:c>
    </x:row>
    <x:row r="488">
      <x:c r="A488" s="11" t="n"/>
      <x:c r="B488" s="5" t="n"/>
      <x:c r="C488" s="12" t="n"/>
      <x:c r="D488" s="12" t="n"/>
      <x:c r="E488" s="12" t="n"/>
      <x:c r="F488" s="12" t="n"/>
      <x:c r="G488" s="13">
        <x:f>IF(F488="","",IFERROR(VLOOKUP(F488,Master_Data!$E$24:$G$33,2,FALSE),"9999"))</x:f>
      </x:c>
      <x:c r="H488" s="12" t="n"/>
      <x:c r="I488" s="12" t="n"/>
      <x:c r="J488" s="12" t="n"/>
      <x:c r="K488" s="12" t="n"/>
      <x:c r="L488" s="11" t="n"/>
      <x:c r="M488" s="9" t="n"/>
      <x:c r="N488" s="12" t="n"/>
      <x:c r="O488" s="6">
        <x:f>IF(N488="","",IFERROR(VLOOKUP(N488,Master_Data!$A$5:$C$8,3,FALSE),0))</x:f>
      </x:c>
      <x:c r="P488" s="7">
        <x:f>IF(M488="","",M488*O488)</x:f>
      </x:c>
      <x:c r="Q488" s="7">
        <x:f>IF(M488="","",M488+P488)</x:f>
      </x:c>
      <x:c r="R488" s="7">
        <x:f>IF(K488&lt;&gt;"Paid",0,IF(C488="Income",Q488,-Q488))</x:f>
      </x:c>
      <x:c r="S488" s="14">
        <x:f>IF(A488="","",DATE(YEAR(A488),MONTH(A488),1))</x:f>
      </x:c>
      <x:c r="T488" s="14">
        <x:f>IF(L488="","",DATE(YEAR(L488),MONTH(L488),1))</x:f>
      </x:c>
    </x:row>
    <x:row r="489">
      <x:c r="A489" s="11" t="n"/>
      <x:c r="B489" s="5" t="n"/>
      <x:c r="C489" s="12" t="n"/>
      <x:c r="D489" s="12" t="n"/>
      <x:c r="E489" s="12" t="n"/>
      <x:c r="F489" s="12" t="n"/>
      <x:c r="G489" s="13">
        <x:f>IF(F489="","",IFERROR(VLOOKUP(F489,Master_Data!$E$24:$G$33,2,FALSE),"9999"))</x:f>
      </x:c>
      <x:c r="H489" s="12" t="n"/>
      <x:c r="I489" s="12" t="n"/>
      <x:c r="J489" s="12" t="n"/>
      <x:c r="K489" s="12" t="n"/>
      <x:c r="L489" s="11" t="n"/>
      <x:c r="M489" s="9" t="n"/>
      <x:c r="N489" s="12" t="n"/>
      <x:c r="O489" s="6">
        <x:f>IF(N489="","",IFERROR(VLOOKUP(N489,Master_Data!$A$5:$C$8,3,FALSE),0))</x:f>
      </x:c>
      <x:c r="P489" s="7">
        <x:f>IF(M489="","",M489*O489)</x:f>
      </x:c>
      <x:c r="Q489" s="7">
        <x:f>IF(M489="","",M489+P489)</x:f>
      </x:c>
      <x:c r="R489" s="7">
        <x:f>IF(K489&lt;&gt;"Paid",0,IF(C489="Income",Q489,-Q489))</x:f>
      </x:c>
      <x:c r="S489" s="14">
        <x:f>IF(A489="","",DATE(YEAR(A489),MONTH(A489),1))</x:f>
      </x:c>
      <x:c r="T489" s="14">
        <x:f>IF(L489="","",DATE(YEAR(L489),MONTH(L489),1))</x:f>
      </x:c>
    </x:row>
    <x:row r="490">
      <x:c r="A490" s="11" t="n"/>
      <x:c r="B490" s="5" t="n"/>
      <x:c r="C490" s="12" t="n"/>
      <x:c r="D490" s="12" t="n"/>
      <x:c r="E490" s="12" t="n"/>
      <x:c r="F490" s="12" t="n"/>
      <x:c r="G490" s="13">
        <x:f>IF(F490="","",IFERROR(VLOOKUP(F490,Master_Data!$E$24:$G$33,2,FALSE),"9999"))</x:f>
      </x:c>
      <x:c r="H490" s="12" t="n"/>
      <x:c r="I490" s="12" t="n"/>
      <x:c r="J490" s="12" t="n"/>
      <x:c r="K490" s="12" t="n"/>
      <x:c r="L490" s="11" t="n"/>
      <x:c r="M490" s="9" t="n"/>
      <x:c r="N490" s="12" t="n"/>
      <x:c r="O490" s="6">
        <x:f>IF(N490="","",IFERROR(VLOOKUP(N490,Master_Data!$A$5:$C$8,3,FALSE),0))</x:f>
      </x:c>
      <x:c r="P490" s="7">
        <x:f>IF(M490="","",M490*O490)</x:f>
      </x:c>
      <x:c r="Q490" s="7">
        <x:f>IF(M490="","",M490+P490)</x:f>
      </x:c>
      <x:c r="R490" s="7">
        <x:f>IF(K490&lt;&gt;"Paid",0,IF(C490="Income",Q490,-Q490))</x:f>
      </x:c>
      <x:c r="S490" s="14">
        <x:f>IF(A490="","",DATE(YEAR(A490),MONTH(A490),1))</x:f>
      </x:c>
      <x:c r="T490" s="14">
        <x:f>IF(L490="","",DATE(YEAR(L490),MONTH(L490),1))</x:f>
      </x:c>
    </x:row>
    <x:row r="491">
      <x:c r="A491" s="11" t="n"/>
      <x:c r="B491" s="5" t="n"/>
      <x:c r="C491" s="12" t="n"/>
      <x:c r="D491" s="12" t="n"/>
      <x:c r="E491" s="12" t="n"/>
      <x:c r="F491" s="12" t="n"/>
      <x:c r="G491" s="13">
        <x:f>IF(F491="","",IFERROR(VLOOKUP(F491,Master_Data!$E$24:$G$33,2,FALSE),"9999"))</x:f>
      </x:c>
      <x:c r="H491" s="12" t="n"/>
      <x:c r="I491" s="12" t="n"/>
      <x:c r="J491" s="12" t="n"/>
      <x:c r="K491" s="12" t="n"/>
      <x:c r="L491" s="11" t="n"/>
      <x:c r="M491" s="9" t="n"/>
      <x:c r="N491" s="12" t="n"/>
      <x:c r="O491" s="6">
        <x:f>IF(N491="","",IFERROR(VLOOKUP(N491,Master_Data!$A$5:$C$8,3,FALSE),0))</x:f>
      </x:c>
      <x:c r="P491" s="7">
        <x:f>IF(M491="","",M491*O491)</x:f>
      </x:c>
      <x:c r="Q491" s="7">
        <x:f>IF(M491="","",M491+P491)</x:f>
      </x:c>
      <x:c r="R491" s="7">
        <x:f>IF(K491&lt;&gt;"Paid",0,IF(C491="Income",Q491,-Q491))</x:f>
      </x:c>
      <x:c r="S491" s="14">
        <x:f>IF(A491="","",DATE(YEAR(A491),MONTH(A491),1))</x:f>
      </x:c>
      <x:c r="T491" s="14">
        <x:f>IF(L491="","",DATE(YEAR(L491),MONTH(L491),1))</x:f>
      </x:c>
    </x:row>
    <x:row r="492">
      <x:c r="A492" s="11" t="n"/>
      <x:c r="B492" s="5" t="n"/>
      <x:c r="C492" s="12" t="n"/>
      <x:c r="D492" s="12" t="n"/>
      <x:c r="E492" s="12" t="n"/>
      <x:c r="F492" s="12" t="n"/>
      <x:c r="G492" s="13">
        <x:f>IF(F492="","",IFERROR(VLOOKUP(F492,Master_Data!$E$24:$G$33,2,FALSE),"9999"))</x:f>
      </x:c>
      <x:c r="H492" s="12" t="n"/>
      <x:c r="I492" s="12" t="n"/>
      <x:c r="J492" s="12" t="n"/>
      <x:c r="K492" s="12" t="n"/>
      <x:c r="L492" s="11" t="n"/>
      <x:c r="M492" s="9" t="n"/>
      <x:c r="N492" s="12" t="n"/>
      <x:c r="O492" s="6">
        <x:f>IF(N492="","",IFERROR(VLOOKUP(N492,Master_Data!$A$5:$C$8,3,FALSE),0))</x:f>
      </x:c>
      <x:c r="P492" s="7">
        <x:f>IF(M492="","",M492*O492)</x:f>
      </x:c>
      <x:c r="Q492" s="7">
        <x:f>IF(M492="","",M492+P492)</x:f>
      </x:c>
      <x:c r="R492" s="7">
        <x:f>IF(K492&lt;&gt;"Paid",0,IF(C492="Income",Q492,-Q492))</x:f>
      </x:c>
      <x:c r="S492" s="14">
        <x:f>IF(A492="","",DATE(YEAR(A492),MONTH(A492),1))</x:f>
      </x:c>
      <x:c r="T492" s="14">
        <x:f>IF(L492="","",DATE(YEAR(L492),MONTH(L492),1))</x:f>
      </x:c>
    </x:row>
    <x:row r="493">
      <x:c r="A493" s="11" t="n"/>
      <x:c r="B493" s="5" t="n"/>
      <x:c r="C493" s="12" t="n"/>
      <x:c r="D493" s="12" t="n"/>
      <x:c r="E493" s="12" t="n"/>
      <x:c r="F493" s="12" t="n"/>
      <x:c r="G493" s="13">
        <x:f>IF(F493="","",IFERROR(VLOOKUP(F493,Master_Data!$E$24:$G$33,2,FALSE),"9999"))</x:f>
      </x:c>
      <x:c r="H493" s="12" t="n"/>
      <x:c r="I493" s="12" t="n"/>
      <x:c r="J493" s="12" t="n"/>
      <x:c r="K493" s="12" t="n"/>
      <x:c r="L493" s="11" t="n"/>
      <x:c r="M493" s="9" t="n"/>
      <x:c r="N493" s="12" t="n"/>
      <x:c r="O493" s="6">
        <x:f>IF(N493="","",IFERROR(VLOOKUP(N493,Master_Data!$A$5:$C$8,3,FALSE),0))</x:f>
      </x:c>
      <x:c r="P493" s="7">
        <x:f>IF(M493="","",M493*O493)</x:f>
      </x:c>
      <x:c r="Q493" s="7">
        <x:f>IF(M493="","",M493+P493)</x:f>
      </x:c>
      <x:c r="R493" s="7">
        <x:f>IF(K493&lt;&gt;"Paid",0,IF(C493="Income",Q493,-Q493))</x:f>
      </x:c>
      <x:c r="S493" s="14">
        <x:f>IF(A493="","",DATE(YEAR(A493),MONTH(A493),1))</x:f>
      </x:c>
      <x:c r="T493" s="14">
        <x:f>IF(L493="","",DATE(YEAR(L493),MONTH(L493),1))</x:f>
      </x:c>
    </x:row>
    <x:row r="494">
      <x:c r="A494" s="11" t="n"/>
      <x:c r="B494" s="5" t="n"/>
      <x:c r="C494" s="12" t="n"/>
      <x:c r="D494" s="12" t="n"/>
      <x:c r="E494" s="12" t="n"/>
      <x:c r="F494" s="12" t="n"/>
      <x:c r="G494" s="13">
        <x:f>IF(F494="","",IFERROR(VLOOKUP(F494,Master_Data!$E$24:$G$33,2,FALSE),"9999"))</x:f>
      </x:c>
      <x:c r="H494" s="12" t="n"/>
      <x:c r="I494" s="12" t="n"/>
      <x:c r="J494" s="12" t="n"/>
      <x:c r="K494" s="12" t="n"/>
      <x:c r="L494" s="11" t="n"/>
      <x:c r="M494" s="9" t="n"/>
      <x:c r="N494" s="12" t="n"/>
      <x:c r="O494" s="6">
        <x:f>IF(N494="","",IFERROR(VLOOKUP(N494,Master_Data!$A$5:$C$8,3,FALSE),0))</x:f>
      </x:c>
      <x:c r="P494" s="7">
        <x:f>IF(M494="","",M494*O494)</x:f>
      </x:c>
      <x:c r="Q494" s="7">
        <x:f>IF(M494="","",M494+P494)</x:f>
      </x:c>
      <x:c r="R494" s="7">
        <x:f>IF(K494&lt;&gt;"Paid",0,IF(C494="Income",Q494,-Q494))</x:f>
      </x:c>
      <x:c r="S494" s="14">
        <x:f>IF(A494="","",DATE(YEAR(A494),MONTH(A494),1))</x:f>
      </x:c>
      <x:c r="T494" s="14">
        <x:f>IF(L494="","",DATE(YEAR(L494),MONTH(L494),1))</x:f>
      </x:c>
    </x:row>
    <x:row r="495">
      <x:c r="A495" s="11" t="n"/>
      <x:c r="B495" s="5" t="n"/>
      <x:c r="C495" s="12" t="n"/>
      <x:c r="D495" s="12" t="n"/>
      <x:c r="E495" s="12" t="n"/>
      <x:c r="F495" s="12" t="n"/>
      <x:c r="G495" s="13">
        <x:f>IF(F495="","",IFERROR(VLOOKUP(F495,Master_Data!$E$24:$G$33,2,FALSE),"9999"))</x:f>
      </x:c>
      <x:c r="H495" s="12" t="n"/>
      <x:c r="I495" s="12" t="n"/>
      <x:c r="J495" s="12" t="n"/>
      <x:c r="K495" s="12" t="n"/>
      <x:c r="L495" s="11" t="n"/>
      <x:c r="M495" s="9" t="n"/>
      <x:c r="N495" s="12" t="n"/>
      <x:c r="O495" s="6">
        <x:f>IF(N495="","",IFERROR(VLOOKUP(N495,Master_Data!$A$5:$C$8,3,FALSE),0))</x:f>
      </x:c>
      <x:c r="P495" s="7">
        <x:f>IF(M495="","",M495*O495)</x:f>
      </x:c>
      <x:c r="Q495" s="7">
        <x:f>IF(M495="","",M495+P495)</x:f>
      </x:c>
      <x:c r="R495" s="7">
        <x:f>IF(K495&lt;&gt;"Paid",0,IF(C495="Income",Q495,-Q495))</x:f>
      </x:c>
      <x:c r="S495" s="14">
        <x:f>IF(A495="","",DATE(YEAR(A495),MONTH(A495),1))</x:f>
      </x:c>
      <x:c r="T495" s="14">
        <x:f>IF(L495="","",DATE(YEAR(L495),MONTH(L495),1))</x:f>
      </x:c>
    </x:row>
    <x:row r="496">
      <x:c r="A496" s="11" t="n"/>
      <x:c r="B496" s="5" t="n"/>
      <x:c r="C496" s="12" t="n"/>
      <x:c r="D496" s="12" t="n"/>
      <x:c r="E496" s="12" t="n"/>
      <x:c r="F496" s="12" t="n"/>
      <x:c r="G496" s="13">
        <x:f>IF(F496="","",IFERROR(VLOOKUP(F496,Master_Data!$E$24:$G$33,2,FALSE),"9999"))</x:f>
      </x:c>
      <x:c r="H496" s="12" t="n"/>
      <x:c r="I496" s="12" t="n"/>
      <x:c r="J496" s="12" t="n"/>
      <x:c r="K496" s="12" t="n"/>
      <x:c r="L496" s="11" t="n"/>
      <x:c r="M496" s="9" t="n"/>
      <x:c r="N496" s="12" t="n"/>
      <x:c r="O496" s="6">
        <x:f>IF(N496="","",IFERROR(VLOOKUP(N496,Master_Data!$A$5:$C$8,3,FALSE),0))</x:f>
      </x:c>
      <x:c r="P496" s="7">
        <x:f>IF(M496="","",M496*O496)</x:f>
      </x:c>
      <x:c r="Q496" s="7">
        <x:f>IF(M496="","",M496+P496)</x:f>
      </x:c>
      <x:c r="R496" s="7">
        <x:f>IF(K496&lt;&gt;"Paid",0,IF(C496="Income",Q496,-Q496))</x:f>
      </x:c>
      <x:c r="S496" s="14">
        <x:f>IF(A496="","",DATE(YEAR(A496),MONTH(A496),1))</x:f>
      </x:c>
      <x:c r="T496" s="14">
        <x:f>IF(L496="","",DATE(YEAR(L496),MONTH(L496),1))</x:f>
      </x:c>
    </x:row>
    <x:row r="497">
      <x:c r="A497" s="11" t="n"/>
      <x:c r="B497" s="5" t="n"/>
      <x:c r="C497" s="12" t="n"/>
      <x:c r="D497" s="12" t="n"/>
      <x:c r="E497" s="12" t="n"/>
      <x:c r="F497" s="12" t="n"/>
      <x:c r="G497" s="13">
        <x:f>IF(F497="","",IFERROR(VLOOKUP(F497,Master_Data!$E$24:$G$33,2,FALSE),"9999"))</x:f>
      </x:c>
      <x:c r="H497" s="12" t="n"/>
      <x:c r="I497" s="12" t="n"/>
      <x:c r="J497" s="12" t="n"/>
      <x:c r="K497" s="12" t="n"/>
      <x:c r="L497" s="11" t="n"/>
      <x:c r="M497" s="9" t="n"/>
      <x:c r="N497" s="12" t="n"/>
      <x:c r="O497" s="6">
        <x:f>IF(N497="","",IFERROR(VLOOKUP(N497,Master_Data!$A$5:$C$8,3,FALSE),0))</x:f>
      </x:c>
      <x:c r="P497" s="7">
        <x:f>IF(M497="","",M497*O497)</x:f>
      </x:c>
      <x:c r="Q497" s="7">
        <x:f>IF(M497="","",M497+P497)</x:f>
      </x:c>
      <x:c r="R497" s="7">
        <x:f>IF(K497&lt;&gt;"Paid",0,IF(C497="Income",Q497,-Q497))</x:f>
      </x:c>
      <x:c r="S497" s="14">
        <x:f>IF(A497="","",DATE(YEAR(A497),MONTH(A497),1))</x:f>
      </x:c>
      <x:c r="T497" s="14">
        <x:f>IF(L497="","",DATE(YEAR(L497),MONTH(L497),1))</x:f>
      </x:c>
    </x:row>
    <x:row r="498">
      <x:c r="A498" s="11" t="n"/>
      <x:c r="B498" s="5" t="n"/>
      <x:c r="C498" s="12" t="n"/>
      <x:c r="D498" s="12" t="n"/>
      <x:c r="E498" s="12" t="n"/>
      <x:c r="F498" s="12" t="n"/>
      <x:c r="G498" s="13">
        <x:f>IF(F498="","",IFERROR(VLOOKUP(F498,Master_Data!$E$24:$G$33,2,FALSE),"9999"))</x:f>
      </x:c>
      <x:c r="H498" s="12" t="n"/>
      <x:c r="I498" s="12" t="n"/>
      <x:c r="J498" s="12" t="n"/>
      <x:c r="K498" s="12" t="n"/>
      <x:c r="L498" s="11" t="n"/>
      <x:c r="M498" s="9" t="n"/>
      <x:c r="N498" s="12" t="n"/>
      <x:c r="O498" s="6">
        <x:f>IF(N498="","",IFERROR(VLOOKUP(N498,Master_Data!$A$5:$C$8,3,FALSE),0))</x:f>
      </x:c>
      <x:c r="P498" s="7">
        <x:f>IF(M498="","",M498*O498)</x:f>
      </x:c>
      <x:c r="Q498" s="7">
        <x:f>IF(M498="","",M498+P498)</x:f>
      </x:c>
      <x:c r="R498" s="7">
        <x:f>IF(K498&lt;&gt;"Paid",0,IF(C498="Income",Q498,-Q498))</x:f>
      </x:c>
      <x:c r="S498" s="14">
        <x:f>IF(A498="","",DATE(YEAR(A498),MONTH(A498),1))</x:f>
      </x:c>
      <x:c r="T498" s="14">
        <x:f>IF(L498="","",DATE(YEAR(L498),MONTH(L498),1))</x:f>
      </x:c>
    </x:row>
    <x:row r="499">
      <x:c r="A499" s="11" t="n"/>
      <x:c r="B499" s="5" t="n"/>
      <x:c r="C499" s="12" t="n"/>
      <x:c r="D499" s="12" t="n"/>
      <x:c r="E499" s="12" t="n"/>
      <x:c r="F499" s="12" t="n"/>
      <x:c r="G499" s="13">
        <x:f>IF(F499="","",IFERROR(VLOOKUP(F499,Master_Data!$E$24:$G$33,2,FALSE),"9999"))</x:f>
      </x:c>
      <x:c r="H499" s="12" t="n"/>
      <x:c r="I499" s="12" t="n"/>
      <x:c r="J499" s="12" t="n"/>
      <x:c r="K499" s="12" t="n"/>
      <x:c r="L499" s="11" t="n"/>
      <x:c r="M499" s="9" t="n"/>
      <x:c r="N499" s="12" t="n"/>
      <x:c r="O499" s="6">
        <x:f>IF(N499="","",IFERROR(VLOOKUP(N499,Master_Data!$A$5:$C$8,3,FALSE),0))</x:f>
      </x:c>
      <x:c r="P499" s="7">
        <x:f>IF(M499="","",M499*O499)</x:f>
      </x:c>
      <x:c r="Q499" s="7">
        <x:f>IF(M499="","",M499+P499)</x:f>
      </x:c>
      <x:c r="R499" s="7">
        <x:f>IF(K499&lt;&gt;"Paid",0,IF(C499="Income",Q499,-Q499))</x:f>
      </x:c>
      <x:c r="S499" s="14">
        <x:f>IF(A499="","",DATE(YEAR(A499),MONTH(A499),1))</x:f>
      </x:c>
      <x:c r="T499" s="14">
        <x:f>IF(L499="","",DATE(YEAR(L499),MONTH(L499),1))</x:f>
      </x:c>
    </x:row>
    <x:row r="500">
      <x:c r="A500" s="11" t="n"/>
      <x:c r="B500" s="5" t="n"/>
      <x:c r="C500" s="12" t="n"/>
      <x:c r="D500" s="12" t="n"/>
      <x:c r="E500" s="12" t="n"/>
      <x:c r="F500" s="12" t="n"/>
      <x:c r="G500" s="13">
        <x:f>IF(F500="","",IFERROR(VLOOKUP(F500,Master_Data!$E$24:$G$33,2,FALSE),"9999"))</x:f>
      </x:c>
      <x:c r="H500" s="12" t="n"/>
      <x:c r="I500" s="12" t="n"/>
      <x:c r="J500" s="12" t="n"/>
      <x:c r="K500" s="12" t="n"/>
      <x:c r="L500" s="11" t="n"/>
      <x:c r="M500" s="9" t="n"/>
      <x:c r="N500" s="12" t="n"/>
      <x:c r="O500" s="6">
        <x:f>IF(N500="","",IFERROR(VLOOKUP(N500,Master_Data!$A$5:$C$8,3,FALSE),0))</x:f>
      </x:c>
      <x:c r="P500" s="7">
        <x:f>IF(M500="","",M500*O500)</x:f>
      </x:c>
      <x:c r="Q500" s="7">
        <x:f>IF(M500="","",M500+P500)</x:f>
      </x:c>
      <x:c r="R500" s="7">
        <x:f>IF(K500&lt;&gt;"Paid",0,IF(C500="Income",Q500,-Q500))</x:f>
      </x:c>
      <x:c r="S500" s="14">
        <x:f>IF(A500="","",DATE(YEAR(A500),MONTH(A500),1))</x:f>
      </x:c>
      <x:c r="T500" s="14">
        <x:f>IF(L500="","",DATE(YEAR(L500),MONTH(L500),1))</x:f>
      </x:c>
    </x:row>
    <x:row r="501">
      <x:c r="A501" s="11" t="n"/>
      <x:c r="B501" s="5" t="n"/>
      <x:c r="C501" s="12" t="n"/>
      <x:c r="D501" s="12" t="n"/>
      <x:c r="E501" s="12" t="n"/>
      <x:c r="F501" s="12" t="n"/>
      <x:c r="G501" s="13">
        <x:f>IF(F501="","",IFERROR(VLOOKUP(F501,Master_Data!$E$24:$G$33,2,FALSE),"9999"))</x:f>
      </x:c>
      <x:c r="H501" s="12" t="n"/>
      <x:c r="I501" s="12" t="n"/>
      <x:c r="J501" s="12" t="n"/>
      <x:c r="K501" s="12" t="n"/>
      <x:c r="L501" s="11" t="n"/>
      <x:c r="M501" s="9" t="n"/>
      <x:c r="N501" s="12" t="n"/>
      <x:c r="O501" s="6">
        <x:f>IF(N501="","",IFERROR(VLOOKUP(N501,Master_Data!$A$5:$C$8,3,FALSE),0))</x:f>
      </x:c>
      <x:c r="P501" s="7">
        <x:f>IF(M501="","",M501*O501)</x:f>
      </x:c>
      <x:c r="Q501" s="7">
        <x:f>IF(M501="","",M501+P501)</x:f>
      </x:c>
      <x:c r="R501" s="7">
        <x:f>IF(K501&lt;&gt;"Paid",0,IF(C501="Income",Q501,-Q501))</x:f>
      </x:c>
      <x:c r="S501" s="14">
        <x:f>IF(A501="","",DATE(YEAR(A501),MONTH(A501),1))</x:f>
      </x:c>
      <x:c r="T501" s="14">
        <x:f>IF(L501="","",DATE(YEAR(L501),MONTH(L501),1))</x:f>
      </x:c>
    </x:row>
    <x:row r="502">
      <x:c r="A502" s="11" t="n"/>
      <x:c r="B502" s="5" t="n"/>
      <x:c r="C502" s="12" t="n"/>
      <x:c r="D502" s="12" t="n"/>
      <x:c r="E502" s="12" t="n"/>
      <x:c r="F502" s="12" t="n"/>
      <x:c r="G502" s="13">
        <x:f>IF(F502="","",IFERROR(VLOOKUP(F502,Master_Data!$E$24:$G$33,2,FALSE),"9999"))</x:f>
      </x:c>
      <x:c r="H502" s="12" t="n"/>
      <x:c r="I502" s="12" t="n"/>
      <x:c r="J502" s="12" t="n"/>
      <x:c r="K502" s="12" t="n"/>
      <x:c r="L502" s="11" t="n"/>
      <x:c r="M502" s="9" t="n"/>
      <x:c r="N502" s="12" t="n"/>
      <x:c r="O502" s="6">
        <x:f>IF(N502="","",IFERROR(VLOOKUP(N502,Master_Data!$A$5:$C$8,3,FALSE),0))</x:f>
      </x:c>
      <x:c r="P502" s="7">
        <x:f>IF(M502="","",M502*O502)</x:f>
      </x:c>
      <x:c r="Q502" s="7">
        <x:f>IF(M502="","",M502+P502)</x:f>
      </x:c>
      <x:c r="R502" s="7">
        <x:f>IF(K502&lt;&gt;"Paid",0,IF(C502="Income",Q502,-Q502))</x:f>
      </x:c>
      <x:c r="S502" s="14">
        <x:f>IF(A502="","",DATE(YEAR(A502),MONTH(A502),1))</x:f>
      </x:c>
      <x:c r="T502" s="14">
        <x:f>IF(L502="","",DATE(YEAR(L502),MONTH(L502),1))</x:f>
      </x:c>
    </x:row>
    <x:row r="503">
      <x:c r="A503" s="11" t="n"/>
      <x:c r="B503" s="5" t="n"/>
      <x:c r="C503" s="12" t="n"/>
      <x:c r="D503" s="12" t="n"/>
      <x:c r="E503" s="12" t="n"/>
      <x:c r="F503" s="12" t="n"/>
      <x:c r="G503" s="13">
        <x:f>IF(F503="","",IFERROR(VLOOKUP(F503,Master_Data!$E$24:$G$33,2,FALSE),"9999"))</x:f>
      </x:c>
      <x:c r="H503" s="12" t="n"/>
      <x:c r="I503" s="12" t="n"/>
      <x:c r="J503" s="12" t="n"/>
      <x:c r="K503" s="12" t="n"/>
      <x:c r="L503" s="11" t="n"/>
      <x:c r="M503" s="9" t="n"/>
      <x:c r="N503" s="12" t="n"/>
      <x:c r="O503" s="6">
        <x:f>IF(N503="","",IFERROR(VLOOKUP(N503,Master_Data!$A$5:$C$8,3,FALSE),0))</x:f>
      </x:c>
      <x:c r="P503" s="7">
        <x:f>IF(M503="","",M503*O503)</x:f>
      </x:c>
      <x:c r="Q503" s="7">
        <x:f>IF(M503="","",M503+P503)</x:f>
      </x:c>
      <x:c r="R503" s="7">
        <x:f>IF(K503&lt;&gt;"Paid",0,IF(C503="Income",Q503,-Q503))</x:f>
      </x:c>
      <x:c r="S503" s="14">
        <x:f>IF(A503="","",DATE(YEAR(A503),MONTH(A503),1))</x:f>
      </x:c>
      <x:c r="T503" s="14">
        <x:f>IF(L503="","",DATE(YEAR(L503),MONTH(L503),1))</x:f>
      </x:c>
    </x:row>
    <x:row r="504">
      <x:c r="A504" s="11" t="n"/>
      <x:c r="B504" s="5" t="n"/>
      <x:c r="C504" s="12" t="n"/>
      <x:c r="D504" s="12" t="n"/>
      <x:c r="E504" s="12" t="n"/>
      <x:c r="F504" s="12" t="n"/>
      <x:c r="G504" s="13">
        <x:f>IF(F504="","",IFERROR(VLOOKUP(F504,Master_Data!$E$24:$G$33,2,FALSE),"9999"))</x:f>
      </x:c>
      <x:c r="H504" s="12" t="n"/>
      <x:c r="I504" s="12" t="n"/>
      <x:c r="J504" s="12" t="n"/>
      <x:c r="K504" s="12" t="n"/>
      <x:c r="L504" s="11" t="n"/>
      <x:c r="M504" s="9" t="n"/>
      <x:c r="N504" s="12" t="n"/>
      <x:c r="O504" s="6">
        <x:f>IF(N504="","",IFERROR(VLOOKUP(N504,Master_Data!$A$5:$C$8,3,FALSE),0))</x:f>
      </x:c>
      <x:c r="P504" s="7">
        <x:f>IF(M504="","",M504*O504)</x:f>
      </x:c>
      <x:c r="Q504" s="7">
        <x:f>IF(M504="","",M504+P504)</x:f>
      </x:c>
      <x:c r="R504" s="7">
        <x:f>IF(K504&lt;&gt;"Paid",0,IF(C504="Income",Q504,-Q504))</x:f>
      </x:c>
      <x:c r="S504" s="14">
        <x:f>IF(A504="","",DATE(YEAR(A504),MONTH(A504),1))</x:f>
      </x:c>
      <x:c r="T504" s="14">
        <x:f>IF(L504="","",DATE(YEAR(L504),MONTH(L504),1))</x:f>
      </x:c>
    </x:row>
    <x:row r="505">
      <x:c r="A505" s="11" t="n"/>
      <x:c r="B505" s="5" t="n"/>
      <x:c r="C505" s="12" t="n"/>
      <x:c r="D505" s="12" t="n"/>
      <x:c r="E505" s="12" t="n"/>
      <x:c r="F505" s="12" t="n"/>
      <x:c r="G505" s="13">
        <x:f>IF(F505="","",IFERROR(VLOOKUP(F505,Master_Data!$E$24:$G$33,2,FALSE),"9999"))</x:f>
      </x:c>
      <x:c r="H505" s="12" t="n"/>
      <x:c r="I505" s="12" t="n"/>
      <x:c r="J505" s="12" t="n"/>
      <x:c r="K505" s="12" t="n"/>
      <x:c r="L505" s="11" t="n"/>
      <x:c r="M505" s="9" t="n"/>
      <x:c r="N505" s="12" t="n"/>
      <x:c r="O505" s="6">
        <x:f>IF(N505="","",IFERROR(VLOOKUP(N505,Master_Data!$A$5:$C$8,3,FALSE),0))</x:f>
      </x:c>
      <x:c r="P505" s="7">
        <x:f>IF(M505="","",M505*O505)</x:f>
      </x:c>
      <x:c r="Q505" s="7">
        <x:f>IF(M505="","",M505+P505)</x:f>
      </x:c>
      <x:c r="R505" s="7">
        <x:f>IF(K505&lt;&gt;"Paid",0,IF(C505="Income",Q505,-Q505))</x:f>
      </x:c>
      <x:c r="S505" s="14">
        <x:f>IF(A505="","",DATE(YEAR(A505),MONTH(A505),1))</x:f>
      </x:c>
      <x:c r="T505" s="14">
        <x:f>IF(L505="","",DATE(YEAR(L505),MONTH(L505),1))</x:f>
      </x:c>
    </x:row>
    <x:row r="506">
      <x:c r="A506" s="11" t="n"/>
      <x:c r="B506" s="5" t="n"/>
      <x:c r="C506" s="12" t="n"/>
      <x:c r="D506" s="12" t="n"/>
      <x:c r="E506" s="12" t="n"/>
      <x:c r="F506" s="12" t="n"/>
      <x:c r="G506" s="13">
        <x:f>IF(F506="","",IFERROR(VLOOKUP(F506,Master_Data!$E$24:$G$33,2,FALSE),"9999"))</x:f>
      </x:c>
      <x:c r="H506" s="12" t="n"/>
      <x:c r="I506" s="12" t="n"/>
      <x:c r="J506" s="12" t="n"/>
      <x:c r="K506" s="12" t="n"/>
      <x:c r="L506" s="11" t="n"/>
      <x:c r="M506" s="9" t="n"/>
      <x:c r="N506" s="12" t="n"/>
      <x:c r="O506" s="6">
        <x:f>IF(N506="","",IFERROR(VLOOKUP(N506,Master_Data!$A$5:$C$8,3,FALSE),0))</x:f>
      </x:c>
      <x:c r="P506" s="7">
        <x:f>IF(M506="","",M506*O506)</x:f>
      </x:c>
      <x:c r="Q506" s="7">
        <x:f>IF(M506="","",M506+P506)</x:f>
      </x:c>
      <x:c r="R506" s="7">
        <x:f>IF(K506&lt;&gt;"Paid",0,IF(C506="Income",Q506,-Q506))</x:f>
      </x:c>
      <x:c r="S506" s="14">
        <x:f>IF(A506="","",DATE(YEAR(A506),MONTH(A506),1))</x:f>
      </x:c>
      <x:c r="T506" s="14">
        <x:f>IF(L506="","",DATE(YEAR(L506),MONTH(L506),1))</x:f>
      </x:c>
    </x:row>
    <x:row r="507">
      <x:c r="A507" s="11" t="n"/>
      <x:c r="B507" s="5" t="n"/>
      <x:c r="C507" s="12" t="n"/>
      <x:c r="D507" s="12" t="n"/>
      <x:c r="E507" s="12" t="n"/>
      <x:c r="F507" s="12" t="n"/>
      <x:c r="G507" s="13">
        <x:f>IF(F507="","",IFERROR(VLOOKUP(F507,Master_Data!$E$24:$G$33,2,FALSE),"9999"))</x:f>
      </x:c>
      <x:c r="H507" s="12" t="n"/>
      <x:c r="I507" s="12" t="n"/>
      <x:c r="J507" s="12" t="n"/>
      <x:c r="K507" s="12" t="n"/>
      <x:c r="L507" s="11" t="n"/>
      <x:c r="M507" s="9" t="n"/>
      <x:c r="N507" s="12" t="n"/>
      <x:c r="O507" s="6">
        <x:f>IF(N507="","",IFERROR(VLOOKUP(N507,Master_Data!$A$5:$C$8,3,FALSE),0))</x:f>
      </x:c>
      <x:c r="P507" s="7">
        <x:f>IF(M507="","",M507*O507)</x:f>
      </x:c>
      <x:c r="Q507" s="7">
        <x:f>IF(M507="","",M507+P507)</x:f>
      </x:c>
      <x:c r="R507" s="7">
        <x:f>IF(K507&lt;&gt;"Paid",0,IF(C507="Income",Q507,-Q507))</x:f>
      </x:c>
      <x:c r="S507" s="14">
        <x:f>IF(A507="","",DATE(YEAR(A507),MONTH(A507),1))</x:f>
      </x:c>
      <x:c r="T507" s="14">
        <x:f>IF(L507="","",DATE(YEAR(L507),MONTH(L507),1))</x:f>
      </x:c>
    </x:row>
    <x:row r="508">
      <x:c r="A508" s="11" t="n"/>
      <x:c r="B508" s="5" t="n"/>
      <x:c r="C508" s="12" t="n"/>
      <x:c r="D508" s="12" t="n"/>
      <x:c r="E508" s="12" t="n"/>
      <x:c r="F508" s="12" t="n"/>
      <x:c r="G508" s="13">
        <x:f>IF(F508="","",IFERROR(VLOOKUP(F508,Master_Data!$E$24:$G$33,2,FALSE),"9999"))</x:f>
      </x:c>
      <x:c r="H508" s="12" t="n"/>
      <x:c r="I508" s="12" t="n"/>
      <x:c r="J508" s="12" t="n"/>
      <x:c r="K508" s="12" t="n"/>
      <x:c r="L508" s="11" t="n"/>
      <x:c r="M508" s="9" t="n"/>
      <x:c r="N508" s="12" t="n"/>
      <x:c r="O508" s="6">
        <x:f>IF(N508="","",IFERROR(VLOOKUP(N508,Master_Data!$A$5:$C$8,3,FALSE),0))</x:f>
      </x:c>
      <x:c r="P508" s="7">
        <x:f>IF(M508="","",M508*O508)</x:f>
      </x:c>
      <x:c r="Q508" s="7">
        <x:f>IF(M508="","",M508+P508)</x:f>
      </x:c>
      <x:c r="R508" s="7">
        <x:f>IF(K508&lt;&gt;"Paid",0,IF(C508="Income",Q508,-Q508))</x:f>
      </x:c>
      <x:c r="S508" s="14">
        <x:f>IF(A508="","",DATE(YEAR(A508),MONTH(A508),1))</x:f>
      </x:c>
      <x:c r="T508" s="14">
        <x:f>IF(L508="","",DATE(YEAR(L508),MONTH(L508),1))</x:f>
      </x:c>
    </x:row>
    <x:row r="509">
      <x:c r="A509" s="11" t="n"/>
      <x:c r="B509" s="5" t="n"/>
      <x:c r="C509" s="12" t="n"/>
      <x:c r="D509" s="12" t="n"/>
      <x:c r="E509" s="12" t="n"/>
      <x:c r="F509" s="12" t="n"/>
      <x:c r="G509" s="13">
        <x:f>IF(F509="","",IFERROR(VLOOKUP(F509,Master_Data!$E$24:$G$33,2,FALSE),"9999"))</x:f>
      </x:c>
      <x:c r="H509" s="12" t="n"/>
      <x:c r="I509" s="12" t="n"/>
      <x:c r="J509" s="12" t="n"/>
      <x:c r="K509" s="12" t="n"/>
      <x:c r="L509" s="11" t="n"/>
      <x:c r="M509" s="9" t="n"/>
      <x:c r="N509" s="12" t="n"/>
      <x:c r="O509" s="6">
        <x:f>IF(N509="","",IFERROR(VLOOKUP(N509,Master_Data!$A$5:$C$8,3,FALSE),0))</x:f>
      </x:c>
      <x:c r="P509" s="7">
        <x:f>IF(M509="","",M509*O509)</x:f>
      </x:c>
      <x:c r="Q509" s="7">
        <x:f>IF(M509="","",M509+P509)</x:f>
      </x:c>
      <x:c r="R509" s="7">
        <x:f>IF(K509&lt;&gt;"Paid",0,IF(C509="Income",Q509,-Q509))</x:f>
      </x:c>
      <x:c r="S509" s="14">
        <x:f>IF(A509="","",DATE(YEAR(A509),MONTH(A509),1))</x:f>
      </x:c>
      <x:c r="T509" s="14">
        <x:f>IF(L509="","",DATE(YEAR(L509),MONTH(L509),1))</x:f>
      </x:c>
    </x:row>
    <x:row r="510">
      <x:c r="A510" s="11" t="n"/>
      <x:c r="B510" s="5" t="n"/>
      <x:c r="C510" s="12" t="n"/>
      <x:c r="D510" s="12" t="n"/>
      <x:c r="E510" s="12" t="n"/>
      <x:c r="F510" s="12" t="n"/>
      <x:c r="G510" s="13">
        <x:f>IF(F510="","",IFERROR(VLOOKUP(F510,Master_Data!$E$24:$G$33,2,FALSE),"9999"))</x:f>
      </x:c>
      <x:c r="H510" s="12" t="n"/>
      <x:c r="I510" s="12" t="n"/>
      <x:c r="J510" s="12" t="n"/>
      <x:c r="K510" s="12" t="n"/>
      <x:c r="L510" s="11" t="n"/>
      <x:c r="M510" s="9" t="n"/>
      <x:c r="N510" s="12" t="n"/>
      <x:c r="O510" s="6">
        <x:f>IF(N510="","",IFERROR(VLOOKUP(N510,Master_Data!$A$5:$C$8,3,FALSE),0))</x:f>
      </x:c>
      <x:c r="P510" s="7">
        <x:f>IF(M510="","",M510*O510)</x:f>
      </x:c>
      <x:c r="Q510" s="7">
        <x:f>IF(M510="","",M510+P510)</x:f>
      </x:c>
      <x:c r="R510" s="7">
        <x:f>IF(K510&lt;&gt;"Paid",0,IF(C510="Income",Q510,-Q510))</x:f>
      </x:c>
      <x:c r="S510" s="14">
        <x:f>IF(A510="","",DATE(YEAR(A510),MONTH(A510),1))</x:f>
      </x:c>
      <x:c r="T510" s="14">
        <x:f>IF(L510="","",DATE(YEAR(L510),MONTH(L510),1))</x:f>
      </x:c>
    </x:row>
    <x:row r="511">
      <x:c r="A511" s="11" t="n"/>
      <x:c r="B511" s="5" t="n"/>
      <x:c r="C511" s="12" t="n"/>
      <x:c r="D511" s="12" t="n"/>
      <x:c r="E511" s="12" t="n"/>
      <x:c r="F511" s="12" t="n"/>
      <x:c r="G511" s="13">
        <x:f>IF(F511="","",IFERROR(VLOOKUP(F511,Master_Data!$E$24:$G$33,2,FALSE),"9999"))</x:f>
      </x:c>
      <x:c r="H511" s="12" t="n"/>
      <x:c r="I511" s="12" t="n"/>
      <x:c r="J511" s="12" t="n"/>
      <x:c r="K511" s="12" t="n"/>
      <x:c r="L511" s="11" t="n"/>
      <x:c r="M511" s="9" t="n"/>
      <x:c r="N511" s="12" t="n"/>
      <x:c r="O511" s="6">
        <x:f>IF(N511="","",IFERROR(VLOOKUP(N511,Master_Data!$A$5:$C$8,3,FALSE),0))</x:f>
      </x:c>
      <x:c r="P511" s="7">
        <x:f>IF(M511="","",M511*O511)</x:f>
      </x:c>
      <x:c r="Q511" s="7">
        <x:f>IF(M511="","",M511+P511)</x:f>
      </x:c>
      <x:c r="R511" s="7">
        <x:f>IF(K511&lt;&gt;"Paid",0,IF(C511="Income",Q511,-Q511))</x:f>
      </x:c>
      <x:c r="S511" s="14">
        <x:f>IF(A511="","",DATE(YEAR(A511),MONTH(A511),1))</x:f>
      </x:c>
      <x:c r="T511" s="14">
        <x:f>IF(L511="","",DATE(YEAR(L511),MONTH(L511),1))</x:f>
      </x:c>
    </x:row>
    <x:row r="512">
      <x:c r="A512" s="11" t="n"/>
      <x:c r="B512" s="5" t="n"/>
      <x:c r="C512" s="12" t="n"/>
      <x:c r="D512" s="12" t="n"/>
      <x:c r="E512" s="12" t="n"/>
      <x:c r="F512" s="12" t="n"/>
      <x:c r="G512" s="13">
        <x:f>IF(F512="","",IFERROR(VLOOKUP(F512,Master_Data!$E$24:$G$33,2,FALSE),"9999"))</x:f>
      </x:c>
      <x:c r="H512" s="12" t="n"/>
      <x:c r="I512" s="12" t="n"/>
      <x:c r="J512" s="12" t="n"/>
      <x:c r="K512" s="12" t="n"/>
      <x:c r="L512" s="11" t="n"/>
      <x:c r="M512" s="9" t="n"/>
      <x:c r="N512" s="12" t="n"/>
      <x:c r="O512" s="6">
        <x:f>IF(N512="","",IFERROR(VLOOKUP(N512,Master_Data!$A$5:$C$8,3,FALSE),0))</x:f>
      </x:c>
      <x:c r="P512" s="7">
        <x:f>IF(M512="","",M512*O512)</x:f>
      </x:c>
      <x:c r="Q512" s="7">
        <x:f>IF(M512="","",M512+P512)</x:f>
      </x:c>
      <x:c r="R512" s="7">
        <x:f>IF(K512&lt;&gt;"Paid",0,IF(C512="Income",Q512,-Q512))</x:f>
      </x:c>
      <x:c r="S512" s="14">
        <x:f>IF(A512="","",DATE(YEAR(A512),MONTH(A512),1))</x:f>
      </x:c>
      <x:c r="T512" s="14">
        <x:f>IF(L512="","",DATE(YEAR(L512),MONTH(L512),1))</x:f>
      </x:c>
    </x:row>
    <x:row r="513">
      <x:c r="A513" s="11" t="n"/>
      <x:c r="B513" s="5" t="n"/>
      <x:c r="C513" s="12" t="n"/>
      <x:c r="D513" s="12" t="n"/>
      <x:c r="E513" s="12" t="n"/>
      <x:c r="F513" s="12" t="n"/>
      <x:c r="G513" s="13">
        <x:f>IF(F513="","",IFERROR(VLOOKUP(F513,Master_Data!$E$24:$G$33,2,FALSE),"9999"))</x:f>
      </x:c>
      <x:c r="H513" s="12" t="n"/>
      <x:c r="I513" s="12" t="n"/>
      <x:c r="J513" s="12" t="n"/>
      <x:c r="K513" s="12" t="n"/>
      <x:c r="L513" s="11" t="n"/>
      <x:c r="M513" s="9" t="n"/>
      <x:c r="N513" s="12" t="n"/>
      <x:c r="O513" s="6">
        <x:f>IF(N513="","",IFERROR(VLOOKUP(N513,Master_Data!$A$5:$C$8,3,FALSE),0))</x:f>
      </x:c>
      <x:c r="P513" s="7">
        <x:f>IF(M513="","",M513*O513)</x:f>
      </x:c>
      <x:c r="Q513" s="7">
        <x:f>IF(M513="","",M513+P513)</x:f>
      </x:c>
      <x:c r="R513" s="7">
        <x:f>IF(K513&lt;&gt;"Paid",0,IF(C513="Income",Q513,-Q513))</x:f>
      </x:c>
      <x:c r="S513" s="14">
        <x:f>IF(A513="","",DATE(YEAR(A513),MONTH(A513),1))</x:f>
      </x:c>
      <x:c r="T513" s="14">
        <x:f>IF(L513="","",DATE(YEAR(L513),MONTH(L513),1))</x:f>
      </x:c>
    </x:row>
    <x:row r="514">
      <x:c r="A514" s="11" t="n"/>
      <x:c r="B514" s="5" t="n"/>
      <x:c r="C514" s="12" t="n"/>
      <x:c r="D514" s="12" t="n"/>
      <x:c r="E514" s="12" t="n"/>
      <x:c r="F514" s="12" t="n"/>
      <x:c r="G514" s="13">
        <x:f>IF(F514="","",IFERROR(VLOOKUP(F514,Master_Data!$E$24:$G$33,2,FALSE),"9999"))</x:f>
      </x:c>
      <x:c r="H514" s="12" t="n"/>
      <x:c r="I514" s="12" t="n"/>
      <x:c r="J514" s="12" t="n"/>
      <x:c r="K514" s="12" t="n"/>
      <x:c r="L514" s="11" t="n"/>
      <x:c r="M514" s="9" t="n"/>
      <x:c r="N514" s="12" t="n"/>
      <x:c r="O514" s="6">
        <x:f>IF(N514="","",IFERROR(VLOOKUP(N514,Master_Data!$A$5:$C$8,3,FALSE),0))</x:f>
      </x:c>
      <x:c r="P514" s="7">
        <x:f>IF(M514="","",M514*O514)</x:f>
      </x:c>
      <x:c r="Q514" s="7">
        <x:f>IF(M514="","",M514+P514)</x:f>
      </x:c>
      <x:c r="R514" s="7">
        <x:f>IF(K514&lt;&gt;"Paid",0,IF(C514="Income",Q514,-Q514))</x:f>
      </x:c>
      <x:c r="S514" s="14">
        <x:f>IF(A514="","",DATE(YEAR(A514),MONTH(A514),1))</x:f>
      </x:c>
      <x:c r="T514" s="14">
        <x:f>IF(L514="","",DATE(YEAR(L514),MONTH(L514),1))</x:f>
      </x:c>
    </x:row>
    <x:row r="515">
      <x:c r="A515" s="11" t="n"/>
      <x:c r="B515" s="5" t="n"/>
      <x:c r="C515" s="12" t="n"/>
      <x:c r="D515" s="12" t="n"/>
      <x:c r="E515" s="12" t="n"/>
      <x:c r="F515" s="12" t="n"/>
      <x:c r="G515" s="13">
        <x:f>IF(F515="","",IFERROR(VLOOKUP(F515,Master_Data!$E$24:$G$33,2,FALSE),"9999"))</x:f>
      </x:c>
      <x:c r="H515" s="12" t="n"/>
      <x:c r="I515" s="12" t="n"/>
      <x:c r="J515" s="12" t="n"/>
      <x:c r="K515" s="12" t="n"/>
      <x:c r="L515" s="11" t="n"/>
      <x:c r="M515" s="9" t="n"/>
      <x:c r="N515" s="12" t="n"/>
      <x:c r="O515" s="6">
        <x:f>IF(N515="","",IFERROR(VLOOKUP(N515,Master_Data!$A$5:$C$8,3,FALSE),0))</x:f>
      </x:c>
      <x:c r="P515" s="7">
        <x:f>IF(M515="","",M515*O515)</x:f>
      </x:c>
      <x:c r="Q515" s="7">
        <x:f>IF(M515="","",M515+P515)</x:f>
      </x:c>
      <x:c r="R515" s="7">
        <x:f>IF(K515&lt;&gt;"Paid",0,IF(C515="Income",Q515,-Q515))</x:f>
      </x:c>
      <x:c r="S515" s="14">
        <x:f>IF(A515="","",DATE(YEAR(A515),MONTH(A515),1))</x:f>
      </x:c>
      <x:c r="T515" s="14">
        <x:f>IF(L515="","",DATE(YEAR(L515),MONTH(L515),1))</x:f>
      </x:c>
    </x:row>
    <x:row r="516">
      <x:c r="A516" s="11" t="n"/>
      <x:c r="B516" s="5" t="n"/>
      <x:c r="C516" s="12" t="n"/>
      <x:c r="D516" s="12" t="n"/>
      <x:c r="E516" s="12" t="n"/>
      <x:c r="F516" s="12" t="n"/>
      <x:c r="G516" s="13">
        <x:f>IF(F516="","",IFERROR(VLOOKUP(F516,Master_Data!$E$24:$G$33,2,FALSE),"9999"))</x:f>
      </x:c>
      <x:c r="H516" s="12" t="n"/>
      <x:c r="I516" s="12" t="n"/>
      <x:c r="J516" s="12" t="n"/>
      <x:c r="K516" s="12" t="n"/>
      <x:c r="L516" s="11" t="n"/>
      <x:c r="M516" s="9" t="n"/>
      <x:c r="N516" s="12" t="n"/>
      <x:c r="O516" s="6">
        <x:f>IF(N516="","",IFERROR(VLOOKUP(N516,Master_Data!$A$5:$C$8,3,FALSE),0))</x:f>
      </x:c>
      <x:c r="P516" s="7">
        <x:f>IF(M516="","",M516*O516)</x:f>
      </x:c>
      <x:c r="Q516" s="7">
        <x:f>IF(M516="","",M516+P516)</x:f>
      </x:c>
      <x:c r="R516" s="7">
        <x:f>IF(K516&lt;&gt;"Paid",0,IF(C516="Income",Q516,-Q516))</x:f>
      </x:c>
      <x:c r="S516" s="14">
        <x:f>IF(A516="","",DATE(YEAR(A516),MONTH(A516),1))</x:f>
      </x:c>
      <x:c r="T516" s="14">
        <x:f>IF(L516="","",DATE(YEAR(L516),MONTH(L516),1))</x:f>
      </x:c>
    </x:row>
    <x:row r="517">
      <x:c r="A517" s="11" t="n"/>
      <x:c r="B517" s="5" t="n"/>
      <x:c r="C517" s="12" t="n"/>
      <x:c r="D517" s="12" t="n"/>
      <x:c r="E517" s="12" t="n"/>
      <x:c r="F517" s="12" t="n"/>
      <x:c r="G517" s="13">
        <x:f>IF(F517="","",IFERROR(VLOOKUP(F517,Master_Data!$E$24:$G$33,2,FALSE),"9999"))</x:f>
      </x:c>
      <x:c r="H517" s="12" t="n"/>
      <x:c r="I517" s="12" t="n"/>
      <x:c r="J517" s="12" t="n"/>
      <x:c r="K517" s="12" t="n"/>
      <x:c r="L517" s="11" t="n"/>
      <x:c r="M517" s="9" t="n"/>
      <x:c r="N517" s="12" t="n"/>
      <x:c r="O517" s="6">
        <x:f>IF(N517="","",IFERROR(VLOOKUP(N517,Master_Data!$A$5:$C$8,3,FALSE),0))</x:f>
      </x:c>
      <x:c r="P517" s="7">
        <x:f>IF(M517="","",M517*O517)</x:f>
      </x:c>
      <x:c r="Q517" s="7">
        <x:f>IF(M517="","",M517+P517)</x:f>
      </x:c>
      <x:c r="R517" s="7">
        <x:f>IF(K517&lt;&gt;"Paid",0,IF(C517="Income",Q517,-Q517))</x:f>
      </x:c>
      <x:c r="S517" s="14">
        <x:f>IF(A517="","",DATE(YEAR(A517),MONTH(A517),1))</x:f>
      </x:c>
      <x:c r="T517" s="14">
        <x:f>IF(L517="","",DATE(YEAR(L517),MONTH(L517),1))</x:f>
      </x:c>
    </x:row>
    <x:row r="518">
      <x:c r="A518" s="11" t="n"/>
      <x:c r="B518" s="5" t="n"/>
      <x:c r="C518" s="12" t="n"/>
      <x:c r="D518" s="12" t="n"/>
      <x:c r="E518" s="12" t="n"/>
      <x:c r="F518" s="12" t="n"/>
      <x:c r="G518" s="13">
        <x:f>IF(F518="","",IFERROR(VLOOKUP(F518,Master_Data!$E$24:$G$33,2,FALSE),"9999"))</x:f>
      </x:c>
      <x:c r="H518" s="12" t="n"/>
      <x:c r="I518" s="12" t="n"/>
      <x:c r="J518" s="12" t="n"/>
      <x:c r="K518" s="12" t="n"/>
      <x:c r="L518" s="11" t="n"/>
      <x:c r="M518" s="9" t="n"/>
      <x:c r="N518" s="12" t="n"/>
      <x:c r="O518" s="6">
        <x:f>IF(N518="","",IFERROR(VLOOKUP(N518,Master_Data!$A$5:$C$8,3,FALSE),0))</x:f>
      </x:c>
      <x:c r="P518" s="7">
        <x:f>IF(M518="","",M518*O518)</x:f>
      </x:c>
      <x:c r="Q518" s="7">
        <x:f>IF(M518="","",M518+P518)</x:f>
      </x:c>
      <x:c r="R518" s="7">
        <x:f>IF(K518&lt;&gt;"Paid",0,IF(C518="Income",Q518,-Q518))</x:f>
      </x:c>
      <x:c r="S518" s="14">
        <x:f>IF(A518="","",DATE(YEAR(A518),MONTH(A518),1))</x:f>
      </x:c>
      <x:c r="T518" s="14">
        <x:f>IF(L518="","",DATE(YEAR(L518),MONTH(L518),1))</x:f>
      </x:c>
    </x:row>
    <x:row r="519">
      <x:c r="A519" s="11" t="n"/>
      <x:c r="B519" s="5" t="n"/>
      <x:c r="C519" s="12" t="n"/>
      <x:c r="D519" s="12" t="n"/>
      <x:c r="E519" s="12" t="n"/>
      <x:c r="F519" s="12" t="n"/>
      <x:c r="G519" s="13">
        <x:f>IF(F519="","",IFERROR(VLOOKUP(F519,Master_Data!$E$24:$G$33,2,FALSE),"9999"))</x:f>
      </x:c>
      <x:c r="H519" s="12" t="n"/>
      <x:c r="I519" s="12" t="n"/>
      <x:c r="J519" s="12" t="n"/>
      <x:c r="K519" s="12" t="n"/>
      <x:c r="L519" s="11" t="n"/>
      <x:c r="M519" s="9" t="n"/>
      <x:c r="N519" s="12" t="n"/>
      <x:c r="O519" s="6">
        <x:f>IF(N519="","",IFERROR(VLOOKUP(N519,Master_Data!$A$5:$C$8,3,FALSE),0))</x:f>
      </x:c>
      <x:c r="P519" s="7">
        <x:f>IF(M519="","",M519*O519)</x:f>
      </x:c>
      <x:c r="Q519" s="7">
        <x:f>IF(M519="","",M519+P519)</x:f>
      </x:c>
      <x:c r="R519" s="7">
        <x:f>IF(K519&lt;&gt;"Paid",0,IF(C519="Income",Q519,-Q519))</x:f>
      </x:c>
      <x:c r="S519" s="14">
        <x:f>IF(A519="","",DATE(YEAR(A519),MONTH(A519),1))</x:f>
      </x:c>
      <x:c r="T519" s="14">
        <x:f>IF(L519="","",DATE(YEAR(L519),MONTH(L519),1))</x:f>
      </x:c>
    </x:row>
    <x:row r="520">
      <x:c r="A520" s="11" t="n"/>
      <x:c r="B520" s="5" t="n"/>
      <x:c r="C520" s="12" t="n"/>
      <x:c r="D520" s="12" t="n"/>
      <x:c r="E520" s="12" t="n"/>
      <x:c r="F520" s="12" t="n"/>
      <x:c r="G520" s="13">
        <x:f>IF(F520="","",IFERROR(VLOOKUP(F520,Master_Data!$E$24:$G$33,2,FALSE),"9999"))</x:f>
      </x:c>
      <x:c r="H520" s="12" t="n"/>
      <x:c r="I520" s="12" t="n"/>
      <x:c r="J520" s="12" t="n"/>
      <x:c r="K520" s="12" t="n"/>
      <x:c r="L520" s="11" t="n"/>
      <x:c r="M520" s="9" t="n"/>
      <x:c r="N520" s="12" t="n"/>
      <x:c r="O520" s="6">
        <x:f>IF(N520="","",IFERROR(VLOOKUP(N520,Master_Data!$A$5:$C$8,3,FALSE),0))</x:f>
      </x:c>
      <x:c r="P520" s="7">
        <x:f>IF(M520="","",M520*O520)</x:f>
      </x:c>
      <x:c r="Q520" s="7">
        <x:f>IF(M520="","",M520+P520)</x:f>
      </x:c>
      <x:c r="R520" s="7">
        <x:f>IF(K520&lt;&gt;"Paid",0,IF(C520="Income",Q520,-Q520))</x:f>
      </x:c>
      <x:c r="S520" s="14">
        <x:f>IF(A520="","",DATE(YEAR(A520),MONTH(A520),1))</x:f>
      </x:c>
      <x:c r="T520" s="14">
        <x:f>IF(L520="","",DATE(YEAR(L520),MONTH(L520),1))</x:f>
      </x:c>
    </x:row>
    <x:row r="521">
      <x:c r="A521" s="11" t="n"/>
      <x:c r="B521" s="5" t="n"/>
      <x:c r="C521" s="12" t="n"/>
      <x:c r="D521" s="12" t="n"/>
      <x:c r="E521" s="12" t="n"/>
      <x:c r="F521" s="12" t="n"/>
      <x:c r="G521" s="13">
        <x:f>IF(F521="","",IFERROR(VLOOKUP(F521,Master_Data!$E$24:$G$33,2,FALSE),"9999"))</x:f>
      </x:c>
      <x:c r="H521" s="12" t="n"/>
      <x:c r="I521" s="12" t="n"/>
      <x:c r="J521" s="12" t="n"/>
      <x:c r="K521" s="12" t="n"/>
      <x:c r="L521" s="11" t="n"/>
      <x:c r="M521" s="9" t="n"/>
      <x:c r="N521" s="12" t="n"/>
      <x:c r="O521" s="6">
        <x:f>IF(N521="","",IFERROR(VLOOKUP(N521,Master_Data!$A$5:$C$8,3,FALSE),0))</x:f>
      </x:c>
      <x:c r="P521" s="7">
        <x:f>IF(M521="","",M521*O521)</x:f>
      </x:c>
      <x:c r="Q521" s="7">
        <x:f>IF(M521="","",M521+P521)</x:f>
      </x:c>
      <x:c r="R521" s="7">
        <x:f>IF(K521&lt;&gt;"Paid",0,IF(C521="Income",Q521,-Q521))</x:f>
      </x:c>
      <x:c r="S521" s="14">
        <x:f>IF(A521="","",DATE(YEAR(A521),MONTH(A521),1))</x:f>
      </x:c>
      <x:c r="T521" s="14">
        <x:f>IF(L521="","",DATE(YEAR(L521),MONTH(L521),1))</x:f>
      </x:c>
    </x:row>
    <x:row r="522">
      <x:c r="A522" s="11" t="n"/>
      <x:c r="B522" s="5" t="n"/>
      <x:c r="C522" s="12" t="n"/>
      <x:c r="D522" s="12" t="n"/>
      <x:c r="E522" s="12" t="n"/>
      <x:c r="F522" s="12" t="n"/>
      <x:c r="G522" s="13">
        <x:f>IF(F522="","",IFERROR(VLOOKUP(F522,Master_Data!$E$24:$G$33,2,FALSE),"9999"))</x:f>
      </x:c>
      <x:c r="H522" s="12" t="n"/>
      <x:c r="I522" s="12" t="n"/>
      <x:c r="J522" s="12" t="n"/>
      <x:c r="K522" s="12" t="n"/>
      <x:c r="L522" s="11" t="n"/>
      <x:c r="M522" s="9" t="n"/>
      <x:c r="N522" s="12" t="n"/>
      <x:c r="O522" s="6">
        <x:f>IF(N522="","",IFERROR(VLOOKUP(N522,Master_Data!$A$5:$C$8,3,FALSE),0))</x:f>
      </x:c>
      <x:c r="P522" s="7">
        <x:f>IF(M522="","",M522*O522)</x:f>
      </x:c>
      <x:c r="Q522" s="7">
        <x:f>IF(M522="","",M522+P522)</x:f>
      </x:c>
      <x:c r="R522" s="7">
        <x:f>IF(K522&lt;&gt;"Paid",0,IF(C522="Income",Q522,-Q522))</x:f>
      </x:c>
      <x:c r="S522" s="14">
        <x:f>IF(A522="","",DATE(YEAR(A522),MONTH(A522),1))</x:f>
      </x:c>
      <x:c r="T522" s="14">
        <x:f>IF(L522="","",DATE(YEAR(L522),MONTH(L522),1))</x:f>
      </x:c>
    </x:row>
    <x:row r="523">
      <x:c r="A523" s="11" t="n"/>
      <x:c r="B523" s="5" t="n"/>
      <x:c r="C523" s="12" t="n"/>
      <x:c r="D523" s="12" t="n"/>
      <x:c r="E523" s="12" t="n"/>
      <x:c r="F523" s="12" t="n"/>
      <x:c r="G523" s="13">
        <x:f>IF(F523="","",IFERROR(VLOOKUP(F523,Master_Data!$E$24:$G$33,2,FALSE),"9999"))</x:f>
      </x:c>
      <x:c r="H523" s="12" t="n"/>
      <x:c r="I523" s="12" t="n"/>
      <x:c r="J523" s="12" t="n"/>
      <x:c r="K523" s="12" t="n"/>
      <x:c r="L523" s="11" t="n"/>
      <x:c r="M523" s="9" t="n"/>
      <x:c r="N523" s="12" t="n"/>
      <x:c r="O523" s="6">
        <x:f>IF(N523="","",IFERROR(VLOOKUP(N523,Master_Data!$A$5:$C$8,3,FALSE),0))</x:f>
      </x:c>
      <x:c r="P523" s="7">
        <x:f>IF(M523="","",M523*O523)</x:f>
      </x:c>
      <x:c r="Q523" s="7">
        <x:f>IF(M523="","",M523+P523)</x:f>
      </x:c>
      <x:c r="R523" s="7">
        <x:f>IF(K523&lt;&gt;"Paid",0,IF(C523="Income",Q523,-Q523))</x:f>
      </x:c>
      <x:c r="S523" s="14">
        <x:f>IF(A523="","",DATE(YEAR(A523),MONTH(A523),1))</x:f>
      </x:c>
      <x:c r="T523" s="14">
        <x:f>IF(L523="","",DATE(YEAR(L523),MONTH(L523),1))</x:f>
      </x:c>
    </x:row>
    <x:row r="524">
      <x:c r="A524" s="11" t="n"/>
      <x:c r="B524" s="5" t="n"/>
      <x:c r="C524" s="12" t="n"/>
      <x:c r="D524" s="12" t="n"/>
      <x:c r="E524" s="12" t="n"/>
      <x:c r="F524" s="12" t="n"/>
      <x:c r="G524" s="13">
        <x:f>IF(F524="","",IFERROR(VLOOKUP(F524,Master_Data!$E$24:$G$33,2,FALSE),"9999"))</x:f>
      </x:c>
      <x:c r="H524" s="12" t="n"/>
      <x:c r="I524" s="12" t="n"/>
      <x:c r="J524" s="12" t="n"/>
      <x:c r="K524" s="12" t="n"/>
      <x:c r="L524" s="11" t="n"/>
      <x:c r="M524" s="9" t="n"/>
      <x:c r="N524" s="12" t="n"/>
      <x:c r="O524" s="6">
        <x:f>IF(N524="","",IFERROR(VLOOKUP(N524,Master_Data!$A$5:$C$8,3,FALSE),0))</x:f>
      </x:c>
      <x:c r="P524" s="7">
        <x:f>IF(M524="","",M524*O524)</x:f>
      </x:c>
      <x:c r="Q524" s="7">
        <x:f>IF(M524="","",M524+P524)</x:f>
      </x:c>
      <x:c r="R524" s="7">
        <x:f>IF(K524&lt;&gt;"Paid",0,IF(C524="Income",Q524,-Q524))</x:f>
      </x:c>
      <x:c r="S524" s="14">
        <x:f>IF(A524="","",DATE(YEAR(A524),MONTH(A524),1))</x:f>
      </x:c>
      <x:c r="T524" s="14">
        <x:f>IF(L524="","",DATE(YEAR(L524),MONTH(L524),1))</x:f>
      </x:c>
    </x:row>
    <x:row r="525">
      <x:c r="A525" s="11" t="n"/>
      <x:c r="B525" s="5" t="n"/>
      <x:c r="C525" s="12" t="n"/>
      <x:c r="D525" s="12" t="n"/>
      <x:c r="E525" s="12" t="n"/>
      <x:c r="F525" s="12" t="n"/>
      <x:c r="G525" s="13">
        <x:f>IF(F525="","",IFERROR(VLOOKUP(F525,Master_Data!$E$24:$G$33,2,FALSE),"9999"))</x:f>
      </x:c>
      <x:c r="H525" s="12" t="n"/>
      <x:c r="I525" s="12" t="n"/>
      <x:c r="J525" s="12" t="n"/>
      <x:c r="K525" s="12" t="n"/>
      <x:c r="L525" s="11" t="n"/>
      <x:c r="M525" s="9" t="n"/>
      <x:c r="N525" s="12" t="n"/>
      <x:c r="O525" s="6">
        <x:f>IF(N525="","",IFERROR(VLOOKUP(N525,Master_Data!$A$5:$C$8,3,FALSE),0))</x:f>
      </x:c>
      <x:c r="P525" s="7">
        <x:f>IF(M525="","",M525*O525)</x:f>
      </x:c>
      <x:c r="Q525" s="7">
        <x:f>IF(M525="","",M525+P525)</x:f>
      </x:c>
      <x:c r="R525" s="7">
        <x:f>IF(K525&lt;&gt;"Paid",0,IF(C525="Income",Q525,-Q525))</x:f>
      </x:c>
      <x:c r="S525" s="14">
        <x:f>IF(A525="","",DATE(YEAR(A525),MONTH(A525),1))</x:f>
      </x:c>
      <x:c r="T525" s="14">
        <x:f>IF(L525="","",DATE(YEAR(L525),MONTH(L525),1))</x:f>
      </x:c>
    </x:row>
    <x:row r="526">
      <x:c r="A526" s="11" t="n"/>
      <x:c r="B526" s="5" t="n"/>
      <x:c r="C526" s="12" t="n"/>
      <x:c r="D526" s="12" t="n"/>
      <x:c r="E526" s="12" t="n"/>
      <x:c r="F526" s="12" t="n"/>
      <x:c r="G526" s="13">
        <x:f>IF(F526="","",IFERROR(VLOOKUP(F526,Master_Data!$E$24:$G$33,2,FALSE),"9999"))</x:f>
      </x:c>
      <x:c r="H526" s="12" t="n"/>
      <x:c r="I526" s="12" t="n"/>
      <x:c r="J526" s="12" t="n"/>
      <x:c r="K526" s="12" t="n"/>
      <x:c r="L526" s="11" t="n"/>
      <x:c r="M526" s="9" t="n"/>
      <x:c r="N526" s="12" t="n"/>
      <x:c r="O526" s="6">
        <x:f>IF(N526="","",IFERROR(VLOOKUP(N526,Master_Data!$A$5:$C$8,3,FALSE),0))</x:f>
      </x:c>
      <x:c r="P526" s="7">
        <x:f>IF(M526="","",M526*O526)</x:f>
      </x:c>
      <x:c r="Q526" s="7">
        <x:f>IF(M526="","",M526+P526)</x:f>
      </x:c>
      <x:c r="R526" s="7">
        <x:f>IF(K526&lt;&gt;"Paid",0,IF(C526="Income",Q526,-Q526))</x:f>
      </x:c>
      <x:c r="S526" s="14">
        <x:f>IF(A526="","",DATE(YEAR(A526),MONTH(A526),1))</x:f>
      </x:c>
      <x:c r="T526" s="14">
        <x:f>IF(L526="","",DATE(YEAR(L526),MONTH(L526),1))</x:f>
      </x:c>
    </x:row>
    <x:row r="527">
      <x:c r="A527" s="11" t="n"/>
      <x:c r="B527" s="5" t="n"/>
      <x:c r="C527" s="12" t="n"/>
      <x:c r="D527" s="12" t="n"/>
      <x:c r="E527" s="12" t="n"/>
      <x:c r="F527" s="12" t="n"/>
      <x:c r="G527" s="13">
        <x:f>IF(F527="","",IFERROR(VLOOKUP(F527,Master_Data!$E$24:$G$33,2,FALSE),"9999"))</x:f>
      </x:c>
      <x:c r="H527" s="12" t="n"/>
      <x:c r="I527" s="12" t="n"/>
      <x:c r="J527" s="12" t="n"/>
      <x:c r="K527" s="12" t="n"/>
      <x:c r="L527" s="11" t="n"/>
      <x:c r="M527" s="9" t="n"/>
      <x:c r="N527" s="12" t="n"/>
      <x:c r="O527" s="6">
        <x:f>IF(N527="","",IFERROR(VLOOKUP(N527,Master_Data!$A$5:$C$8,3,FALSE),0))</x:f>
      </x:c>
      <x:c r="P527" s="7">
        <x:f>IF(M527="","",M527*O527)</x:f>
      </x:c>
      <x:c r="Q527" s="7">
        <x:f>IF(M527="","",M527+P527)</x:f>
      </x:c>
      <x:c r="R527" s="7">
        <x:f>IF(K527&lt;&gt;"Paid",0,IF(C527="Income",Q527,-Q527))</x:f>
      </x:c>
      <x:c r="S527" s="14">
        <x:f>IF(A527="","",DATE(YEAR(A527),MONTH(A527),1))</x:f>
      </x:c>
      <x:c r="T527" s="14">
        <x:f>IF(L527="","",DATE(YEAR(L527),MONTH(L527),1))</x:f>
      </x:c>
    </x:row>
    <x:row r="528">
      <x:c r="A528" s="11" t="n"/>
      <x:c r="B528" s="5" t="n"/>
      <x:c r="C528" s="12" t="n"/>
      <x:c r="D528" s="12" t="n"/>
      <x:c r="E528" s="12" t="n"/>
      <x:c r="F528" s="12" t="n"/>
      <x:c r="G528" s="13">
        <x:f>IF(F528="","",IFERROR(VLOOKUP(F528,Master_Data!$E$24:$G$33,2,FALSE),"9999"))</x:f>
      </x:c>
      <x:c r="H528" s="12" t="n"/>
      <x:c r="I528" s="12" t="n"/>
      <x:c r="J528" s="12" t="n"/>
      <x:c r="K528" s="12" t="n"/>
      <x:c r="L528" s="11" t="n"/>
      <x:c r="M528" s="9" t="n"/>
      <x:c r="N528" s="12" t="n"/>
      <x:c r="O528" s="6">
        <x:f>IF(N528="","",IFERROR(VLOOKUP(N528,Master_Data!$A$5:$C$8,3,FALSE),0))</x:f>
      </x:c>
      <x:c r="P528" s="7">
        <x:f>IF(M528="","",M528*O528)</x:f>
      </x:c>
      <x:c r="Q528" s="7">
        <x:f>IF(M528="","",M528+P528)</x:f>
      </x:c>
      <x:c r="R528" s="7">
        <x:f>IF(K528&lt;&gt;"Paid",0,IF(C528="Income",Q528,-Q528))</x:f>
      </x:c>
      <x:c r="S528" s="14">
        <x:f>IF(A528="","",DATE(YEAR(A528),MONTH(A528),1))</x:f>
      </x:c>
      <x:c r="T528" s="14">
        <x:f>IF(L528="","",DATE(YEAR(L528),MONTH(L528),1))</x:f>
      </x:c>
    </x:row>
    <x:row r="529">
      <x:c r="A529" s="11" t="n"/>
      <x:c r="B529" s="5" t="n"/>
      <x:c r="C529" s="12" t="n"/>
      <x:c r="D529" s="12" t="n"/>
      <x:c r="E529" s="12" t="n"/>
      <x:c r="F529" s="12" t="n"/>
      <x:c r="G529" s="13">
        <x:f>IF(F529="","",IFERROR(VLOOKUP(F529,Master_Data!$E$24:$G$33,2,FALSE),"9999"))</x:f>
      </x:c>
      <x:c r="H529" s="12" t="n"/>
      <x:c r="I529" s="12" t="n"/>
      <x:c r="J529" s="12" t="n"/>
      <x:c r="K529" s="12" t="n"/>
      <x:c r="L529" s="11" t="n"/>
      <x:c r="M529" s="9" t="n"/>
      <x:c r="N529" s="12" t="n"/>
      <x:c r="O529" s="6">
        <x:f>IF(N529="","",IFERROR(VLOOKUP(N529,Master_Data!$A$5:$C$8,3,FALSE),0))</x:f>
      </x:c>
      <x:c r="P529" s="7">
        <x:f>IF(M529="","",M529*O529)</x:f>
      </x:c>
      <x:c r="Q529" s="7">
        <x:f>IF(M529="","",M529+P529)</x:f>
      </x:c>
      <x:c r="R529" s="7">
        <x:f>IF(K529&lt;&gt;"Paid",0,IF(C529="Income",Q529,-Q529))</x:f>
      </x:c>
      <x:c r="S529" s="14">
        <x:f>IF(A529="","",DATE(YEAR(A529),MONTH(A529),1))</x:f>
      </x:c>
      <x:c r="T529" s="14">
        <x:f>IF(L529="","",DATE(YEAR(L529),MONTH(L529),1))</x:f>
      </x:c>
    </x:row>
    <x:row r="530">
      <x:c r="A530" s="11" t="n"/>
      <x:c r="B530" s="5" t="n"/>
      <x:c r="C530" s="12" t="n"/>
      <x:c r="D530" s="12" t="n"/>
      <x:c r="E530" s="12" t="n"/>
      <x:c r="F530" s="12" t="n"/>
      <x:c r="G530" s="13">
        <x:f>IF(F530="","",IFERROR(VLOOKUP(F530,Master_Data!$E$24:$G$33,2,FALSE),"9999"))</x:f>
      </x:c>
      <x:c r="H530" s="12" t="n"/>
      <x:c r="I530" s="12" t="n"/>
      <x:c r="J530" s="12" t="n"/>
      <x:c r="K530" s="12" t="n"/>
      <x:c r="L530" s="11" t="n"/>
      <x:c r="M530" s="9" t="n"/>
      <x:c r="N530" s="12" t="n"/>
      <x:c r="O530" s="6">
        <x:f>IF(N530="","",IFERROR(VLOOKUP(N530,Master_Data!$A$5:$C$8,3,FALSE),0))</x:f>
      </x:c>
      <x:c r="P530" s="7">
        <x:f>IF(M530="","",M530*O530)</x:f>
      </x:c>
      <x:c r="Q530" s="7">
        <x:f>IF(M530="","",M530+P530)</x:f>
      </x:c>
      <x:c r="R530" s="7">
        <x:f>IF(K530&lt;&gt;"Paid",0,IF(C530="Income",Q530,-Q530))</x:f>
      </x:c>
      <x:c r="S530" s="14">
        <x:f>IF(A530="","",DATE(YEAR(A530),MONTH(A530),1))</x:f>
      </x:c>
      <x:c r="T530" s="14">
        <x:f>IF(L530="","",DATE(YEAR(L530),MONTH(L530),1))</x:f>
      </x:c>
    </x:row>
    <x:row r="531">
      <x:c r="A531" s="11" t="n"/>
      <x:c r="B531" s="5" t="n"/>
      <x:c r="C531" s="12" t="n"/>
      <x:c r="D531" s="12" t="n"/>
      <x:c r="E531" s="12" t="n"/>
      <x:c r="F531" s="12" t="n"/>
      <x:c r="G531" s="13">
        <x:f>IF(F531="","",IFERROR(VLOOKUP(F531,Master_Data!$E$24:$G$33,2,FALSE),"9999"))</x:f>
      </x:c>
      <x:c r="H531" s="12" t="n"/>
      <x:c r="I531" s="12" t="n"/>
      <x:c r="J531" s="12" t="n"/>
      <x:c r="K531" s="12" t="n"/>
      <x:c r="L531" s="11" t="n"/>
      <x:c r="M531" s="9" t="n"/>
      <x:c r="N531" s="12" t="n"/>
      <x:c r="O531" s="6">
        <x:f>IF(N531="","",IFERROR(VLOOKUP(N531,Master_Data!$A$5:$C$8,3,FALSE),0))</x:f>
      </x:c>
      <x:c r="P531" s="7">
        <x:f>IF(M531="","",M531*O531)</x:f>
      </x:c>
      <x:c r="Q531" s="7">
        <x:f>IF(M531="","",M531+P531)</x:f>
      </x:c>
      <x:c r="R531" s="7">
        <x:f>IF(K531&lt;&gt;"Paid",0,IF(C531="Income",Q531,-Q531))</x:f>
      </x:c>
      <x:c r="S531" s="14">
        <x:f>IF(A531="","",DATE(YEAR(A531),MONTH(A531),1))</x:f>
      </x:c>
      <x:c r="T531" s="14">
        <x:f>IF(L531="","",DATE(YEAR(L531),MONTH(L531),1))</x:f>
      </x:c>
    </x:row>
    <x:row r="532">
      <x:c r="A532" s="11" t="n"/>
      <x:c r="B532" s="5" t="n"/>
      <x:c r="C532" s="12" t="n"/>
      <x:c r="D532" s="12" t="n"/>
      <x:c r="E532" s="12" t="n"/>
      <x:c r="F532" s="12" t="n"/>
      <x:c r="G532" s="13">
        <x:f>IF(F532="","",IFERROR(VLOOKUP(F532,Master_Data!$E$24:$G$33,2,FALSE),"9999"))</x:f>
      </x:c>
      <x:c r="H532" s="12" t="n"/>
      <x:c r="I532" s="12" t="n"/>
      <x:c r="J532" s="12" t="n"/>
      <x:c r="K532" s="12" t="n"/>
      <x:c r="L532" s="11" t="n"/>
      <x:c r="M532" s="9" t="n"/>
      <x:c r="N532" s="12" t="n"/>
      <x:c r="O532" s="6">
        <x:f>IF(N532="","",IFERROR(VLOOKUP(N532,Master_Data!$A$5:$C$8,3,FALSE),0))</x:f>
      </x:c>
      <x:c r="P532" s="7">
        <x:f>IF(M532="","",M532*O532)</x:f>
      </x:c>
      <x:c r="Q532" s="7">
        <x:f>IF(M532="","",M532+P532)</x:f>
      </x:c>
      <x:c r="R532" s="7">
        <x:f>IF(K532&lt;&gt;"Paid",0,IF(C532="Income",Q532,-Q532))</x:f>
      </x:c>
      <x:c r="S532" s="14">
        <x:f>IF(A532="","",DATE(YEAR(A532),MONTH(A532),1))</x:f>
      </x:c>
      <x:c r="T532" s="14">
        <x:f>IF(L532="","",DATE(YEAR(L532),MONTH(L532),1))</x:f>
      </x:c>
    </x:row>
    <x:row r="533">
      <x:c r="A533" s="11" t="n"/>
      <x:c r="B533" s="5" t="n"/>
      <x:c r="C533" s="12" t="n"/>
      <x:c r="D533" s="12" t="n"/>
      <x:c r="E533" s="12" t="n"/>
      <x:c r="F533" s="12" t="n"/>
      <x:c r="G533" s="13">
        <x:f>IF(F533="","",IFERROR(VLOOKUP(F533,Master_Data!$E$24:$G$33,2,FALSE),"9999"))</x:f>
      </x:c>
      <x:c r="H533" s="12" t="n"/>
      <x:c r="I533" s="12" t="n"/>
      <x:c r="J533" s="12" t="n"/>
      <x:c r="K533" s="12" t="n"/>
      <x:c r="L533" s="11" t="n"/>
      <x:c r="M533" s="9" t="n"/>
      <x:c r="N533" s="12" t="n"/>
      <x:c r="O533" s="6">
        <x:f>IF(N533="","",IFERROR(VLOOKUP(N533,Master_Data!$A$5:$C$8,3,FALSE),0))</x:f>
      </x:c>
      <x:c r="P533" s="7">
        <x:f>IF(M533="","",M533*O533)</x:f>
      </x:c>
      <x:c r="Q533" s="7">
        <x:f>IF(M533="","",M533+P533)</x:f>
      </x:c>
      <x:c r="R533" s="7">
        <x:f>IF(K533&lt;&gt;"Paid",0,IF(C533="Income",Q533,-Q533))</x:f>
      </x:c>
      <x:c r="S533" s="14">
        <x:f>IF(A533="","",DATE(YEAR(A533),MONTH(A533),1))</x:f>
      </x:c>
      <x:c r="T533" s="14">
        <x:f>IF(L533="","",DATE(YEAR(L533),MONTH(L533),1))</x:f>
      </x:c>
    </x:row>
    <x:row r="534">
      <x:c r="A534" s="11" t="n"/>
      <x:c r="B534" s="5" t="n"/>
      <x:c r="C534" s="12" t="n"/>
      <x:c r="D534" s="12" t="n"/>
      <x:c r="E534" s="12" t="n"/>
      <x:c r="F534" s="12" t="n"/>
      <x:c r="G534" s="13">
        <x:f>IF(F534="","",IFERROR(VLOOKUP(F534,Master_Data!$E$24:$G$33,2,FALSE),"9999"))</x:f>
      </x:c>
      <x:c r="H534" s="12" t="n"/>
      <x:c r="I534" s="12" t="n"/>
      <x:c r="J534" s="12" t="n"/>
      <x:c r="K534" s="12" t="n"/>
      <x:c r="L534" s="11" t="n"/>
      <x:c r="M534" s="9" t="n"/>
      <x:c r="N534" s="12" t="n"/>
      <x:c r="O534" s="6">
        <x:f>IF(N534="","",IFERROR(VLOOKUP(N534,Master_Data!$A$5:$C$8,3,FALSE),0))</x:f>
      </x:c>
      <x:c r="P534" s="7">
        <x:f>IF(M534="","",M534*O534)</x:f>
      </x:c>
      <x:c r="Q534" s="7">
        <x:f>IF(M534="","",M534+P534)</x:f>
      </x:c>
      <x:c r="R534" s="7">
        <x:f>IF(K534&lt;&gt;"Paid",0,IF(C534="Income",Q534,-Q534))</x:f>
      </x:c>
      <x:c r="S534" s="14">
        <x:f>IF(A534="","",DATE(YEAR(A534),MONTH(A534),1))</x:f>
      </x:c>
      <x:c r="T534" s="14">
        <x:f>IF(L534="","",DATE(YEAR(L534),MONTH(L534),1))</x:f>
      </x:c>
    </x:row>
    <x:row r="535">
      <x:c r="A535" s="11" t="n"/>
      <x:c r="B535" s="5" t="n"/>
      <x:c r="C535" s="12" t="n"/>
      <x:c r="D535" s="12" t="n"/>
      <x:c r="E535" s="12" t="n"/>
      <x:c r="F535" s="12" t="n"/>
      <x:c r="G535" s="13">
        <x:f>IF(F535="","",IFERROR(VLOOKUP(F535,Master_Data!$E$24:$G$33,2,FALSE),"9999"))</x:f>
      </x:c>
      <x:c r="H535" s="12" t="n"/>
      <x:c r="I535" s="12" t="n"/>
      <x:c r="J535" s="12" t="n"/>
      <x:c r="K535" s="12" t="n"/>
      <x:c r="L535" s="11" t="n"/>
      <x:c r="M535" s="9" t="n"/>
      <x:c r="N535" s="12" t="n"/>
      <x:c r="O535" s="6">
        <x:f>IF(N535="","",IFERROR(VLOOKUP(N535,Master_Data!$A$5:$C$8,3,FALSE),0))</x:f>
      </x:c>
      <x:c r="P535" s="7">
        <x:f>IF(M535="","",M535*O535)</x:f>
      </x:c>
      <x:c r="Q535" s="7">
        <x:f>IF(M535="","",M535+P535)</x:f>
      </x:c>
      <x:c r="R535" s="7">
        <x:f>IF(K535&lt;&gt;"Paid",0,IF(C535="Income",Q535,-Q535))</x:f>
      </x:c>
      <x:c r="S535" s="14">
        <x:f>IF(A535="","",DATE(YEAR(A535),MONTH(A535),1))</x:f>
      </x:c>
      <x:c r="T535" s="14">
        <x:f>IF(L535="","",DATE(YEAR(L535),MONTH(L535),1))</x:f>
      </x:c>
    </x:row>
    <x:row r="536">
      <x:c r="A536" s="11" t="n"/>
      <x:c r="B536" s="5" t="n"/>
      <x:c r="C536" s="12" t="n"/>
      <x:c r="D536" s="12" t="n"/>
      <x:c r="E536" s="12" t="n"/>
      <x:c r="F536" s="12" t="n"/>
      <x:c r="G536" s="13">
        <x:f>IF(F536="","",IFERROR(VLOOKUP(F536,Master_Data!$E$24:$G$33,2,FALSE),"9999"))</x:f>
      </x:c>
      <x:c r="H536" s="12" t="n"/>
      <x:c r="I536" s="12" t="n"/>
      <x:c r="J536" s="12" t="n"/>
      <x:c r="K536" s="12" t="n"/>
      <x:c r="L536" s="11" t="n"/>
      <x:c r="M536" s="9" t="n"/>
      <x:c r="N536" s="12" t="n"/>
      <x:c r="O536" s="6">
        <x:f>IF(N536="","",IFERROR(VLOOKUP(N536,Master_Data!$A$5:$C$8,3,FALSE),0))</x:f>
      </x:c>
      <x:c r="P536" s="7">
        <x:f>IF(M536="","",M536*O536)</x:f>
      </x:c>
      <x:c r="Q536" s="7">
        <x:f>IF(M536="","",M536+P536)</x:f>
      </x:c>
      <x:c r="R536" s="7">
        <x:f>IF(K536&lt;&gt;"Paid",0,IF(C536="Income",Q536,-Q536))</x:f>
      </x:c>
      <x:c r="S536" s="14">
        <x:f>IF(A536="","",DATE(YEAR(A536),MONTH(A536),1))</x:f>
      </x:c>
      <x:c r="T536" s="14">
        <x:f>IF(L536="","",DATE(YEAR(L536),MONTH(L536),1))</x:f>
      </x:c>
    </x:row>
    <x:row r="537">
      <x:c r="A537" s="11" t="n"/>
      <x:c r="B537" s="5" t="n"/>
      <x:c r="C537" s="12" t="n"/>
      <x:c r="D537" s="12" t="n"/>
      <x:c r="E537" s="12" t="n"/>
      <x:c r="F537" s="12" t="n"/>
      <x:c r="G537" s="13">
        <x:f>IF(F537="","",IFERROR(VLOOKUP(F537,Master_Data!$E$24:$G$33,2,FALSE),"9999"))</x:f>
      </x:c>
      <x:c r="H537" s="12" t="n"/>
      <x:c r="I537" s="12" t="n"/>
      <x:c r="J537" s="12" t="n"/>
      <x:c r="K537" s="12" t="n"/>
      <x:c r="L537" s="11" t="n"/>
      <x:c r="M537" s="9" t="n"/>
      <x:c r="N537" s="12" t="n"/>
      <x:c r="O537" s="6">
        <x:f>IF(N537="","",IFERROR(VLOOKUP(N537,Master_Data!$A$5:$C$8,3,FALSE),0))</x:f>
      </x:c>
      <x:c r="P537" s="7">
        <x:f>IF(M537="","",M537*O537)</x:f>
      </x:c>
      <x:c r="Q537" s="7">
        <x:f>IF(M537="","",M537+P537)</x:f>
      </x:c>
      <x:c r="R537" s="7">
        <x:f>IF(K537&lt;&gt;"Paid",0,IF(C537="Income",Q537,-Q537))</x:f>
      </x:c>
      <x:c r="S537" s="14">
        <x:f>IF(A537="","",DATE(YEAR(A537),MONTH(A537),1))</x:f>
      </x:c>
      <x:c r="T537" s="14">
        <x:f>IF(L537="","",DATE(YEAR(L537),MONTH(L537),1))</x:f>
      </x:c>
    </x:row>
    <x:row r="538">
      <x:c r="A538" s="11" t="n"/>
      <x:c r="B538" s="5" t="n"/>
      <x:c r="C538" s="12" t="n"/>
      <x:c r="D538" s="12" t="n"/>
      <x:c r="E538" s="12" t="n"/>
      <x:c r="F538" s="12" t="n"/>
      <x:c r="G538" s="13">
        <x:f>IF(F538="","",IFERROR(VLOOKUP(F538,Master_Data!$E$24:$G$33,2,FALSE),"9999"))</x:f>
      </x:c>
      <x:c r="H538" s="12" t="n"/>
      <x:c r="I538" s="12" t="n"/>
      <x:c r="J538" s="12" t="n"/>
      <x:c r="K538" s="12" t="n"/>
      <x:c r="L538" s="11" t="n"/>
      <x:c r="M538" s="9" t="n"/>
      <x:c r="N538" s="12" t="n"/>
      <x:c r="O538" s="6">
        <x:f>IF(N538="","",IFERROR(VLOOKUP(N538,Master_Data!$A$5:$C$8,3,FALSE),0))</x:f>
      </x:c>
      <x:c r="P538" s="7">
        <x:f>IF(M538="","",M538*O538)</x:f>
      </x:c>
      <x:c r="Q538" s="7">
        <x:f>IF(M538="","",M538+P538)</x:f>
      </x:c>
      <x:c r="R538" s="7">
        <x:f>IF(K538&lt;&gt;"Paid",0,IF(C538="Income",Q538,-Q538))</x:f>
      </x:c>
      <x:c r="S538" s="14">
        <x:f>IF(A538="","",DATE(YEAR(A538),MONTH(A538),1))</x:f>
      </x:c>
      <x:c r="T538" s="14">
        <x:f>IF(L538="","",DATE(YEAR(L538),MONTH(L538),1))</x:f>
      </x:c>
    </x:row>
    <x:row r="539">
      <x:c r="A539" s="11" t="n"/>
      <x:c r="B539" s="5" t="n"/>
      <x:c r="C539" s="12" t="n"/>
      <x:c r="D539" s="12" t="n"/>
      <x:c r="E539" s="12" t="n"/>
      <x:c r="F539" s="12" t="n"/>
      <x:c r="G539" s="13">
        <x:f>IF(F539="","",IFERROR(VLOOKUP(F539,Master_Data!$E$24:$G$33,2,FALSE),"9999"))</x:f>
      </x:c>
      <x:c r="H539" s="12" t="n"/>
      <x:c r="I539" s="12" t="n"/>
      <x:c r="J539" s="12" t="n"/>
      <x:c r="K539" s="12" t="n"/>
      <x:c r="L539" s="11" t="n"/>
      <x:c r="M539" s="9" t="n"/>
      <x:c r="N539" s="12" t="n"/>
      <x:c r="O539" s="6">
        <x:f>IF(N539="","",IFERROR(VLOOKUP(N539,Master_Data!$A$5:$C$8,3,FALSE),0))</x:f>
      </x:c>
      <x:c r="P539" s="7">
        <x:f>IF(M539="","",M539*O539)</x:f>
      </x:c>
      <x:c r="Q539" s="7">
        <x:f>IF(M539="","",M539+P539)</x:f>
      </x:c>
      <x:c r="R539" s="7">
        <x:f>IF(K539&lt;&gt;"Paid",0,IF(C539="Income",Q539,-Q539))</x:f>
      </x:c>
      <x:c r="S539" s="14">
        <x:f>IF(A539="","",DATE(YEAR(A539),MONTH(A539),1))</x:f>
      </x:c>
      <x:c r="T539" s="14">
        <x:f>IF(L539="","",DATE(YEAR(L539),MONTH(L539),1))</x:f>
      </x:c>
    </x:row>
    <x:row r="540">
      <x:c r="A540" s="11" t="n"/>
      <x:c r="B540" s="5" t="n"/>
      <x:c r="C540" s="12" t="n"/>
      <x:c r="D540" s="12" t="n"/>
      <x:c r="E540" s="12" t="n"/>
      <x:c r="F540" s="12" t="n"/>
      <x:c r="G540" s="13">
        <x:f>IF(F540="","",IFERROR(VLOOKUP(F540,Master_Data!$E$24:$G$33,2,FALSE),"9999"))</x:f>
      </x:c>
      <x:c r="H540" s="12" t="n"/>
      <x:c r="I540" s="12" t="n"/>
      <x:c r="J540" s="12" t="n"/>
      <x:c r="K540" s="12" t="n"/>
      <x:c r="L540" s="11" t="n"/>
      <x:c r="M540" s="9" t="n"/>
      <x:c r="N540" s="12" t="n"/>
      <x:c r="O540" s="6">
        <x:f>IF(N540="","",IFERROR(VLOOKUP(N540,Master_Data!$A$5:$C$8,3,FALSE),0))</x:f>
      </x:c>
      <x:c r="P540" s="7">
        <x:f>IF(M540="","",M540*O540)</x:f>
      </x:c>
      <x:c r="Q540" s="7">
        <x:f>IF(M540="","",M540+P540)</x:f>
      </x:c>
      <x:c r="R540" s="7">
        <x:f>IF(K540&lt;&gt;"Paid",0,IF(C540="Income",Q540,-Q540))</x:f>
      </x:c>
      <x:c r="S540" s="14">
        <x:f>IF(A540="","",DATE(YEAR(A540),MONTH(A540),1))</x:f>
      </x:c>
      <x:c r="T540" s="14">
        <x:f>IF(L540="","",DATE(YEAR(L540),MONTH(L540),1))</x:f>
      </x:c>
    </x:row>
    <x:row r="541">
      <x:c r="A541" s="11" t="n"/>
      <x:c r="B541" s="5" t="n"/>
      <x:c r="C541" s="12" t="n"/>
      <x:c r="D541" s="12" t="n"/>
      <x:c r="E541" s="12" t="n"/>
      <x:c r="F541" s="12" t="n"/>
      <x:c r="G541" s="13">
        <x:f>IF(F541="","",IFERROR(VLOOKUP(F541,Master_Data!$E$24:$G$33,2,FALSE),"9999"))</x:f>
      </x:c>
      <x:c r="H541" s="12" t="n"/>
      <x:c r="I541" s="12" t="n"/>
      <x:c r="J541" s="12" t="n"/>
      <x:c r="K541" s="12" t="n"/>
      <x:c r="L541" s="11" t="n"/>
      <x:c r="M541" s="9" t="n"/>
      <x:c r="N541" s="12" t="n"/>
      <x:c r="O541" s="6">
        <x:f>IF(N541="","",IFERROR(VLOOKUP(N541,Master_Data!$A$5:$C$8,3,FALSE),0))</x:f>
      </x:c>
      <x:c r="P541" s="7">
        <x:f>IF(M541="","",M541*O541)</x:f>
      </x:c>
      <x:c r="Q541" s="7">
        <x:f>IF(M541="","",M541+P541)</x:f>
      </x:c>
      <x:c r="R541" s="7">
        <x:f>IF(K541&lt;&gt;"Paid",0,IF(C541="Income",Q541,-Q541))</x:f>
      </x:c>
      <x:c r="S541" s="14">
        <x:f>IF(A541="","",DATE(YEAR(A541),MONTH(A541),1))</x:f>
      </x:c>
      <x:c r="T541" s="14">
        <x:f>IF(L541="","",DATE(YEAR(L541),MONTH(L541),1))</x:f>
      </x:c>
    </x:row>
    <x:row r="542">
      <x:c r="A542" s="11" t="n"/>
      <x:c r="B542" s="5" t="n"/>
      <x:c r="C542" s="12" t="n"/>
      <x:c r="D542" s="12" t="n"/>
      <x:c r="E542" s="12" t="n"/>
      <x:c r="F542" s="12" t="n"/>
      <x:c r="G542" s="13">
        <x:f>IF(F542="","",IFERROR(VLOOKUP(F542,Master_Data!$E$24:$G$33,2,FALSE),"9999"))</x:f>
      </x:c>
      <x:c r="H542" s="12" t="n"/>
      <x:c r="I542" s="12" t="n"/>
      <x:c r="J542" s="12" t="n"/>
      <x:c r="K542" s="12" t="n"/>
      <x:c r="L542" s="11" t="n"/>
      <x:c r="M542" s="9" t="n"/>
      <x:c r="N542" s="12" t="n"/>
      <x:c r="O542" s="6">
        <x:f>IF(N542="","",IFERROR(VLOOKUP(N542,Master_Data!$A$5:$C$8,3,FALSE),0))</x:f>
      </x:c>
      <x:c r="P542" s="7">
        <x:f>IF(M542="","",M542*O542)</x:f>
      </x:c>
      <x:c r="Q542" s="7">
        <x:f>IF(M542="","",M542+P542)</x:f>
      </x:c>
      <x:c r="R542" s="7">
        <x:f>IF(K542&lt;&gt;"Paid",0,IF(C542="Income",Q542,-Q542))</x:f>
      </x:c>
      <x:c r="S542" s="14">
        <x:f>IF(A542="","",DATE(YEAR(A542),MONTH(A542),1))</x:f>
      </x:c>
      <x:c r="T542" s="14">
        <x:f>IF(L542="","",DATE(YEAR(L542),MONTH(L542),1))</x:f>
      </x:c>
    </x:row>
    <x:row r="543">
      <x:c r="A543" s="11" t="n"/>
      <x:c r="B543" s="5" t="n"/>
      <x:c r="C543" s="12" t="n"/>
      <x:c r="D543" s="12" t="n"/>
      <x:c r="E543" s="12" t="n"/>
      <x:c r="F543" s="12" t="n"/>
      <x:c r="G543" s="13">
        <x:f>IF(F543="","",IFERROR(VLOOKUP(F543,Master_Data!$E$24:$G$33,2,FALSE),"9999"))</x:f>
      </x:c>
      <x:c r="H543" s="12" t="n"/>
      <x:c r="I543" s="12" t="n"/>
      <x:c r="J543" s="12" t="n"/>
      <x:c r="K543" s="12" t="n"/>
      <x:c r="L543" s="11" t="n"/>
      <x:c r="M543" s="9" t="n"/>
      <x:c r="N543" s="12" t="n"/>
      <x:c r="O543" s="6">
        <x:f>IF(N543="","",IFERROR(VLOOKUP(N543,Master_Data!$A$5:$C$8,3,FALSE),0))</x:f>
      </x:c>
      <x:c r="P543" s="7">
        <x:f>IF(M543="","",M543*O543)</x:f>
      </x:c>
      <x:c r="Q543" s="7">
        <x:f>IF(M543="","",M543+P543)</x:f>
      </x:c>
      <x:c r="R543" s="7">
        <x:f>IF(K543&lt;&gt;"Paid",0,IF(C543="Income",Q543,-Q543))</x:f>
      </x:c>
      <x:c r="S543" s="14">
        <x:f>IF(A543="","",DATE(YEAR(A543),MONTH(A543),1))</x:f>
      </x:c>
      <x:c r="T543" s="14">
        <x:f>IF(L543="","",DATE(YEAR(L543),MONTH(L543),1))</x:f>
      </x:c>
    </x:row>
    <x:row r="544">
      <x:c r="A544" s="11" t="n"/>
      <x:c r="B544" s="5" t="n"/>
      <x:c r="C544" s="12" t="n"/>
      <x:c r="D544" s="12" t="n"/>
      <x:c r="E544" s="12" t="n"/>
      <x:c r="F544" s="12" t="n"/>
      <x:c r="G544" s="13">
        <x:f>IF(F544="","",IFERROR(VLOOKUP(F544,Master_Data!$E$24:$G$33,2,FALSE),"9999"))</x:f>
      </x:c>
      <x:c r="H544" s="12" t="n"/>
      <x:c r="I544" s="12" t="n"/>
      <x:c r="J544" s="12" t="n"/>
      <x:c r="K544" s="12" t="n"/>
      <x:c r="L544" s="11" t="n"/>
      <x:c r="M544" s="9" t="n"/>
      <x:c r="N544" s="12" t="n"/>
      <x:c r="O544" s="6">
        <x:f>IF(N544="","",IFERROR(VLOOKUP(N544,Master_Data!$A$5:$C$8,3,FALSE),0))</x:f>
      </x:c>
      <x:c r="P544" s="7">
        <x:f>IF(M544="","",M544*O544)</x:f>
      </x:c>
      <x:c r="Q544" s="7">
        <x:f>IF(M544="","",M544+P544)</x:f>
      </x:c>
      <x:c r="R544" s="7">
        <x:f>IF(K544&lt;&gt;"Paid",0,IF(C544="Income",Q544,-Q544))</x:f>
      </x:c>
      <x:c r="S544" s="14">
        <x:f>IF(A544="","",DATE(YEAR(A544),MONTH(A544),1))</x:f>
      </x:c>
      <x:c r="T544" s="14">
        <x:f>IF(L544="","",DATE(YEAR(L544),MONTH(L544),1))</x:f>
      </x:c>
    </x:row>
    <x:row r="545">
      <x:c r="A545" s="11" t="n"/>
      <x:c r="B545" s="5" t="n"/>
      <x:c r="C545" s="12" t="n"/>
      <x:c r="D545" s="12" t="n"/>
      <x:c r="E545" s="12" t="n"/>
      <x:c r="F545" s="12" t="n"/>
      <x:c r="G545" s="13">
        <x:f>IF(F545="","",IFERROR(VLOOKUP(F545,Master_Data!$E$24:$G$33,2,FALSE),"9999"))</x:f>
      </x:c>
      <x:c r="H545" s="12" t="n"/>
      <x:c r="I545" s="12" t="n"/>
      <x:c r="J545" s="12" t="n"/>
      <x:c r="K545" s="12" t="n"/>
      <x:c r="L545" s="11" t="n"/>
      <x:c r="M545" s="9" t="n"/>
      <x:c r="N545" s="12" t="n"/>
      <x:c r="O545" s="6">
        <x:f>IF(N545="","",IFERROR(VLOOKUP(N545,Master_Data!$A$5:$C$8,3,FALSE),0))</x:f>
      </x:c>
      <x:c r="P545" s="7">
        <x:f>IF(M545="","",M545*O545)</x:f>
      </x:c>
      <x:c r="Q545" s="7">
        <x:f>IF(M545="","",M545+P545)</x:f>
      </x:c>
      <x:c r="R545" s="7">
        <x:f>IF(K545&lt;&gt;"Paid",0,IF(C545="Income",Q545,-Q545))</x:f>
      </x:c>
      <x:c r="S545" s="14">
        <x:f>IF(A545="","",DATE(YEAR(A545),MONTH(A545),1))</x:f>
      </x:c>
      <x:c r="T545" s="14">
        <x:f>IF(L545="","",DATE(YEAR(L545),MONTH(L545),1))</x:f>
      </x:c>
    </x:row>
    <x:row r="546">
      <x:c r="A546" s="11" t="n"/>
      <x:c r="B546" s="5" t="n"/>
      <x:c r="C546" s="12" t="n"/>
      <x:c r="D546" s="12" t="n"/>
      <x:c r="E546" s="12" t="n"/>
      <x:c r="F546" s="12" t="n"/>
      <x:c r="G546" s="13">
        <x:f>IF(F546="","",IFERROR(VLOOKUP(F546,Master_Data!$E$24:$G$33,2,FALSE),"9999"))</x:f>
      </x:c>
      <x:c r="H546" s="12" t="n"/>
      <x:c r="I546" s="12" t="n"/>
      <x:c r="J546" s="12" t="n"/>
      <x:c r="K546" s="12" t="n"/>
      <x:c r="L546" s="11" t="n"/>
      <x:c r="M546" s="9" t="n"/>
      <x:c r="N546" s="12" t="n"/>
      <x:c r="O546" s="6">
        <x:f>IF(N546="","",IFERROR(VLOOKUP(N546,Master_Data!$A$5:$C$8,3,FALSE),0))</x:f>
      </x:c>
      <x:c r="P546" s="7">
        <x:f>IF(M546="","",M546*O546)</x:f>
      </x:c>
      <x:c r="Q546" s="7">
        <x:f>IF(M546="","",M546+P546)</x:f>
      </x:c>
      <x:c r="R546" s="7">
        <x:f>IF(K546&lt;&gt;"Paid",0,IF(C546="Income",Q546,-Q546))</x:f>
      </x:c>
      <x:c r="S546" s="14">
        <x:f>IF(A546="","",DATE(YEAR(A546),MONTH(A546),1))</x:f>
      </x:c>
      <x:c r="T546" s="14">
        <x:f>IF(L546="","",DATE(YEAR(L546),MONTH(L546),1))</x:f>
      </x:c>
    </x:row>
    <x:row r="547">
      <x:c r="A547" s="11" t="n"/>
      <x:c r="B547" s="5" t="n"/>
      <x:c r="C547" s="12" t="n"/>
      <x:c r="D547" s="12" t="n"/>
      <x:c r="E547" s="12" t="n"/>
      <x:c r="F547" s="12" t="n"/>
      <x:c r="G547" s="13">
        <x:f>IF(F547="","",IFERROR(VLOOKUP(F547,Master_Data!$E$24:$G$33,2,FALSE),"9999"))</x:f>
      </x:c>
      <x:c r="H547" s="12" t="n"/>
      <x:c r="I547" s="12" t="n"/>
      <x:c r="J547" s="12" t="n"/>
      <x:c r="K547" s="12" t="n"/>
      <x:c r="L547" s="11" t="n"/>
      <x:c r="M547" s="9" t="n"/>
      <x:c r="N547" s="12" t="n"/>
      <x:c r="O547" s="6">
        <x:f>IF(N547="","",IFERROR(VLOOKUP(N547,Master_Data!$A$5:$C$8,3,FALSE),0))</x:f>
      </x:c>
      <x:c r="P547" s="7">
        <x:f>IF(M547="","",M547*O547)</x:f>
      </x:c>
      <x:c r="Q547" s="7">
        <x:f>IF(M547="","",M547+P547)</x:f>
      </x:c>
      <x:c r="R547" s="7">
        <x:f>IF(K547&lt;&gt;"Paid",0,IF(C547="Income",Q547,-Q547))</x:f>
      </x:c>
      <x:c r="S547" s="14">
        <x:f>IF(A547="","",DATE(YEAR(A547),MONTH(A547),1))</x:f>
      </x:c>
      <x:c r="T547" s="14">
        <x:f>IF(L547="","",DATE(YEAR(L547),MONTH(L547),1))</x:f>
      </x:c>
    </x:row>
    <x:row r="548">
      <x:c r="A548" s="11" t="n"/>
      <x:c r="B548" s="5" t="n"/>
      <x:c r="C548" s="12" t="n"/>
      <x:c r="D548" s="12" t="n"/>
      <x:c r="E548" s="12" t="n"/>
      <x:c r="F548" s="12" t="n"/>
      <x:c r="G548" s="13">
        <x:f>IF(F548="","",IFERROR(VLOOKUP(F548,Master_Data!$E$24:$G$33,2,FALSE),"9999"))</x:f>
      </x:c>
      <x:c r="H548" s="12" t="n"/>
      <x:c r="I548" s="12" t="n"/>
      <x:c r="J548" s="12" t="n"/>
      <x:c r="K548" s="12" t="n"/>
      <x:c r="L548" s="11" t="n"/>
      <x:c r="M548" s="9" t="n"/>
      <x:c r="N548" s="12" t="n"/>
      <x:c r="O548" s="6">
        <x:f>IF(N548="","",IFERROR(VLOOKUP(N548,Master_Data!$A$5:$C$8,3,FALSE),0))</x:f>
      </x:c>
      <x:c r="P548" s="7">
        <x:f>IF(M548="","",M548*O548)</x:f>
      </x:c>
      <x:c r="Q548" s="7">
        <x:f>IF(M548="","",M548+P548)</x:f>
      </x:c>
      <x:c r="R548" s="7">
        <x:f>IF(K548&lt;&gt;"Paid",0,IF(C548="Income",Q548,-Q548))</x:f>
      </x:c>
      <x:c r="S548" s="14">
        <x:f>IF(A548="","",DATE(YEAR(A548),MONTH(A548),1))</x:f>
      </x:c>
      <x:c r="T548" s="14">
        <x:f>IF(L548="","",DATE(YEAR(L548),MONTH(L548),1))</x:f>
      </x:c>
    </x:row>
    <x:row r="549">
      <x:c r="A549" s="11" t="n"/>
      <x:c r="B549" s="5" t="n"/>
      <x:c r="C549" s="12" t="n"/>
      <x:c r="D549" s="12" t="n"/>
      <x:c r="E549" s="12" t="n"/>
      <x:c r="F549" s="12" t="n"/>
      <x:c r="G549" s="13">
        <x:f>IF(F549="","",IFERROR(VLOOKUP(F549,Master_Data!$E$24:$G$33,2,FALSE),"9999"))</x:f>
      </x:c>
      <x:c r="H549" s="12" t="n"/>
      <x:c r="I549" s="12" t="n"/>
      <x:c r="J549" s="12" t="n"/>
      <x:c r="K549" s="12" t="n"/>
      <x:c r="L549" s="11" t="n"/>
      <x:c r="M549" s="9" t="n"/>
      <x:c r="N549" s="12" t="n"/>
      <x:c r="O549" s="6">
        <x:f>IF(N549="","",IFERROR(VLOOKUP(N549,Master_Data!$A$5:$C$8,3,FALSE),0))</x:f>
      </x:c>
      <x:c r="P549" s="7">
        <x:f>IF(M549="","",M549*O549)</x:f>
      </x:c>
      <x:c r="Q549" s="7">
        <x:f>IF(M549="","",M549+P549)</x:f>
      </x:c>
      <x:c r="R549" s="7">
        <x:f>IF(K549&lt;&gt;"Paid",0,IF(C549="Income",Q549,-Q549))</x:f>
      </x:c>
      <x:c r="S549" s="14">
        <x:f>IF(A549="","",DATE(YEAR(A549),MONTH(A549),1))</x:f>
      </x:c>
      <x:c r="T549" s="14">
        <x:f>IF(L549="","",DATE(YEAR(L549),MONTH(L549),1))</x:f>
      </x:c>
    </x:row>
    <x:row r="550">
      <x:c r="A550" s="11" t="n"/>
      <x:c r="B550" s="5" t="n"/>
      <x:c r="C550" s="12" t="n"/>
      <x:c r="D550" s="12" t="n"/>
      <x:c r="E550" s="12" t="n"/>
      <x:c r="F550" s="12" t="n"/>
      <x:c r="G550" s="13">
        <x:f>IF(F550="","",IFERROR(VLOOKUP(F550,Master_Data!$E$24:$G$33,2,FALSE),"9999"))</x:f>
      </x:c>
      <x:c r="H550" s="12" t="n"/>
      <x:c r="I550" s="12" t="n"/>
      <x:c r="J550" s="12" t="n"/>
      <x:c r="K550" s="12" t="n"/>
      <x:c r="L550" s="11" t="n"/>
      <x:c r="M550" s="9" t="n"/>
      <x:c r="N550" s="12" t="n"/>
      <x:c r="O550" s="6">
        <x:f>IF(N550="","",IFERROR(VLOOKUP(N550,Master_Data!$A$5:$C$8,3,FALSE),0))</x:f>
      </x:c>
      <x:c r="P550" s="7">
        <x:f>IF(M550="","",M550*O550)</x:f>
      </x:c>
      <x:c r="Q550" s="7">
        <x:f>IF(M550="","",M550+P550)</x:f>
      </x:c>
      <x:c r="R550" s="7">
        <x:f>IF(K550&lt;&gt;"Paid",0,IF(C550="Income",Q550,-Q550))</x:f>
      </x:c>
      <x:c r="S550" s="14">
        <x:f>IF(A550="","",DATE(YEAR(A550),MONTH(A550),1))</x:f>
      </x:c>
      <x:c r="T550" s="14">
        <x:f>IF(L550="","",DATE(YEAR(L550),MONTH(L550),1))</x:f>
      </x:c>
    </x:row>
    <x:row r="551">
      <x:c r="A551" s="11" t="n"/>
      <x:c r="B551" s="5" t="n"/>
      <x:c r="C551" s="12" t="n"/>
      <x:c r="D551" s="12" t="n"/>
      <x:c r="E551" s="12" t="n"/>
      <x:c r="F551" s="12" t="n"/>
      <x:c r="G551" s="13">
        <x:f>IF(F551="","",IFERROR(VLOOKUP(F551,Master_Data!$E$24:$G$33,2,FALSE),"9999"))</x:f>
      </x:c>
      <x:c r="H551" s="12" t="n"/>
      <x:c r="I551" s="12" t="n"/>
      <x:c r="J551" s="12" t="n"/>
      <x:c r="K551" s="12" t="n"/>
      <x:c r="L551" s="11" t="n"/>
      <x:c r="M551" s="9" t="n"/>
      <x:c r="N551" s="12" t="n"/>
      <x:c r="O551" s="6">
        <x:f>IF(N551="","",IFERROR(VLOOKUP(N551,Master_Data!$A$5:$C$8,3,FALSE),0))</x:f>
      </x:c>
      <x:c r="P551" s="7">
        <x:f>IF(M551="","",M551*O551)</x:f>
      </x:c>
      <x:c r="Q551" s="7">
        <x:f>IF(M551="","",M551+P551)</x:f>
      </x:c>
      <x:c r="R551" s="7">
        <x:f>IF(K551&lt;&gt;"Paid",0,IF(C551="Income",Q551,-Q551))</x:f>
      </x:c>
      <x:c r="S551" s="14">
        <x:f>IF(A551="","",DATE(YEAR(A551),MONTH(A551),1))</x:f>
      </x:c>
      <x:c r="T551" s="14">
        <x:f>IF(L551="","",DATE(YEAR(L551),MONTH(L551),1))</x:f>
      </x:c>
    </x:row>
    <x:row r="552">
      <x:c r="A552" s="11" t="n"/>
      <x:c r="B552" s="5" t="n"/>
      <x:c r="C552" s="12" t="n"/>
      <x:c r="D552" s="12" t="n"/>
      <x:c r="E552" s="12" t="n"/>
      <x:c r="F552" s="12" t="n"/>
      <x:c r="G552" s="13">
        <x:f>IF(F552="","",IFERROR(VLOOKUP(F552,Master_Data!$E$24:$G$33,2,FALSE),"9999"))</x:f>
      </x:c>
      <x:c r="H552" s="12" t="n"/>
      <x:c r="I552" s="12" t="n"/>
      <x:c r="J552" s="12" t="n"/>
      <x:c r="K552" s="12" t="n"/>
      <x:c r="L552" s="11" t="n"/>
      <x:c r="M552" s="9" t="n"/>
      <x:c r="N552" s="12" t="n"/>
      <x:c r="O552" s="6">
        <x:f>IF(N552="","",IFERROR(VLOOKUP(N552,Master_Data!$A$5:$C$8,3,FALSE),0))</x:f>
      </x:c>
      <x:c r="P552" s="7">
        <x:f>IF(M552="","",M552*O552)</x:f>
      </x:c>
      <x:c r="Q552" s="7">
        <x:f>IF(M552="","",M552+P552)</x:f>
      </x:c>
      <x:c r="R552" s="7">
        <x:f>IF(K552&lt;&gt;"Paid",0,IF(C552="Income",Q552,-Q552))</x:f>
      </x:c>
      <x:c r="S552" s="14">
        <x:f>IF(A552="","",DATE(YEAR(A552),MONTH(A552),1))</x:f>
      </x:c>
      <x:c r="T552" s="14">
        <x:f>IF(L552="","",DATE(YEAR(L552),MONTH(L552),1))</x:f>
      </x:c>
    </x:row>
    <x:row r="553">
      <x:c r="A553" s="11" t="n"/>
      <x:c r="B553" s="5" t="n"/>
      <x:c r="C553" s="12" t="n"/>
      <x:c r="D553" s="12" t="n"/>
      <x:c r="E553" s="12" t="n"/>
      <x:c r="F553" s="12" t="n"/>
      <x:c r="G553" s="13">
        <x:f>IF(F553="","",IFERROR(VLOOKUP(F553,Master_Data!$E$24:$G$33,2,FALSE),"9999"))</x:f>
      </x:c>
      <x:c r="H553" s="12" t="n"/>
      <x:c r="I553" s="12" t="n"/>
      <x:c r="J553" s="12" t="n"/>
      <x:c r="K553" s="12" t="n"/>
      <x:c r="L553" s="11" t="n"/>
      <x:c r="M553" s="9" t="n"/>
      <x:c r="N553" s="12" t="n"/>
      <x:c r="O553" s="6">
        <x:f>IF(N553="","",IFERROR(VLOOKUP(N553,Master_Data!$A$5:$C$8,3,FALSE),0))</x:f>
      </x:c>
      <x:c r="P553" s="7">
        <x:f>IF(M553="","",M553*O553)</x:f>
      </x:c>
      <x:c r="Q553" s="7">
        <x:f>IF(M553="","",M553+P553)</x:f>
      </x:c>
      <x:c r="R553" s="7">
        <x:f>IF(K553&lt;&gt;"Paid",0,IF(C553="Income",Q553,-Q553))</x:f>
      </x:c>
      <x:c r="S553" s="14">
        <x:f>IF(A553="","",DATE(YEAR(A553),MONTH(A553),1))</x:f>
      </x:c>
      <x:c r="T553" s="14">
        <x:f>IF(L553="","",DATE(YEAR(L553),MONTH(L553),1))</x:f>
      </x:c>
    </x:row>
    <x:row r="554">
      <x:c r="A554" s="11" t="n"/>
      <x:c r="B554" s="5" t="n"/>
      <x:c r="C554" s="12" t="n"/>
      <x:c r="D554" s="12" t="n"/>
      <x:c r="E554" s="12" t="n"/>
      <x:c r="F554" s="12" t="n"/>
      <x:c r="G554" s="13">
        <x:f>IF(F554="","",IFERROR(VLOOKUP(F554,Master_Data!$E$24:$G$33,2,FALSE),"9999"))</x:f>
      </x:c>
      <x:c r="H554" s="12" t="n"/>
      <x:c r="I554" s="12" t="n"/>
      <x:c r="J554" s="12" t="n"/>
      <x:c r="K554" s="12" t="n"/>
      <x:c r="L554" s="11" t="n"/>
      <x:c r="M554" s="9" t="n"/>
      <x:c r="N554" s="12" t="n"/>
      <x:c r="O554" s="6">
        <x:f>IF(N554="","",IFERROR(VLOOKUP(N554,Master_Data!$A$5:$C$8,3,FALSE),0))</x:f>
      </x:c>
      <x:c r="P554" s="7">
        <x:f>IF(M554="","",M554*O554)</x:f>
      </x:c>
      <x:c r="Q554" s="7">
        <x:f>IF(M554="","",M554+P554)</x:f>
      </x:c>
      <x:c r="R554" s="7">
        <x:f>IF(K554&lt;&gt;"Paid",0,IF(C554="Income",Q554,-Q554))</x:f>
      </x:c>
      <x:c r="S554" s="14">
        <x:f>IF(A554="","",DATE(YEAR(A554),MONTH(A554),1))</x:f>
      </x:c>
      <x:c r="T554" s="14">
        <x:f>IF(L554="","",DATE(YEAR(L554),MONTH(L554),1))</x:f>
      </x:c>
    </x:row>
    <x:row r="555">
      <x:c r="A555" s="11" t="n"/>
      <x:c r="B555" s="5" t="n"/>
      <x:c r="C555" s="12" t="n"/>
      <x:c r="D555" s="12" t="n"/>
      <x:c r="E555" s="12" t="n"/>
      <x:c r="F555" s="12" t="n"/>
      <x:c r="G555" s="13">
        <x:f>IF(F555="","",IFERROR(VLOOKUP(F555,Master_Data!$E$24:$G$33,2,FALSE),"9999"))</x:f>
      </x:c>
      <x:c r="H555" s="12" t="n"/>
      <x:c r="I555" s="12" t="n"/>
      <x:c r="J555" s="12" t="n"/>
      <x:c r="K555" s="12" t="n"/>
      <x:c r="L555" s="11" t="n"/>
      <x:c r="M555" s="9" t="n"/>
      <x:c r="N555" s="12" t="n"/>
      <x:c r="O555" s="6">
        <x:f>IF(N555="","",IFERROR(VLOOKUP(N555,Master_Data!$A$5:$C$8,3,FALSE),0))</x:f>
      </x:c>
      <x:c r="P555" s="7">
        <x:f>IF(M555="","",M555*O555)</x:f>
      </x:c>
      <x:c r="Q555" s="7">
        <x:f>IF(M555="","",M555+P555)</x:f>
      </x:c>
      <x:c r="R555" s="7">
        <x:f>IF(K555&lt;&gt;"Paid",0,IF(C555="Income",Q555,-Q555))</x:f>
      </x:c>
      <x:c r="S555" s="14">
        <x:f>IF(A555="","",DATE(YEAR(A555),MONTH(A555),1))</x:f>
      </x:c>
      <x:c r="T555" s="14">
        <x:f>IF(L555="","",DATE(YEAR(L555),MONTH(L555),1))</x:f>
      </x:c>
    </x:row>
    <x:row r="556">
      <x:c r="A556" s="11" t="n"/>
      <x:c r="B556" s="5" t="n"/>
      <x:c r="C556" s="12" t="n"/>
      <x:c r="D556" s="12" t="n"/>
      <x:c r="E556" s="12" t="n"/>
      <x:c r="F556" s="12" t="n"/>
      <x:c r="G556" s="13">
        <x:f>IF(F556="","",IFERROR(VLOOKUP(F556,Master_Data!$E$24:$G$33,2,FALSE),"9999"))</x:f>
      </x:c>
      <x:c r="H556" s="12" t="n"/>
      <x:c r="I556" s="12" t="n"/>
      <x:c r="J556" s="12" t="n"/>
      <x:c r="K556" s="12" t="n"/>
      <x:c r="L556" s="11" t="n"/>
      <x:c r="M556" s="9" t="n"/>
      <x:c r="N556" s="12" t="n"/>
      <x:c r="O556" s="6">
        <x:f>IF(N556="","",IFERROR(VLOOKUP(N556,Master_Data!$A$5:$C$8,3,FALSE),0))</x:f>
      </x:c>
      <x:c r="P556" s="7">
        <x:f>IF(M556="","",M556*O556)</x:f>
      </x:c>
      <x:c r="Q556" s="7">
        <x:f>IF(M556="","",M556+P556)</x:f>
      </x:c>
      <x:c r="R556" s="7">
        <x:f>IF(K556&lt;&gt;"Paid",0,IF(C556="Income",Q556,-Q556))</x:f>
      </x:c>
      <x:c r="S556" s="14">
        <x:f>IF(A556="","",DATE(YEAR(A556),MONTH(A556),1))</x:f>
      </x:c>
      <x:c r="T556" s="14">
        <x:f>IF(L556="","",DATE(YEAR(L556),MONTH(L556),1))</x:f>
      </x:c>
    </x:row>
    <x:row r="557">
      <x:c r="A557" s="11" t="n"/>
      <x:c r="B557" s="5" t="n"/>
      <x:c r="C557" s="12" t="n"/>
      <x:c r="D557" s="12" t="n"/>
      <x:c r="E557" s="12" t="n"/>
      <x:c r="F557" s="12" t="n"/>
      <x:c r="G557" s="13">
        <x:f>IF(F557="","",IFERROR(VLOOKUP(F557,Master_Data!$E$24:$G$33,2,FALSE),"9999"))</x:f>
      </x:c>
      <x:c r="H557" s="12" t="n"/>
      <x:c r="I557" s="12" t="n"/>
      <x:c r="J557" s="12" t="n"/>
      <x:c r="K557" s="12" t="n"/>
      <x:c r="L557" s="11" t="n"/>
      <x:c r="M557" s="9" t="n"/>
      <x:c r="N557" s="12" t="n"/>
      <x:c r="O557" s="6">
        <x:f>IF(N557="","",IFERROR(VLOOKUP(N557,Master_Data!$A$5:$C$8,3,FALSE),0))</x:f>
      </x:c>
      <x:c r="P557" s="7">
        <x:f>IF(M557="","",M557*O557)</x:f>
      </x:c>
      <x:c r="Q557" s="7">
        <x:f>IF(M557="","",M557+P557)</x:f>
      </x:c>
      <x:c r="R557" s="7">
        <x:f>IF(K557&lt;&gt;"Paid",0,IF(C557="Income",Q557,-Q557))</x:f>
      </x:c>
      <x:c r="S557" s="14">
        <x:f>IF(A557="","",DATE(YEAR(A557),MONTH(A557),1))</x:f>
      </x:c>
      <x:c r="T557" s="14">
        <x:f>IF(L557="","",DATE(YEAR(L557),MONTH(L557),1))</x:f>
      </x:c>
    </x:row>
    <x:row r="558">
      <x:c r="A558" s="11" t="n"/>
      <x:c r="B558" s="5" t="n"/>
      <x:c r="C558" s="12" t="n"/>
      <x:c r="D558" s="12" t="n"/>
      <x:c r="E558" s="12" t="n"/>
      <x:c r="F558" s="12" t="n"/>
      <x:c r="G558" s="13">
        <x:f>IF(F558="","",IFERROR(VLOOKUP(F558,Master_Data!$E$24:$G$33,2,FALSE),"9999"))</x:f>
      </x:c>
      <x:c r="H558" s="12" t="n"/>
      <x:c r="I558" s="12" t="n"/>
      <x:c r="J558" s="12" t="n"/>
      <x:c r="K558" s="12" t="n"/>
      <x:c r="L558" s="11" t="n"/>
      <x:c r="M558" s="9" t="n"/>
      <x:c r="N558" s="12" t="n"/>
      <x:c r="O558" s="6">
        <x:f>IF(N558="","",IFERROR(VLOOKUP(N558,Master_Data!$A$5:$C$8,3,FALSE),0))</x:f>
      </x:c>
      <x:c r="P558" s="7">
        <x:f>IF(M558="","",M558*O558)</x:f>
      </x:c>
      <x:c r="Q558" s="7">
        <x:f>IF(M558="","",M558+P558)</x:f>
      </x:c>
      <x:c r="R558" s="7">
        <x:f>IF(K558&lt;&gt;"Paid",0,IF(C558="Income",Q558,-Q558))</x:f>
      </x:c>
      <x:c r="S558" s="14">
        <x:f>IF(A558="","",DATE(YEAR(A558),MONTH(A558),1))</x:f>
      </x:c>
      <x:c r="T558" s="14">
        <x:f>IF(L558="","",DATE(YEAR(L558),MONTH(L558),1))</x:f>
      </x:c>
    </x:row>
    <x:row r="559">
      <x:c r="A559" s="11" t="n"/>
      <x:c r="B559" s="5" t="n"/>
      <x:c r="C559" s="12" t="n"/>
      <x:c r="D559" s="12" t="n"/>
      <x:c r="E559" s="12" t="n"/>
      <x:c r="F559" s="12" t="n"/>
      <x:c r="G559" s="13">
        <x:f>IF(F559="","",IFERROR(VLOOKUP(F559,Master_Data!$E$24:$G$33,2,FALSE),"9999"))</x:f>
      </x:c>
      <x:c r="H559" s="12" t="n"/>
      <x:c r="I559" s="12" t="n"/>
      <x:c r="J559" s="12" t="n"/>
      <x:c r="K559" s="12" t="n"/>
      <x:c r="L559" s="11" t="n"/>
      <x:c r="M559" s="9" t="n"/>
      <x:c r="N559" s="12" t="n"/>
      <x:c r="O559" s="6">
        <x:f>IF(N559="","",IFERROR(VLOOKUP(N559,Master_Data!$A$5:$C$8,3,FALSE),0))</x:f>
      </x:c>
      <x:c r="P559" s="7">
        <x:f>IF(M559="","",M559*O559)</x:f>
      </x:c>
      <x:c r="Q559" s="7">
        <x:f>IF(M559="","",M559+P559)</x:f>
      </x:c>
      <x:c r="R559" s="7">
        <x:f>IF(K559&lt;&gt;"Paid",0,IF(C559="Income",Q559,-Q559))</x:f>
      </x:c>
      <x:c r="S559" s="14">
        <x:f>IF(A559="","",DATE(YEAR(A559),MONTH(A559),1))</x:f>
      </x:c>
      <x:c r="T559" s="14">
        <x:f>IF(L559="","",DATE(YEAR(L559),MONTH(L559),1))</x:f>
      </x:c>
    </x:row>
    <x:row r="560">
      <x:c r="A560" s="11" t="n"/>
      <x:c r="B560" s="5" t="n"/>
      <x:c r="C560" s="12" t="n"/>
      <x:c r="D560" s="12" t="n"/>
      <x:c r="E560" s="12" t="n"/>
      <x:c r="F560" s="12" t="n"/>
      <x:c r="G560" s="13">
        <x:f>IF(F560="","",IFERROR(VLOOKUP(F560,Master_Data!$E$24:$G$33,2,FALSE),"9999"))</x:f>
      </x:c>
      <x:c r="H560" s="12" t="n"/>
      <x:c r="I560" s="12" t="n"/>
      <x:c r="J560" s="12" t="n"/>
      <x:c r="K560" s="12" t="n"/>
      <x:c r="L560" s="11" t="n"/>
      <x:c r="M560" s="9" t="n"/>
      <x:c r="N560" s="12" t="n"/>
      <x:c r="O560" s="6">
        <x:f>IF(N560="","",IFERROR(VLOOKUP(N560,Master_Data!$A$5:$C$8,3,FALSE),0))</x:f>
      </x:c>
      <x:c r="P560" s="7">
        <x:f>IF(M560="","",M560*O560)</x:f>
      </x:c>
      <x:c r="Q560" s="7">
        <x:f>IF(M560="","",M560+P560)</x:f>
      </x:c>
      <x:c r="R560" s="7">
        <x:f>IF(K560&lt;&gt;"Paid",0,IF(C560="Income",Q560,-Q560))</x:f>
      </x:c>
      <x:c r="S560" s="14">
        <x:f>IF(A560="","",DATE(YEAR(A560),MONTH(A560),1))</x:f>
      </x:c>
      <x:c r="T560" s="14">
        <x:f>IF(L560="","",DATE(YEAR(L560),MONTH(L560),1))</x:f>
      </x:c>
    </x:row>
    <x:row r="561">
      <x:c r="A561" s="11" t="n"/>
      <x:c r="B561" s="5" t="n"/>
      <x:c r="C561" s="12" t="n"/>
      <x:c r="D561" s="12" t="n"/>
      <x:c r="E561" s="12" t="n"/>
      <x:c r="F561" s="12" t="n"/>
      <x:c r="G561" s="13">
        <x:f>IF(F561="","",IFERROR(VLOOKUP(F561,Master_Data!$E$24:$G$33,2,FALSE),"9999"))</x:f>
      </x:c>
      <x:c r="H561" s="12" t="n"/>
      <x:c r="I561" s="12" t="n"/>
      <x:c r="J561" s="12" t="n"/>
      <x:c r="K561" s="12" t="n"/>
      <x:c r="L561" s="11" t="n"/>
      <x:c r="M561" s="9" t="n"/>
      <x:c r="N561" s="12" t="n"/>
      <x:c r="O561" s="6">
        <x:f>IF(N561="","",IFERROR(VLOOKUP(N561,Master_Data!$A$5:$C$8,3,FALSE),0))</x:f>
      </x:c>
      <x:c r="P561" s="7">
        <x:f>IF(M561="","",M561*O561)</x:f>
      </x:c>
      <x:c r="Q561" s="7">
        <x:f>IF(M561="","",M561+P561)</x:f>
      </x:c>
      <x:c r="R561" s="7">
        <x:f>IF(K561&lt;&gt;"Paid",0,IF(C561="Income",Q561,-Q561))</x:f>
      </x:c>
      <x:c r="S561" s="14">
        <x:f>IF(A561="","",DATE(YEAR(A561),MONTH(A561),1))</x:f>
      </x:c>
      <x:c r="T561" s="14">
        <x:f>IF(L561="","",DATE(YEAR(L561),MONTH(L561),1))</x:f>
      </x:c>
    </x:row>
    <x:row r="562">
      <x:c r="A562" s="11" t="n"/>
      <x:c r="B562" s="5" t="n"/>
      <x:c r="C562" s="12" t="n"/>
      <x:c r="D562" s="12" t="n"/>
      <x:c r="E562" s="12" t="n"/>
      <x:c r="F562" s="12" t="n"/>
      <x:c r="G562" s="13">
        <x:f>IF(F562="","",IFERROR(VLOOKUP(F562,Master_Data!$E$24:$G$33,2,FALSE),"9999"))</x:f>
      </x:c>
      <x:c r="H562" s="12" t="n"/>
      <x:c r="I562" s="12" t="n"/>
      <x:c r="J562" s="12" t="n"/>
      <x:c r="K562" s="12" t="n"/>
      <x:c r="L562" s="11" t="n"/>
      <x:c r="M562" s="9" t="n"/>
      <x:c r="N562" s="12" t="n"/>
      <x:c r="O562" s="6">
        <x:f>IF(N562="","",IFERROR(VLOOKUP(N562,Master_Data!$A$5:$C$8,3,FALSE),0))</x:f>
      </x:c>
      <x:c r="P562" s="7">
        <x:f>IF(M562="","",M562*O562)</x:f>
      </x:c>
      <x:c r="Q562" s="7">
        <x:f>IF(M562="","",M562+P562)</x:f>
      </x:c>
      <x:c r="R562" s="7">
        <x:f>IF(K562&lt;&gt;"Paid",0,IF(C562="Income",Q562,-Q562))</x:f>
      </x:c>
      <x:c r="S562" s="14">
        <x:f>IF(A562="","",DATE(YEAR(A562),MONTH(A562),1))</x:f>
      </x:c>
      <x:c r="T562" s="14">
        <x:f>IF(L562="","",DATE(YEAR(L562),MONTH(L562),1))</x:f>
      </x:c>
    </x:row>
    <x:row r="563">
      <x:c r="A563" s="11" t="n"/>
      <x:c r="B563" s="5" t="n"/>
      <x:c r="C563" s="12" t="n"/>
      <x:c r="D563" s="12" t="n"/>
      <x:c r="E563" s="12" t="n"/>
      <x:c r="F563" s="12" t="n"/>
      <x:c r="G563" s="13">
        <x:f>IF(F563="","",IFERROR(VLOOKUP(F563,Master_Data!$E$24:$G$33,2,FALSE),"9999"))</x:f>
      </x:c>
      <x:c r="H563" s="12" t="n"/>
      <x:c r="I563" s="12" t="n"/>
      <x:c r="J563" s="12" t="n"/>
      <x:c r="K563" s="12" t="n"/>
      <x:c r="L563" s="11" t="n"/>
      <x:c r="M563" s="9" t="n"/>
      <x:c r="N563" s="12" t="n"/>
      <x:c r="O563" s="6">
        <x:f>IF(N563="","",IFERROR(VLOOKUP(N563,Master_Data!$A$5:$C$8,3,FALSE),0))</x:f>
      </x:c>
      <x:c r="P563" s="7">
        <x:f>IF(M563="","",M563*O563)</x:f>
      </x:c>
      <x:c r="Q563" s="7">
        <x:f>IF(M563="","",M563+P563)</x:f>
      </x:c>
      <x:c r="R563" s="7">
        <x:f>IF(K563&lt;&gt;"Paid",0,IF(C563="Income",Q563,-Q563))</x:f>
      </x:c>
      <x:c r="S563" s="14">
        <x:f>IF(A563="","",DATE(YEAR(A563),MONTH(A563),1))</x:f>
      </x:c>
      <x:c r="T563" s="14">
        <x:f>IF(L563="","",DATE(YEAR(L563),MONTH(L563),1))</x:f>
      </x:c>
    </x:row>
    <x:row r="564">
      <x:c r="A564" s="11" t="n"/>
      <x:c r="B564" s="5" t="n"/>
      <x:c r="C564" s="12" t="n"/>
      <x:c r="D564" s="12" t="n"/>
      <x:c r="E564" s="12" t="n"/>
      <x:c r="F564" s="12" t="n"/>
      <x:c r="G564" s="13">
        <x:f>IF(F564="","",IFERROR(VLOOKUP(F564,Master_Data!$E$24:$G$33,2,FALSE),"9999"))</x:f>
      </x:c>
      <x:c r="H564" s="12" t="n"/>
      <x:c r="I564" s="12" t="n"/>
      <x:c r="J564" s="12" t="n"/>
      <x:c r="K564" s="12" t="n"/>
      <x:c r="L564" s="11" t="n"/>
      <x:c r="M564" s="9" t="n"/>
      <x:c r="N564" s="12" t="n"/>
      <x:c r="O564" s="6">
        <x:f>IF(N564="","",IFERROR(VLOOKUP(N564,Master_Data!$A$5:$C$8,3,FALSE),0))</x:f>
      </x:c>
      <x:c r="P564" s="7">
        <x:f>IF(M564="","",M564*O564)</x:f>
      </x:c>
      <x:c r="Q564" s="7">
        <x:f>IF(M564="","",M564+P564)</x:f>
      </x:c>
      <x:c r="R564" s="7">
        <x:f>IF(K564&lt;&gt;"Paid",0,IF(C564="Income",Q564,-Q564))</x:f>
      </x:c>
      <x:c r="S564" s="14">
        <x:f>IF(A564="","",DATE(YEAR(A564),MONTH(A564),1))</x:f>
      </x:c>
      <x:c r="T564" s="14">
        <x:f>IF(L564="","",DATE(YEAR(L564),MONTH(L564),1))</x:f>
      </x:c>
    </x:row>
    <x:row r="565">
      <x:c r="A565" s="11" t="n"/>
      <x:c r="B565" s="5" t="n"/>
      <x:c r="C565" s="12" t="n"/>
      <x:c r="D565" s="12" t="n"/>
      <x:c r="E565" s="12" t="n"/>
      <x:c r="F565" s="12" t="n"/>
      <x:c r="G565" s="13">
        <x:f>IF(F565="","",IFERROR(VLOOKUP(F565,Master_Data!$E$24:$G$33,2,FALSE),"9999"))</x:f>
      </x:c>
      <x:c r="H565" s="12" t="n"/>
      <x:c r="I565" s="12" t="n"/>
      <x:c r="J565" s="12" t="n"/>
      <x:c r="K565" s="12" t="n"/>
      <x:c r="L565" s="11" t="n"/>
      <x:c r="M565" s="9" t="n"/>
      <x:c r="N565" s="12" t="n"/>
      <x:c r="O565" s="6">
        <x:f>IF(N565="","",IFERROR(VLOOKUP(N565,Master_Data!$A$5:$C$8,3,FALSE),0))</x:f>
      </x:c>
      <x:c r="P565" s="7">
        <x:f>IF(M565="","",M565*O565)</x:f>
      </x:c>
      <x:c r="Q565" s="7">
        <x:f>IF(M565="","",M565+P565)</x:f>
      </x:c>
      <x:c r="R565" s="7">
        <x:f>IF(K565&lt;&gt;"Paid",0,IF(C565="Income",Q565,-Q565))</x:f>
      </x:c>
      <x:c r="S565" s="14">
        <x:f>IF(A565="","",DATE(YEAR(A565),MONTH(A565),1))</x:f>
      </x:c>
      <x:c r="T565" s="14">
        <x:f>IF(L565="","",DATE(YEAR(L565),MONTH(L565),1))</x:f>
      </x:c>
    </x:row>
    <x:row r="566">
      <x:c r="A566" s="11" t="n"/>
      <x:c r="B566" s="5" t="n"/>
      <x:c r="C566" s="12" t="n"/>
      <x:c r="D566" s="12" t="n"/>
      <x:c r="E566" s="12" t="n"/>
      <x:c r="F566" s="12" t="n"/>
      <x:c r="G566" s="13">
        <x:f>IF(F566="","",IFERROR(VLOOKUP(F566,Master_Data!$E$24:$G$33,2,FALSE),"9999"))</x:f>
      </x:c>
      <x:c r="H566" s="12" t="n"/>
      <x:c r="I566" s="12" t="n"/>
      <x:c r="J566" s="12" t="n"/>
      <x:c r="K566" s="12" t="n"/>
      <x:c r="L566" s="11" t="n"/>
      <x:c r="M566" s="9" t="n"/>
      <x:c r="N566" s="12" t="n"/>
      <x:c r="O566" s="6">
        <x:f>IF(N566="","",IFERROR(VLOOKUP(N566,Master_Data!$A$5:$C$8,3,FALSE),0))</x:f>
      </x:c>
      <x:c r="P566" s="7">
        <x:f>IF(M566="","",M566*O566)</x:f>
      </x:c>
      <x:c r="Q566" s="7">
        <x:f>IF(M566="","",M566+P566)</x:f>
      </x:c>
      <x:c r="R566" s="7">
        <x:f>IF(K566&lt;&gt;"Paid",0,IF(C566="Income",Q566,-Q566))</x:f>
      </x:c>
      <x:c r="S566" s="14">
        <x:f>IF(A566="","",DATE(YEAR(A566),MONTH(A566),1))</x:f>
      </x:c>
      <x:c r="T566" s="14">
        <x:f>IF(L566="","",DATE(YEAR(L566),MONTH(L566),1))</x:f>
      </x:c>
    </x:row>
    <x:row r="567">
      <x:c r="A567" s="11" t="n"/>
      <x:c r="B567" s="5" t="n"/>
      <x:c r="C567" s="12" t="n"/>
      <x:c r="D567" s="12" t="n"/>
      <x:c r="E567" s="12" t="n"/>
      <x:c r="F567" s="12" t="n"/>
      <x:c r="G567" s="13">
        <x:f>IF(F567="","",IFERROR(VLOOKUP(F567,Master_Data!$E$24:$G$33,2,FALSE),"9999"))</x:f>
      </x:c>
      <x:c r="H567" s="12" t="n"/>
      <x:c r="I567" s="12" t="n"/>
      <x:c r="J567" s="12" t="n"/>
      <x:c r="K567" s="12" t="n"/>
      <x:c r="L567" s="11" t="n"/>
      <x:c r="M567" s="9" t="n"/>
      <x:c r="N567" s="12" t="n"/>
      <x:c r="O567" s="6">
        <x:f>IF(N567="","",IFERROR(VLOOKUP(N567,Master_Data!$A$5:$C$8,3,FALSE),0))</x:f>
      </x:c>
      <x:c r="P567" s="7">
        <x:f>IF(M567="","",M567*O567)</x:f>
      </x:c>
      <x:c r="Q567" s="7">
        <x:f>IF(M567="","",M567+P567)</x:f>
      </x:c>
      <x:c r="R567" s="7">
        <x:f>IF(K567&lt;&gt;"Paid",0,IF(C567="Income",Q567,-Q567))</x:f>
      </x:c>
      <x:c r="S567" s="14">
        <x:f>IF(A567="","",DATE(YEAR(A567),MONTH(A567),1))</x:f>
      </x:c>
      <x:c r="T567" s="14">
        <x:f>IF(L567="","",DATE(YEAR(L567),MONTH(L567),1))</x:f>
      </x:c>
    </x:row>
    <x:row r="568">
      <x:c r="A568" s="11" t="n"/>
      <x:c r="B568" s="5" t="n"/>
      <x:c r="C568" s="12" t="n"/>
      <x:c r="D568" s="12" t="n"/>
      <x:c r="E568" s="12" t="n"/>
      <x:c r="F568" s="12" t="n"/>
      <x:c r="G568" s="13">
        <x:f>IF(F568="","",IFERROR(VLOOKUP(F568,Master_Data!$E$24:$G$33,2,FALSE),"9999"))</x:f>
      </x:c>
      <x:c r="H568" s="12" t="n"/>
      <x:c r="I568" s="12" t="n"/>
      <x:c r="J568" s="12" t="n"/>
      <x:c r="K568" s="12" t="n"/>
      <x:c r="L568" s="11" t="n"/>
      <x:c r="M568" s="9" t="n"/>
      <x:c r="N568" s="12" t="n"/>
      <x:c r="O568" s="6">
        <x:f>IF(N568="","",IFERROR(VLOOKUP(N568,Master_Data!$A$5:$C$8,3,FALSE),0))</x:f>
      </x:c>
      <x:c r="P568" s="7">
        <x:f>IF(M568="","",M568*O568)</x:f>
      </x:c>
      <x:c r="Q568" s="7">
        <x:f>IF(M568="","",M568+P568)</x:f>
      </x:c>
      <x:c r="R568" s="7">
        <x:f>IF(K568&lt;&gt;"Paid",0,IF(C568="Income",Q568,-Q568))</x:f>
      </x:c>
      <x:c r="S568" s="14">
        <x:f>IF(A568="","",DATE(YEAR(A568),MONTH(A568),1))</x:f>
      </x:c>
      <x:c r="T568" s="14">
        <x:f>IF(L568="","",DATE(YEAR(L568),MONTH(L568),1))</x:f>
      </x:c>
    </x:row>
    <x:row r="569">
      <x:c r="A569" s="11" t="n"/>
      <x:c r="B569" s="5" t="n"/>
      <x:c r="C569" s="12" t="n"/>
      <x:c r="D569" s="12" t="n"/>
      <x:c r="E569" s="12" t="n"/>
      <x:c r="F569" s="12" t="n"/>
      <x:c r="G569" s="13">
        <x:f>IF(F569="","",IFERROR(VLOOKUP(F569,Master_Data!$E$24:$G$33,2,FALSE),"9999"))</x:f>
      </x:c>
      <x:c r="H569" s="12" t="n"/>
      <x:c r="I569" s="12" t="n"/>
      <x:c r="J569" s="12" t="n"/>
      <x:c r="K569" s="12" t="n"/>
      <x:c r="L569" s="11" t="n"/>
      <x:c r="M569" s="9" t="n"/>
      <x:c r="N569" s="12" t="n"/>
      <x:c r="O569" s="6">
        <x:f>IF(N569="","",IFERROR(VLOOKUP(N569,Master_Data!$A$5:$C$8,3,FALSE),0))</x:f>
      </x:c>
      <x:c r="P569" s="7">
        <x:f>IF(M569="","",M569*O569)</x:f>
      </x:c>
      <x:c r="Q569" s="7">
        <x:f>IF(M569="","",M569+P569)</x:f>
      </x:c>
      <x:c r="R569" s="7">
        <x:f>IF(K569&lt;&gt;"Paid",0,IF(C569="Income",Q569,-Q569))</x:f>
      </x:c>
      <x:c r="S569" s="14">
        <x:f>IF(A569="","",DATE(YEAR(A569),MONTH(A569),1))</x:f>
      </x:c>
      <x:c r="T569" s="14">
        <x:f>IF(L569="","",DATE(YEAR(L569),MONTH(L569),1))</x:f>
      </x:c>
    </x:row>
    <x:row r="570">
      <x:c r="A570" s="11" t="n"/>
      <x:c r="B570" s="5" t="n"/>
      <x:c r="C570" s="12" t="n"/>
      <x:c r="D570" s="12" t="n"/>
      <x:c r="E570" s="12" t="n"/>
      <x:c r="F570" s="12" t="n"/>
      <x:c r="G570" s="13">
        <x:f>IF(F570="","",IFERROR(VLOOKUP(F570,Master_Data!$E$24:$G$33,2,FALSE),"9999"))</x:f>
      </x:c>
      <x:c r="H570" s="12" t="n"/>
      <x:c r="I570" s="12" t="n"/>
      <x:c r="J570" s="12" t="n"/>
      <x:c r="K570" s="12" t="n"/>
      <x:c r="L570" s="11" t="n"/>
      <x:c r="M570" s="9" t="n"/>
      <x:c r="N570" s="12" t="n"/>
      <x:c r="O570" s="6">
        <x:f>IF(N570="","",IFERROR(VLOOKUP(N570,Master_Data!$A$5:$C$8,3,FALSE),0))</x:f>
      </x:c>
      <x:c r="P570" s="7">
        <x:f>IF(M570="","",M570*O570)</x:f>
      </x:c>
      <x:c r="Q570" s="7">
        <x:f>IF(M570="","",M570+P570)</x:f>
      </x:c>
      <x:c r="R570" s="7">
        <x:f>IF(K570&lt;&gt;"Paid",0,IF(C570="Income",Q570,-Q570))</x:f>
      </x:c>
      <x:c r="S570" s="14">
        <x:f>IF(A570="","",DATE(YEAR(A570),MONTH(A570),1))</x:f>
      </x:c>
      <x:c r="T570" s="14">
        <x:f>IF(L570="","",DATE(YEAR(L570),MONTH(L570),1))</x:f>
      </x:c>
    </x:row>
    <x:row r="571">
      <x:c r="A571" s="11" t="n"/>
      <x:c r="B571" s="5" t="n"/>
      <x:c r="C571" s="12" t="n"/>
      <x:c r="D571" s="12" t="n"/>
      <x:c r="E571" s="12" t="n"/>
      <x:c r="F571" s="12" t="n"/>
      <x:c r="G571" s="13">
        <x:f>IF(F571="","",IFERROR(VLOOKUP(F571,Master_Data!$E$24:$G$33,2,FALSE),"9999"))</x:f>
      </x:c>
      <x:c r="H571" s="12" t="n"/>
      <x:c r="I571" s="12" t="n"/>
      <x:c r="J571" s="12" t="n"/>
      <x:c r="K571" s="12" t="n"/>
      <x:c r="L571" s="11" t="n"/>
      <x:c r="M571" s="9" t="n"/>
      <x:c r="N571" s="12" t="n"/>
      <x:c r="O571" s="6">
        <x:f>IF(N571="","",IFERROR(VLOOKUP(N571,Master_Data!$A$5:$C$8,3,FALSE),0))</x:f>
      </x:c>
      <x:c r="P571" s="7">
        <x:f>IF(M571="","",M571*O571)</x:f>
      </x:c>
      <x:c r="Q571" s="7">
        <x:f>IF(M571="","",M571+P571)</x:f>
      </x:c>
      <x:c r="R571" s="7">
        <x:f>IF(K571&lt;&gt;"Paid",0,IF(C571="Income",Q571,-Q571))</x:f>
      </x:c>
      <x:c r="S571" s="14">
        <x:f>IF(A571="","",DATE(YEAR(A571),MONTH(A571),1))</x:f>
      </x:c>
      <x:c r="T571" s="14">
        <x:f>IF(L571="","",DATE(YEAR(L571),MONTH(L571),1))</x:f>
      </x:c>
    </x:row>
    <x:row r="572">
      <x:c r="A572" s="11" t="n"/>
      <x:c r="B572" s="5" t="n"/>
      <x:c r="C572" s="12" t="n"/>
      <x:c r="D572" s="12" t="n"/>
      <x:c r="E572" s="12" t="n"/>
      <x:c r="F572" s="12" t="n"/>
      <x:c r="G572" s="13">
        <x:f>IF(F572="","",IFERROR(VLOOKUP(F572,Master_Data!$E$24:$G$33,2,FALSE),"9999"))</x:f>
      </x:c>
      <x:c r="H572" s="12" t="n"/>
      <x:c r="I572" s="12" t="n"/>
      <x:c r="J572" s="12" t="n"/>
      <x:c r="K572" s="12" t="n"/>
      <x:c r="L572" s="11" t="n"/>
      <x:c r="M572" s="9" t="n"/>
      <x:c r="N572" s="12" t="n"/>
      <x:c r="O572" s="6">
        <x:f>IF(N572="","",IFERROR(VLOOKUP(N572,Master_Data!$A$5:$C$8,3,FALSE),0))</x:f>
      </x:c>
      <x:c r="P572" s="7">
        <x:f>IF(M572="","",M572*O572)</x:f>
      </x:c>
      <x:c r="Q572" s="7">
        <x:f>IF(M572="","",M572+P572)</x:f>
      </x:c>
      <x:c r="R572" s="7">
        <x:f>IF(K572&lt;&gt;"Paid",0,IF(C572="Income",Q572,-Q572))</x:f>
      </x:c>
      <x:c r="S572" s="14">
        <x:f>IF(A572="","",DATE(YEAR(A572),MONTH(A572),1))</x:f>
      </x:c>
      <x:c r="T572" s="14">
        <x:f>IF(L572="","",DATE(YEAR(L572),MONTH(L572),1))</x:f>
      </x:c>
    </x:row>
    <x:row r="573">
      <x:c r="A573" s="11" t="n"/>
      <x:c r="B573" s="5" t="n"/>
      <x:c r="C573" s="12" t="n"/>
      <x:c r="D573" s="12" t="n"/>
      <x:c r="E573" s="12" t="n"/>
      <x:c r="F573" s="12" t="n"/>
      <x:c r="G573" s="13">
        <x:f>IF(F573="","",IFERROR(VLOOKUP(F573,Master_Data!$E$24:$G$33,2,FALSE),"9999"))</x:f>
      </x:c>
      <x:c r="H573" s="12" t="n"/>
      <x:c r="I573" s="12" t="n"/>
      <x:c r="J573" s="12" t="n"/>
      <x:c r="K573" s="12" t="n"/>
      <x:c r="L573" s="11" t="n"/>
      <x:c r="M573" s="9" t="n"/>
      <x:c r="N573" s="12" t="n"/>
      <x:c r="O573" s="6">
        <x:f>IF(N573="","",IFERROR(VLOOKUP(N573,Master_Data!$A$5:$C$8,3,FALSE),0))</x:f>
      </x:c>
      <x:c r="P573" s="7">
        <x:f>IF(M573="","",M573*O573)</x:f>
      </x:c>
      <x:c r="Q573" s="7">
        <x:f>IF(M573="","",M573+P573)</x:f>
      </x:c>
      <x:c r="R573" s="7">
        <x:f>IF(K573&lt;&gt;"Paid",0,IF(C573="Income",Q573,-Q573))</x:f>
      </x:c>
      <x:c r="S573" s="14">
        <x:f>IF(A573="","",DATE(YEAR(A573),MONTH(A573),1))</x:f>
      </x:c>
      <x:c r="T573" s="14">
        <x:f>IF(L573="","",DATE(YEAR(L573),MONTH(L573),1))</x:f>
      </x:c>
    </x:row>
    <x:row r="574">
      <x:c r="A574" s="11" t="n"/>
      <x:c r="B574" s="5" t="n"/>
      <x:c r="C574" s="12" t="n"/>
      <x:c r="D574" s="12" t="n"/>
      <x:c r="E574" s="12" t="n"/>
      <x:c r="F574" s="12" t="n"/>
      <x:c r="G574" s="13">
        <x:f>IF(F574="","",IFERROR(VLOOKUP(F574,Master_Data!$E$24:$G$33,2,FALSE),"9999"))</x:f>
      </x:c>
      <x:c r="H574" s="12" t="n"/>
      <x:c r="I574" s="12" t="n"/>
      <x:c r="J574" s="12" t="n"/>
      <x:c r="K574" s="12" t="n"/>
      <x:c r="L574" s="11" t="n"/>
      <x:c r="M574" s="9" t="n"/>
      <x:c r="N574" s="12" t="n"/>
      <x:c r="O574" s="6">
        <x:f>IF(N574="","",IFERROR(VLOOKUP(N574,Master_Data!$A$5:$C$8,3,FALSE),0))</x:f>
      </x:c>
      <x:c r="P574" s="7">
        <x:f>IF(M574="","",M574*O574)</x:f>
      </x:c>
      <x:c r="Q574" s="7">
        <x:f>IF(M574="","",M574+P574)</x:f>
      </x:c>
      <x:c r="R574" s="7">
        <x:f>IF(K574&lt;&gt;"Paid",0,IF(C574="Income",Q574,-Q574))</x:f>
      </x:c>
      <x:c r="S574" s="14">
        <x:f>IF(A574="","",DATE(YEAR(A574),MONTH(A574),1))</x:f>
      </x:c>
      <x:c r="T574" s="14">
        <x:f>IF(L574="","",DATE(YEAR(L574),MONTH(L574),1))</x:f>
      </x:c>
    </x:row>
    <x:row r="575">
      <x:c r="A575" s="11" t="n"/>
      <x:c r="B575" s="5" t="n"/>
      <x:c r="C575" s="12" t="n"/>
      <x:c r="D575" s="12" t="n"/>
      <x:c r="E575" s="12" t="n"/>
      <x:c r="F575" s="12" t="n"/>
      <x:c r="G575" s="13">
        <x:f>IF(F575="","",IFERROR(VLOOKUP(F575,Master_Data!$E$24:$G$33,2,FALSE),"9999"))</x:f>
      </x:c>
      <x:c r="H575" s="12" t="n"/>
      <x:c r="I575" s="12" t="n"/>
      <x:c r="J575" s="12" t="n"/>
      <x:c r="K575" s="12" t="n"/>
      <x:c r="L575" s="11" t="n"/>
      <x:c r="M575" s="9" t="n"/>
      <x:c r="N575" s="12" t="n"/>
      <x:c r="O575" s="6">
        <x:f>IF(N575="","",IFERROR(VLOOKUP(N575,Master_Data!$A$5:$C$8,3,FALSE),0))</x:f>
      </x:c>
      <x:c r="P575" s="7">
        <x:f>IF(M575="","",M575*O575)</x:f>
      </x:c>
      <x:c r="Q575" s="7">
        <x:f>IF(M575="","",M575+P575)</x:f>
      </x:c>
      <x:c r="R575" s="7">
        <x:f>IF(K575&lt;&gt;"Paid",0,IF(C575="Income",Q575,-Q575))</x:f>
      </x:c>
      <x:c r="S575" s="14">
        <x:f>IF(A575="","",DATE(YEAR(A575),MONTH(A575),1))</x:f>
      </x:c>
      <x:c r="T575" s="14">
        <x:f>IF(L575="","",DATE(YEAR(L575),MONTH(L575),1))</x:f>
      </x:c>
    </x:row>
    <x:row r="576">
      <x:c r="A576" s="11" t="n"/>
      <x:c r="B576" s="5" t="n"/>
      <x:c r="C576" s="12" t="n"/>
      <x:c r="D576" s="12" t="n"/>
      <x:c r="E576" s="12" t="n"/>
      <x:c r="F576" s="12" t="n"/>
      <x:c r="G576" s="13">
        <x:f>IF(F576="","",IFERROR(VLOOKUP(F576,Master_Data!$E$24:$G$33,2,FALSE),"9999"))</x:f>
      </x:c>
      <x:c r="H576" s="12" t="n"/>
      <x:c r="I576" s="12" t="n"/>
      <x:c r="J576" s="12" t="n"/>
      <x:c r="K576" s="12" t="n"/>
      <x:c r="L576" s="11" t="n"/>
      <x:c r="M576" s="9" t="n"/>
      <x:c r="N576" s="12" t="n"/>
      <x:c r="O576" s="6">
        <x:f>IF(N576="","",IFERROR(VLOOKUP(N576,Master_Data!$A$5:$C$8,3,FALSE),0))</x:f>
      </x:c>
      <x:c r="P576" s="7">
        <x:f>IF(M576="","",M576*O576)</x:f>
      </x:c>
      <x:c r="Q576" s="7">
        <x:f>IF(M576="","",M576+P576)</x:f>
      </x:c>
      <x:c r="R576" s="7">
        <x:f>IF(K576&lt;&gt;"Paid",0,IF(C576="Income",Q576,-Q576))</x:f>
      </x:c>
      <x:c r="S576" s="14">
        <x:f>IF(A576="","",DATE(YEAR(A576),MONTH(A576),1))</x:f>
      </x:c>
      <x:c r="T576" s="14">
        <x:f>IF(L576="","",DATE(YEAR(L576),MONTH(L576),1))</x:f>
      </x:c>
    </x:row>
    <x:row r="577">
      <x:c r="A577" s="11" t="n"/>
      <x:c r="B577" s="5" t="n"/>
      <x:c r="C577" s="12" t="n"/>
      <x:c r="D577" s="12" t="n"/>
      <x:c r="E577" s="12" t="n"/>
      <x:c r="F577" s="12" t="n"/>
      <x:c r="G577" s="13">
        <x:f>IF(F577="","",IFERROR(VLOOKUP(F577,Master_Data!$E$24:$G$33,2,FALSE),"9999"))</x:f>
      </x:c>
      <x:c r="H577" s="12" t="n"/>
      <x:c r="I577" s="12" t="n"/>
      <x:c r="J577" s="12" t="n"/>
      <x:c r="K577" s="12" t="n"/>
      <x:c r="L577" s="11" t="n"/>
      <x:c r="M577" s="9" t="n"/>
      <x:c r="N577" s="12" t="n"/>
      <x:c r="O577" s="6">
        <x:f>IF(N577="","",IFERROR(VLOOKUP(N577,Master_Data!$A$5:$C$8,3,FALSE),0))</x:f>
      </x:c>
      <x:c r="P577" s="7">
        <x:f>IF(M577="","",M577*O577)</x:f>
      </x:c>
      <x:c r="Q577" s="7">
        <x:f>IF(M577="","",M577+P577)</x:f>
      </x:c>
      <x:c r="R577" s="7">
        <x:f>IF(K577&lt;&gt;"Paid",0,IF(C577="Income",Q577,-Q577))</x:f>
      </x:c>
      <x:c r="S577" s="14">
        <x:f>IF(A577="","",DATE(YEAR(A577),MONTH(A577),1))</x:f>
      </x:c>
      <x:c r="T577" s="14">
        <x:f>IF(L577="","",DATE(YEAR(L577),MONTH(L577),1))</x:f>
      </x:c>
    </x:row>
    <x:row r="578">
      <x:c r="A578" s="11" t="n"/>
      <x:c r="B578" s="5" t="n"/>
      <x:c r="C578" s="12" t="n"/>
      <x:c r="D578" s="12" t="n"/>
      <x:c r="E578" s="12" t="n"/>
      <x:c r="F578" s="12" t="n"/>
      <x:c r="G578" s="13">
        <x:f>IF(F578="","",IFERROR(VLOOKUP(F578,Master_Data!$E$24:$G$33,2,FALSE),"9999"))</x:f>
      </x:c>
      <x:c r="H578" s="12" t="n"/>
      <x:c r="I578" s="12" t="n"/>
      <x:c r="J578" s="12" t="n"/>
      <x:c r="K578" s="12" t="n"/>
      <x:c r="L578" s="11" t="n"/>
      <x:c r="M578" s="9" t="n"/>
      <x:c r="N578" s="12" t="n"/>
      <x:c r="O578" s="6">
        <x:f>IF(N578="","",IFERROR(VLOOKUP(N578,Master_Data!$A$5:$C$8,3,FALSE),0))</x:f>
      </x:c>
      <x:c r="P578" s="7">
        <x:f>IF(M578="","",M578*O578)</x:f>
      </x:c>
      <x:c r="Q578" s="7">
        <x:f>IF(M578="","",M578+P578)</x:f>
      </x:c>
      <x:c r="R578" s="7">
        <x:f>IF(K578&lt;&gt;"Paid",0,IF(C578="Income",Q578,-Q578))</x:f>
      </x:c>
      <x:c r="S578" s="14">
        <x:f>IF(A578="","",DATE(YEAR(A578),MONTH(A578),1))</x:f>
      </x:c>
      <x:c r="T578" s="14">
        <x:f>IF(L578="","",DATE(YEAR(L578),MONTH(L578),1))</x:f>
      </x:c>
    </x:row>
    <x:row r="579">
      <x:c r="A579" s="11" t="n"/>
      <x:c r="B579" s="5" t="n"/>
      <x:c r="C579" s="12" t="n"/>
      <x:c r="D579" s="12" t="n"/>
      <x:c r="E579" s="12" t="n"/>
      <x:c r="F579" s="12" t="n"/>
      <x:c r="G579" s="13">
        <x:f>IF(F579="","",IFERROR(VLOOKUP(F579,Master_Data!$E$24:$G$33,2,FALSE),"9999"))</x:f>
      </x:c>
      <x:c r="H579" s="12" t="n"/>
      <x:c r="I579" s="12" t="n"/>
      <x:c r="J579" s="12" t="n"/>
      <x:c r="K579" s="12" t="n"/>
      <x:c r="L579" s="11" t="n"/>
      <x:c r="M579" s="9" t="n"/>
      <x:c r="N579" s="12" t="n"/>
      <x:c r="O579" s="6">
        <x:f>IF(N579="","",IFERROR(VLOOKUP(N579,Master_Data!$A$5:$C$8,3,FALSE),0))</x:f>
      </x:c>
      <x:c r="P579" s="7">
        <x:f>IF(M579="","",M579*O579)</x:f>
      </x:c>
      <x:c r="Q579" s="7">
        <x:f>IF(M579="","",M579+P579)</x:f>
      </x:c>
      <x:c r="R579" s="7">
        <x:f>IF(K579&lt;&gt;"Paid",0,IF(C579="Income",Q579,-Q579))</x:f>
      </x:c>
      <x:c r="S579" s="14">
        <x:f>IF(A579="","",DATE(YEAR(A579),MONTH(A579),1))</x:f>
      </x:c>
      <x:c r="T579" s="14">
        <x:f>IF(L579="","",DATE(YEAR(L579),MONTH(L579),1))</x:f>
      </x:c>
    </x:row>
    <x:row r="580">
      <x:c r="A580" s="11" t="n"/>
      <x:c r="B580" s="5" t="n"/>
      <x:c r="C580" s="12" t="n"/>
      <x:c r="D580" s="12" t="n"/>
      <x:c r="E580" s="12" t="n"/>
      <x:c r="F580" s="12" t="n"/>
      <x:c r="G580" s="13">
        <x:f>IF(F580="","",IFERROR(VLOOKUP(F580,Master_Data!$E$24:$G$33,2,FALSE),"9999"))</x:f>
      </x:c>
      <x:c r="H580" s="12" t="n"/>
      <x:c r="I580" s="12" t="n"/>
      <x:c r="J580" s="12" t="n"/>
      <x:c r="K580" s="12" t="n"/>
      <x:c r="L580" s="11" t="n"/>
      <x:c r="M580" s="9" t="n"/>
      <x:c r="N580" s="12" t="n"/>
      <x:c r="O580" s="6">
        <x:f>IF(N580="","",IFERROR(VLOOKUP(N580,Master_Data!$A$5:$C$8,3,FALSE),0))</x:f>
      </x:c>
      <x:c r="P580" s="7">
        <x:f>IF(M580="","",M580*O580)</x:f>
      </x:c>
      <x:c r="Q580" s="7">
        <x:f>IF(M580="","",M580+P580)</x:f>
      </x:c>
      <x:c r="R580" s="7">
        <x:f>IF(K580&lt;&gt;"Paid",0,IF(C580="Income",Q580,-Q580))</x:f>
      </x:c>
      <x:c r="S580" s="14">
        <x:f>IF(A580="","",DATE(YEAR(A580),MONTH(A580),1))</x:f>
      </x:c>
      <x:c r="T580" s="14">
        <x:f>IF(L580="","",DATE(YEAR(L580),MONTH(L580),1))</x:f>
      </x:c>
    </x:row>
    <x:row r="581">
      <x:c r="A581" s="11" t="n"/>
      <x:c r="B581" s="5" t="n"/>
      <x:c r="C581" s="12" t="n"/>
      <x:c r="D581" s="12" t="n"/>
      <x:c r="E581" s="12" t="n"/>
      <x:c r="F581" s="12" t="n"/>
      <x:c r="G581" s="13">
        <x:f>IF(F581="","",IFERROR(VLOOKUP(F581,Master_Data!$E$24:$G$33,2,FALSE),"9999"))</x:f>
      </x:c>
      <x:c r="H581" s="12" t="n"/>
      <x:c r="I581" s="12" t="n"/>
      <x:c r="J581" s="12" t="n"/>
      <x:c r="K581" s="12" t="n"/>
      <x:c r="L581" s="11" t="n"/>
      <x:c r="M581" s="9" t="n"/>
      <x:c r="N581" s="12" t="n"/>
      <x:c r="O581" s="6">
        <x:f>IF(N581="","",IFERROR(VLOOKUP(N581,Master_Data!$A$5:$C$8,3,FALSE),0))</x:f>
      </x:c>
      <x:c r="P581" s="7">
        <x:f>IF(M581="","",M581*O581)</x:f>
      </x:c>
      <x:c r="Q581" s="7">
        <x:f>IF(M581="","",M581+P581)</x:f>
      </x:c>
      <x:c r="R581" s="7">
        <x:f>IF(K581&lt;&gt;"Paid",0,IF(C581="Income",Q581,-Q581))</x:f>
      </x:c>
      <x:c r="S581" s="14">
        <x:f>IF(A581="","",DATE(YEAR(A581),MONTH(A581),1))</x:f>
      </x:c>
      <x:c r="T581" s="14">
        <x:f>IF(L581="","",DATE(YEAR(L581),MONTH(L581),1))</x:f>
      </x:c>
    </x:row>
    <x:row r="582">
      <x:c r="A582" s="11" t="n"/>
      <x:c r="B582" s="5" t="n"/>
      <x:c r="C582" s="12" t="n"/>
      <x:c r="D582" s="12" t="n"/>
      <x:c r="E582" s="12" t="n"/>
      <x:c r="F582" s="12" t="n"/>
      <x:c r="G582" s="13">
        <x:f>IF(F582="","",IFERROR(VLOOKUP(F582,Master_Data!$E$24:$G$33,2,FALSE),"9999"))</x:f>
      </x:c>
      <x:c r="H582" s="12" t="n"/>
      <x:c r="I582" s="12" t="n"/>
      <x:c r="J582" s="12" t="n"/>
      <x:c r="K582" s="12" t="n"/>
      <x:c r="L582" s="11" t="n"/>
      <x:c r="M582" s="9" t="n"/>
      <x:c r="N582" s="12" t="n"/>
      <x:c r="O582" s="6">
        <x:f>IF(N582="","",IFERROR(VLOOKUP(N582,Master_Data!$A$5:$C$8,3,FALSE),0))</x:f>
      </x:c>
      <x:c r="P582" s="7">
        <x:f>IF(M582="","",M582*O582)</x:f>
      </x:c>
      <x:c r="Q582" s="7">
        <x:f>IF(M582="","",M582+P582)</x:f>
      </x:c>
      <x:c r="R582" s="7">
        <x:f>IF(K582&lt;&gt;"Paid",0,IF(C582="Income",Q582,-Q582))</x:f>
      </x:c>
      <x:c r="S582" s="14">
        <x:f>IF(A582="","",DATE(YEAR(A582),MONTH(A582),1))</x:f>
      </x:c>
      <x:c r="T582" s="14">
        <x:f>IF(L582="","",DATE(YEAR(L582),MONTH(L582),1))</x:f>
      </x:c>
    </x:row>
    <x:row r="583">
      <x:c r="A583" s="11" t="n"/>
      <x:c r="B583" s="5" t="n"/>
      <x:c r="C583" s="12" t="n"/>
      <x:c r="D583" s="12" t="n"/>
      <x:c r="E583" s="12" t="n"/>
      <x:c r="F583" s="12" t="n"/>
      <x:c r="G583" s="13">
        <x:f>IF(F583="","",IFERROR(VLOOKUP(F583,Master_Data!$E$24:$G$33,2,FALSE),"9999"))</x:f>
      </x:c>
      <x:c r="H583" s="12" t="n"/>
      <x:c r="I583" s="12" t="n"/>
      <x:c r="J583" s="12" t="n"/>
      <x:c r="K583" s="12" t="n"/>
      <x:c r="L583" s="11" t="n"/>
      <x:c r="M583" s="9" t="n"/>
      <x:c r="N583" s="12" t="n"/>
      <x:c r="O583" s="6">
        <x:f>IF(N583="","",IFERROR(VLOOKUP(N583,Master_Data!$A$5:$C$8,3,FALSE),0))</x:f>
      </x:c>
      <x:c r="P583" s="7">
        <x:f>IF(M583="","",M583*O583)</x:f>
      </x:c>
      <x:c r="Q583" s="7">
        <x:f>IF(M583="","",M583+P583)</x:f>
      </x:c>
      <x:c r="R583" s="7">
        <x:f>IF(K583&lt;&gt;"Paid",0,IF(C583="Income",Q583,-Q583))</x:f>
      </x:c>
      <x:c r="S583" s="14">
        <x:f>IF(A583="","",DATE(YEAR(A583),MONTH(A583),1))</x:f>
      </x:c>
      <x:c r="T583" s="14">
        <x:f>IF(L583="","",DATE(YEAR(L583),MONTH(L583),1))</x:f>
      </x:c>
    </x:row>
    <x:row r="584">
      <x:c r="A584" s="11" t="n"/>
      <x:c r="B584" s="5" t="n"/>
      <x:c r="C584" s="12" t="n"/>
      <x:c r="D584" s="12" t="n"/>
      <x:c r="E584" s="12" t="n"/>
      <x:c r="F584" s="12" t="n"/>
      <x:c r="G584" s="13">
        <x:f>IF(F584="","",IFERROR(VLOOKUP(F584,Master_Data!$E$24:$G$33,2,FALSE),"9999"))</x:f>
      </x:c>
      <x:c r="H584" s="12" t="n"/>
      <x:c r="I584" s="12" t="n"/>
      <x:c r="J584" s="12" t="n"/>
      <x:c r="K584" s="12" t="n"/>
      <x:c r="L584" s="11" t="n"/>
      <x:c r="M584" s="9" t="n"/>
      <x:c r="N584" s="12" t="n"/>
      <x:c r="O584" s="6">
        <x:f>IF(N584="","",IFERROR(VLOOKUP(N584,Master_Data!$A$5:$C$8,3,FALSE),0))</x:f>
      </x:c>
      <x:c r="P584" s="7">
        <x:f>IF(M584="","",M584*O584)</x:f>
      </x:c>
      <x:c r="Q584" s="7">
        <x:f>IF(M584="","",M584+P584)</x:f>
      </x:c>
      <x:c r="R584" s="7">
        <x:f>IF(K584&lt;&gt;"Paid",0,IF(C584="Income",Q584,-Q584))</x:f>
      </x:c>
      <x:c r="S584" s="14">
        <x:f>IF(A584="","",DATE(YEAR(A584),MONTH(A584),1))</x:f>
      </x:c>
      <x:c r="T584" s="14">
        <x:f>IF(L584="","",DATE(YEAR(L584),MONTH(L584),1))</x:f>
      </x:c>
    </x:row>
    <x:row r="585">
      <x:c r="A585" s="11" t="n"/>
      <x:c r="B585" s="5" t="n"/>
      <x:c r="C585" s="12" t="n"/>
      <x:c r="D585" s="12" t="n"/>
      <x:c r="E585" s="12" t="n"/>
      <x:c r="F585" s="12" t="n"/>
      <x:c r="G585" s="13">
        <x:f>IF(F585="","",IFERROR(VLOOKUP(F585,Master_Data!$E$24:$G$33,2,FALSE),"9999"))</x:f>
      </x:c>
      <x:c r="H585" s="12" t="n"/>
      <x:c r="I585" s="12" t="n"/>
      <x:c r="J585" s="12" t="n"/>
      <x:c r="K585" s="12" t="n"/>
      <x:c r="L585" s="11" t="n"/>
      <x:c r="M585" s="9" t="n"/>
      <x:c r="N585" s="12" t="n"/>
      <x:c r="O585" s="6">
        <x:f>IF(N585="","",IFERROR(VLOOKUP(N585,Master_Data!$A$5:$C$8,3,FALSE),0))</x:f>
      </x:c>
      <x:c r="P585" s="7">
        <x:f>IF(M585="","",M585*O585)</x:f>
      </x:c>
      <x:c r="Q585" s="7">
        <x:f>IF(M585="","",M585+P585)</x:f>
      </x:c>
      <x:c r="R585" s="7">
        <x:f>IF(K585&lt;&gt;"Paid",0,IF(C585="Income",Q585,-Q585))</x:f>
      </x:c>
      <x:c r="S585" s="14">
        <x:f>IF(A585="","",DATE(YEAR(A585),MONTH(A585),1))</x:f>
      </x:c>
      <x:c r="T585" s="14">
        <x:f>IF(L585="","",DATE(YEAR(L585),MONTH(L585),1))</x:f>
      </x:c>
    </x:row>
    <x:row r="586">
      <x:c r="A586" s="11" t="n"/>
      <x:c r="B586" s="5" t="n"/>
      <x:c r="C586" s="12" t="n"/>
      <x:c r="D586" s="12" t="n"/>
      <x:c r="E586" s="12" t="n"/>
      <x:c r="F586" s="12" t="n"/>
      <x:c r="G586" s="13">
        <x:f>IF(F586="","",IFERROR(VLOOKUP(F586,Master_Data!$E$24:$G$33,2,FALSE),"9999"))</x:f>
      </x:c>
      <x:c r="H586" s="12" t="n"/>
      <x:c r="I586" s="12" t="n"/>
      <x:c r="J586" s="12" t="n"/>
      <x:c r="K586" s="12" t="n"/>
      <x:c r="L586" s="11" t="n"/>
      <x:c r="M586" s="9" t="n"/>
      <x:c r="N586" s="12" t="n"/>
      <x:c r="O586" s="6">
        <x:f>IF(N586="","",IFERROR(VLOOKUP(N586,Master_Data!$A$5:$C$8,3,FALSE),0))</x:f>
      </x:c>
      <x:c r="P586" s="7">
        <x:f>IF(M586="","",M586*O586)</x:f>
      </x:c>
      <x:c r="Q586" s="7">
        <x:f>IF(M586="","",M586+P586)</x:f>
      </x:c>
      <x:c r="R586" s="7">
        <x:f>IF(K586&lt;&gt;"Paid",0,IF(C586="Income",Q586,-Q586))</x:f>
      </x:c>
      <x:c r="S586" s="14">
        <x:f>IF(A586="","",DATE(YEAR(A586),MONTH(A586),1))</x:f>
      </x:c>
      <x:c r="T586" s="14">
        <x:f>IF(L586="","",DATE(YEAR(L586),MONTH(L586),1))</x:f>
      </x:c>
    </x:row>
    <x:row r="587">
      <x:c r="A587" s="11" t="n"/>
      <x:c r="B587" s="5" t="n"/>
      <x:c r="C587" s="12" t="n"/>
      <x:c r="D587" s="12" t="n"/>
      <x:c r="E587" s="12" t="n"/>
      <x:c r="F587" s="12" t="n"/>
      <x:c r="G587" s="13">
        <x:f>IF(F587="","",IFERROR(VLOOKUP(F587,Master_Data!$E$24:$G$33,2,FALSE),"9999"))</x:f>
      </x:c>
      <x:c r="H587" s="12" t="n"/>
      <x:c r="I587" s="12" t="n"/>
      <x:c r="J587" s="12" t="n"/>
      <x:c r="K587" s="12" t="n"/>
      <x:c r="L587" s="11" t="n"/>
      <x:c r="M587" s="9" t="n"/>
      <x:c r="N587" s="12" t="n"/>
      <x:c r="O587" s="6">
        <x:f>IF(N587="","",IFERROR(VLOOKUP(N587,Master_Data!$A$5:$C$8,3,FALSE),0))</x:f>
      </x:c>
      <x:c r="P587" s="7">
        <x:f>IF(M587="","",M587*O587)</x:f>
      </x:c>
      <x:c r="Q587" s="7">
        <x:f>IF(M587="","",M587+P587)</x:f>
      </x:c>
      <x:c r="R587" s="7">
        <x:f>IF(K587&lt;&gt;"Paid",0,IF(C587="Income",Q587,-Q587))</x:f>
      </x:c>
      <x:c r="S587" s="14">
        <x:f>IF(A587="","",DATE(YEAR(A587),MONTH(A587),1))</x:f>
      </x:c>
      <x:c r="T587" s="14">
        <x:f>IF(L587="","",DATE(YEAR(L587),MONTH(L587),1))</x:f>
      </x:c>
    </x:row>
    <x:row r="588">
      <x:c r="A588" s="11" t="n"/>
      <x:c r="B588" s="5" t="n"/>
      <x:c r="C588" s="12" t="n"/>
      <x:c r="D588" s="12" t="n"/>
      <x:c r="E588" s="12" t="n"/>
      <x:c r="F588" s="12" t="n"/>
      <x:c r="G588" s="13">
        <x:f>IF(F588="","",IFERROR(VLOOKUP(F588,Master_Data!$E$24:$G$33,2,FALSE),"9999"))</x:f>
      </x:c>
      <x:c r="H588" s="12" t="n"/>
      <x:c r="I588" s="12" t="n"/>
      <x:c r="J588" s="12" t="n"/>
      <x:c r="K588" s="12" t="n"/>
      <x:c r="L588" s="11" t="n"/>
      <x:c r="M588" s="9" t="n"/>
      <x:c r="N588" s="12" t="n"/>
      <x:c r="O588" s="6">
        <x:f>IF(N588="","",IFERROR(VLOOKUP(N588,Master_Data!$A$5:$C$8,3,FALSE),0))</x:f>
      </x:c>
      <x:c r="P588" s="7">
        <x:f>IF(M588="","",M588*O588)</x:f>
      </x:c>
      <x:c r="Q588" s="7">
        <x:f>IF(M588="","",M588+P588)</x:f>
      </x:c>
      <x:c r="R588" s="7">
        <x:f>IF(K588&lt;&gt;"Paid",0,IF(C588="Income",Q588,-Q588))</x:f>
      </x:c>
      <x:c r="S588" s="14">
        <x:f>IF(A588="","",DATE(YEAR(A588),MONTH(A588),1))</x:f>
      </x:c>
      <x:c r="T588" s="14">
        <x:f>IF(L588="","",DATE(YEAR(L588),MONTH(L588),1))</x:f>
      </x:c>
    </x:row>
    <x:row r="589">
      <x:c r="A589" s="11" t="n"/>
      <x:c r="B589" s="5" t="n"/>
      <x:c r="C589" s="12" t="n"/>
      <x:c r="D589" s="12" t="n"/>
      <x:c r="E589" s="12" t="n"/>
      <x:c r="F589" s="12" t="n"/>
      <x:c r="G589" s="13">
        <x:f>IF(F589="","",IFERROR(VLOOKUP(F589,Master_Data!$E$24:$G$33,2,FALSE),"9999"))</x:f>
      </x:c>
      <x:c r="H589" s="12" t="n"/>
      <x:c r="I589" s="12" t="n"/>
      <x:c r="J589" s="12" t="n"/>
      <x:c r="K589" s="12" t="n"/>
      <x:c r="L589" s="11" t="n"/>
      <x:c r="M589" s="9" t="n"/>
      <x:c r="N589" s="12" t="n"/>
      <x:c r="O589" s="6">
        <x:f>IF(N589="","",IFERROR(VLOOKUP(N589,Master_Data!$A$5:$C$8,3,FALSE),0))</x:f>
      </x:c>
      <x:c r="P589" s="7">
        <x:f>IF(M589="","",M589*O589)</x:f>
      </x:c>
      <x:c r="Q589" s="7">
        <x:f>IF(M589="","",M589+P589)</x:f>
      </x:c>
      <x:c r="R589" s="7">
        <x:f>IF(K589&lt;&gt;"Paid",0,IF(C589="Income",Q589,-Q589))</x:f>
      </x:c>
      <x:c r="S589" s="14">
        <x:f>IF(A589="","",DATE(YEAR(A589),MONTH(A589),1))</x:f>
      </x:c>
      <x:c r="T589" s="14">
        <x:f>IF(L589="","",DATE(YEAR(L589),MONTH(L589),1))</x:f>
      </x:c>
    </x:row>
    <x:row r="590">
      <x:c r="A590" s="11" t="n"/>
      <x:c r="B590" s="5" t="n"/>
      <x:c r="C590" s="12" t="n"/>
      <x:c r="D590" s="12" t="n"/>
      <x:c r="E590" s="12" t="n"/>
      <x:c r="F590" s="12" t="n"/>
      <x:c r="G590" s="13">
        <x:f>IF(F590="","",IFERROR(VLOOKUP(F590,Master_Data!$E$24:$G$33,2,FALSE),"9999"))</x:f>
      </x:c>
      <x:c r="H590" s="12" t="n"/>
      <x:c r="I590" s="12" t="n"/>
      <x:c r="J590" s="12" t="n"/>
      <x:c r="K590" s="12" t="n"/>
      <x:c r="L590" s="11" t="n"/>
      <x:c r="M590" s="9" t="n"/>
      <x:c r="N590" s="12" t="n"/>
      <x:c r="O590" s="6">
        <x:f>IF(N590="","",IFERROR(VLOOKUP(N590,Master_Data!$A$5:$C$8,3,FALSE),0))</x:f>
      </x:c>
      <x:c r="P590" s="7">
        <x:f>IF(M590="","",M590*O590)</x:f>
      </x:c>
      <x:c r="Q590" s="7">
        <x:f>IF(M590="","",M590+P590)</x:f>
      </x:c>
      <x:c r="R590" s="7">
        <x:f>IF(K590&lt;&gt;"Paid",0,IF(C590="Income",Q590,-Q590))</x:f>
      </x:c>
      <x:c r="S590" s="14">
        <x:f>IF(A590="","",DATE(YEAR(A590),MONTH(A590),1))</x:f>
      </x:c>
      <x:c r="T590" s="14">
        <x:f>IF(L590="","",DATE(YEAR(L590),MONTH(L590),1))</x:f>
      </x:c>
    </x:row>
    <x:row r="591">
      <x:c r="A591" s="11" t="n"/>
      <x:c r="B591" s="5" t="n"/>
      <x:c r="C591" s="12" t="n"/>
      <x:c r="D591" s="12" t="n"/>
      <x:c r="E591" s="12" t="n"/>
      <x:c r="F591" s="12" t="n"/>
      <x:c r="G591" s="13">
        <x:f>IF(F591="","",IFERROR(VLOOKUP(F591,Master_Data!$E$24:$G$33,2,FALSE),"9999"))</x:f>
      </x:c>
      <x:c r="H591" s="12" t="n"/>
      <x:c r="I591" s="12" t="n"/>
      <x:c r="J591" s="12" t="n"/>
      <x:c r="K591" s="12" t="n"/>
      <x:c r="L591" s="11" t="n"/>
      <x:c r="M591" s="9" t="n"/>
      <x:c r="N591" s="12" t="n"/>
      <x:c r="O591" s="6">
        <x:f>IF(N591="","",IFERROR(VLOOKUP(N591,Master_Data!$A$5:$C$8,3,FALSE),0))</x:f>
      </x:c>
      <x:c r="P591" s="7">
        <x:f>IF(M591="","",M591*O591)</x:f>
      </x:c>
      <x:c r="Q591" s="7">
        <x:f>IF(M591="","",M591+P591)</x:f>
      </x:c>
      <x:c r="R591" s="7">
        <x:f>IF(K591&lt;&gt;"Paid",0,IF(C591="Income",Q591,-Q591))</x:f>
      </x:c>
      <x:c r="S591" s="14">
        <x:f>IF(A591="","",DATE(YEAR(A591),MONTH(A591),1))</x:f>
      </x:c>
      <x:c r="T591" s="14">
        <x:f>IF(L591="","",DATE(YEAR(L591),MONTH(L591),1))</x:f>
      </x:c>
    </x:row>
    <x:row r="592">
      <x:c r="A592" s="11" t="n"/>
      <x:c r="B592" s="5" t="n"/>
      <x:c r="C592" s="12" t="n"/>
      <x:c r="D592" s="12" t="n"/>
      <x:c r="E592" s="12" t="n"/>
      <x:c r="F592" s="12" t="n"/>
      <x:c r="G592" s="13">
        <x:f>IF(F592="","",IFERROR(VLOOKUP(F592,Master_Data!$E$24:$G$33,2,FALSE),"9999"))</x:f>
      </x:c>
      <x:c r="H592" s="12" t="n"/>
      <x:c r="I592" s="12" t="n"/>
      <x:c r="J592" s="12" t="n"/>
      <x:c r="K592" s="12" t="n"/>
      <x:c r="L592" s="11" t="n"/>
      <x:c r="M592" s="9" t="n"/>
      <x:c r="N592" s="12" t="n"/>
      <x:c r="O592" s="6">
        <x:f>IF(N592="","",IFERROR(VLOOKUP(N592,Master_Data!$A$5:$C$8,3,FALSE),0))</x:f>
      </x:c>
      <x:c r="P592" s="7">
        <x:f>IF(M592="","",M592*O592)</x:f>
      </x:c>
      <x:c r="Q592" s="7">
        <x:f>IF(M592="","",M592+P592)</x:f>
      </x:c>
      <x:c r="R592" s="7">
        <x:f>IF(K592&lt;&gt;"Paid",0,IF(C592="Income",Q592,-Q592))</x:f>
      </x:c>
      <x:c r="S592" s="14">
        <x:f>IF(A592="","",DATE(YEAR(A592),MONTH(A592),1))</x:f>
      </x:c>
      <x:c r="T592" s="14">
        <x:f>IF(L592="","",DATE(YEAR(L592),MONTH(L592),1))</x:f>
      </x:c>
    </x:row>
    <x:row r="593">
      <x:c r="A593" s="11" t="n"/>
      <x:c r="B593" s="5" t="n"/>
      <x:c r="C593" s="12" t="n"/>
      <x:c r="D593" s="12" t="n"/>
      <x:c r="E593" s="12" t="n"/>
      <x:c r="F593" s="12" t="n"/>
      <x:c r="G593" s="13">
        <x:f>IF(F593="","",IFERROR(VLOOKUP(F593,Master_Data!$E$24:$G$33,2,FALSE),"9999"))</x:f>
      </x:c>
      <x:c r="H593" s="12" t="n"/>
      <x:c r="I593" s="12" t="n"/>
      <x:c r="J593" s="12" t="n"/>
      <x:c r="K593" s="12" t="n"/>
      <x:c r="L593" s="11" t="n"/>
      <x:c r="M593" s="9" t="n"/>
      <x:c r="N593" s="12" t="n"/>
      <x:c r="O593" s="6">
        <x:f>IF(N593="","",IFERROR(VLOOKUP(N593,Master_Data!$A$5:$C$8,3,FALSE),0))</x:f>
      </x:c>
      <x:c r="P593" s="7">
        <x:f>IF(M593="","",M593*O593)</x:f>
      </x:c>
      <x:c r="Q593" s="7">
        <x:f>IF(M593="","",M593+P593)</x:f>
      </x:c>
      <x:c r="R593" s="7">
        <x:f>IF(K593&lt;&gt;"Paid",0,IF(C593="Income",Q593,-Q593))</x:f>
      </x:c>
      <x:c r="S593" s="14">
        <x:f>IF(A593="","",DATE(YEAR(A593),MONTH(A593),1))</x:f>
      </x:c>
      <x:c r="T593" s="14">
        <x:f>IF(L593="","",DATE(YEAR(L593),MONTH(L593),1))</x:f>
      </x:c>
    </x:row>
    <x:row r="594">
      <x:c r="A594" s="11" t="n"/>
      <x:c r="B594" s="5" t="n"/>
      <x:c r="C594" s="12" t="n"/>
      <x:c r="D594" s="12" t="n"/>
      <x:c r="E594" s="12" t="n"/>
      <x:c r="F594" s="12" t="n"/>
      <x:c r="G594" s="13">
        <x:f>IF(F594="","",IFERROR(VLOOKUP(F594,Master_Data!$E$24:$G$33,2,FALSE),"9999"))</x:f>
      </x:c>
      <x:c r="H594" s="12" t="n"/>
      <x:c r="I594" s="12" t="n"/>
      <x:c r="J594" s="12" t="n"/>
      <x:c r="K594" s="12" t="n"/>
      <x:c r="L594" s="11" t="n"/>
      <x:c r="M594" s="9" t="n"/>
      <x:c r="N594" s="12" t="n"/>
      <x:c r="O594" s="6">
        <x:f>IF(N594="","",IFERROR(VLOOKUP(N594,Master_Data!$A$5:$C$8,3,FALSE),0))</x:f>
      </x:c>
      <x:c r="P594" s="7">
        <x:f>IF(M594="","",M594*O594)</x:f>
      </x:c>
      <x:c r="Q594" s="7">
        <x:f>IF(M594="","",M594+P594)</x:f>
      </x:c>
      <x:c r="R594" s="7">
        <x:f>IF(K594&lt;&gt;"Paid",0,IF(C594="Income",Q594,-Q594))</x:f>
      </x:c>
      <x:c r="S594" s="14">
        <x:f>IF(A594="","",DATE(YEAR(A594),MONTH(A594),1))</x:f>
      </x:c>
      <x:c r="T594" s="14">
        <x:f>IF(L594="","",DATE(YEAR(L594),MONTH(L594),1))</x:f>
      </x:c>
    </x:row>
    <x:row r="595">
      <x:c r="A595" s="11" t="n"/>
      <x:c r="B595" s="5" t="n"/>
      <x:c r="C595" s="12" t="n"/>
      <x:c r="D595" s="12" t="n"/>
      <x:c r="E595" s="12" t="n"/>
      <x:c r="F595" s="12" t="n"/>
      <x:c r="G595" s="13">
        <x:f>IF(F595="","",IFERROR(VLOOKUP(F595,Master_Data!$E$24:$G$33,2,FALSE),"9999"))</x:f>
      </x:c>
      <x:c r="H595" s="12" t="n"/>
      <x:c r="I595" s="12" t="n"/>
      <x:c r="J595" s="12" t="n"/>
      <x:c r="K595" s="12" t="n"/>
      <x:c r="L595" s="11" t="n"/>
      <x:c r="M595" s="9" t="n"/>
      <x:c r="N595" s="12" t="n"/>
      <x:c r="O595" s="6">
        <x:f>IF(N595="","",IFERROR(VLOOKUP(N595,Master_Data!$A$5:$C$8,3,FALSE),0))</x:f>
      </x:c>
      <x:c r="P595" s="7">
        <x:f>IF(M595="","",M595*O595)</x:f>
      </x:c>
      <x:c r="Q595" s="7">
        <x:f>IF(M595="","",M595+P595)</x:f>
      </x:c>
      <x:c r="R595" s="7">
        <x:f>IF(K595&lt;&gt;"Paid",0,IF(C595="Income",Q595,-Q595))</x:f>
      </x:c>
      <x:c r="S595" s="14">
        <x:f>IF(A595="","",DATE(YEAR(A595),MONTH(A595),1))</x:f>
      </x:c>
      <x:c r="T595" s="14">
        <x:f>IF(L595="","",DATE(YEAR(L595),MONTH(L595),1))</x:f>
      </x:c>
    </x:row>
    <x:row r="596">
      <x:c r="A596" s="11" t="n"/>
      <x:c r="B596" s="5" t="n"/>
      <x:c r="C596" s="12" t="n"/>
      <x:c r="D596" s="12" t="n"/>
      <x:c r="E596" s="12" t="n"/>
      <x:c r="F596" s="12" t="n"/>
      <x:c r="G596" s="13">
        <x:f>IF(F596="","",IFERROR(VLOOKUP(F596,Master_Data!$E$24:$G$33,2,FALSE),"9999"))</x:f>
      </x:c>
      <x:c r="H596" s="12" t="n"/>
      <x:c r="I596" s="12" t="n"/>
      <x:c r="J596" s="12" t="n"/>
      <x:c r="K596" s="12" t="n"/>
      <x:c r="L596" s="11" t="n"/>
      <x:c r="M596" s="9" t="n"/>
      <x:c r="N596" s="12" t="n"/>
      <x:c r="O596" s="6">
        <x:f>IF(N596="","",IFERROR(VLOOKUP(N596,Master_Data!$A$5:$C$8,3,FALSE),0))</x:f>
      </x:c>
      <x:c r="P596" s="7">
        <x:f>IF(M596="","",M596*O596)</x:f>
      </x:c>
      <x:c r="Q596" s="7">
        <x:f>IF(M596="","",M596+P596)</x:f>
      </x:c>
      <x:c r="R596" s="7">
        <x:f>IF(K596&lt;&gt;"Paid",0,IF(C596="Income",Q596,-Q596))</x:f>
      </x:c>
      <x:c r="S596" s="14">
        <x:f>IF(A596="","",DATE(YEAR(A596),MONTH(A596),1))</x:f>
      </x:c>
      <x:c r="T596" s="14">
        <x:f>IF(L596="","",DATE(YEAR(L596),MONTH(L596),1))</x:f>
      </x:c>
    </x:row>
    <x:row r="597">
      <x:c r="A597" s="11" t="n"/>
      <x:c r="B597" s="5" t="n"/>
      <x:c r="C597" s="12" t="n"/>
      <x:c r="D597" s="12" t="n"/>
      <x:c r="E597" s="12" t="n"/>
      <x:c r="F597" s="12" t="n"/>
      <x:c r="G597" s="13">
        <x:f>IF(F597="","",IFERROR(VLOOKUP(F597,Master_Data!$E$24:$G$33,2,FALSE),"9999"))</x:f>
      </x:c>
      <x:c r="H597" s="12" t="n"/>
      <x:c r="I597" s="12" t="n"/>
      <x:c r="J597" s="12" t="n"/>
      <x:c r="K597" s="12" t="n"/>
      <x:c r="L597" s="11" t="n"/>
      <x:c r="M597" s="9" t="n"/>
      <x:c r="N597" s="12" t="n"/>
      <x:c r="O597" s="6">
        <x:f>IF(N597="","",IFERROR(VLOOKUP(N597,Master_Data!$A$5:$C$8,3,FALSE),0))</x:f>
      </x:c>
      <x:c r="P597" s="7">
        <x:f>IF(M597="","",M597*O597)</x:f>
      </x:c>
      <x:c r="Q597" s="7">
        <x:f>IF(M597="","",M597+P597)</x:f>
      </x:c>
      <x:c r="R597" s="7">
        <x:f>IF(K597&lt;&gt;"Paid",0,IF(C597="Income",Q597,-Q597))</x:f>
      </x:c>
      <x:c r="S597" s="14">
        <x:f>IF(A597="","",DATE(YEAR(A597),MONTH(A597),1))</x:f>
      </x:c>
      <x:c r="T597" s="14">
        <x:f>IF(L597="","",DATE(YEAR(L597),MONTH(L597),1))</x:f>
      </x:c>
    </x:row>
    <x:row r="598">
      <x:c r="A598" s="11" t="n"/>
      <x:c r="B598" s="5" t="n"/>
      <x:c r="C598" s="12" t="n"/>
      <x:c r="D598" s="12" t="n"/>
      <x:c r="E598" s="12" t="n"/>
      <x:c r="F598" s="12" t="n"/>
      <x:c r="G598" s="13">
        <x:f>IF(F598="","",IFERROR(VLOOKUP(F598,Master_Data!$E$24:$G$33,2,FALSE),"9999"))</x:f>
      </x:c>
      <x:c r="H598" s="12" t="n"/>
      <x:c r="I598" s="12" t="n"/>
      <x:c r="J598" s="12" t="n"/>
      <x:c r="K598" s="12" t="n"/>
      <x:c r="L598" s="11" t="n"/>
      <x:c r="M598" s="9" t="n"/>
      <x:c r="N598" s="12" t="n"/>
      <x:c r="O598" s="6">
        <x:f>IF(N598="","",IFERROR(VLOOKUP(N598,Master_Data!$A$5:$C$8,3,FALSE),0))</x:f>
      </x:c>
      <x:c r="P598" s="7">
        <x:f>IF(M598="","",M598*O598)</x:f>
      </x:c>
      <x:c r="Q598" s="7">
        <x:f>IF(M598="","",M598+P598)</x:f>
      </x:c>
      <x:c r="R598" s="7">
        <x:f>IF(K598&lt;&gt;"Paid",0,IF(C598="Income",Q598,-Q598))</x:f>
      </x:c>
      <x:c r="S598" s="14">
        <x:f>IF(A598="","",DATE(YEAR(A598),MONTH(A598),1))</x:f>
      </x:c>
      <x:c r="T598" s="14">
        <x:f>IF(L598="","",DATE(YEAR(L598),MONTH(L598),1))</x:f>
      </x:c>
    </x:row>
    <x:row r="599">
      <x:c r="A599" s="11" t="n"/>
      <x:c r="B599" s="5" t="n"/>
      <x:c r="C599" s="12" t="n"/>
      <x:c r="D599" s="12" t="n"/>
      <x:c r="E599" s="12" t="n"/>
      <x:c r="F599" s="12" t="n"/>
      <x:c r="G599" s="13">
        <x:f>IF(F599="","",IFERROR(VLOOKUP(F599,Master_Data!$E$24:$G$33,2,FALSE),"9999"))</x:f>
      </x:c>
      <x:c r="H599" s="12" t="n"/>
      <x:c r="I599" s="12" t="n"/>
      <x:c r="J599" s="12" t="n"/>
      <x:c r="K599" s="12" t="n"/>
      <x:c r="L599" s="11" t="n"/>
      <x:c r="M599" s="9" t="n"/>
      <x:c r="N599" s="12" t="n"/>
      <x:c r="O599" s="6">
        <x:f>IF(N599="","",IFERROR(VLOOKUP(N599,Master_Data!$A$5:$C$8,3,FALSE),0))</x:f>
      </x:c>
      <x:c r="P599" s="7">
        <x:f>IF(M599="","",M599*O599)</x:f>
      </x:c>
      <x:c r="Q599" s="7">
        <x:f>IF(M599="","",M599+P599)</x:f>
      </x:c>
      <x:c r="R599" s="7">
        <x:f>IF(K599&lt;&gt;"Paid",0,IF(C599="Income",Q599,-Q599))</x:f>
      </x:c>
      <x:c r="S599" s="14">
        <x:f>IF(A599="","",DATE(YEAR(A599),MONTH(A599),1))</x:f>
      </x:c>
      <x:c r="T599" s="14">
        <x:f>IF(L599="","",DATE(YEAR(L599),MONTH(L599),1))</x:f>
      </x:c>
    </x:row>
    <x:row r="600">
      <x:c r="A600" s="11" t="n"/>
      <x:c r="B600" s="5" t="n"/>
      <x:c r="C600" s="12" t="n"/>
      <x:c r="D600" s="12" t="n"/>
      <x:c r="E600" s="12" t="n"/>
      <x:c r="F600" s="12" t="n"/>
      <x:c r="G600" s="13">
        <x:f>IF(F600="","",IFERROR(VLOOKUP(F600,Master_Data!$E$24:$G$33,2,FALSE),"9999"))</x:f>
      </x:c>
      <x:c r="H600" s="12" t="n"/>
      <x:c r="I600" s="12" t="n"/>
      <x:c r="J600" s="12" t="n"/>
      <x:c r="K600" s="12" t="n"/>
      <x:c r="L600" s="11" t="n"/>
      <x:c r="M600" s="9" t="n"/>
      <x:c r="N600" s="12" t="n"/>
      <x:c r="O600" s="6">
        <x:f>IF(N600="","",IFERROR(VLOOKUP(N600,Master_Data!$A$5:$C$8,3,FALSE),0))</x:f>
      </x:c>
      <x:c r="P600" s="7">
        <x:f>IF(M600="","",M600*O600)</x:f>
      </x:c>
      <x:c r="Q600" s="7">
        <x:f>IF(M600="","",M600+P600)</x:f>
      </x:c>
      <x:c r="R600" s="7">
        <x:f>IF(K600&lt;&gt;"Paid",0,IF(C600="Income",Q600,-Q600))</x:f>
      </x:c>
      <x:c r="S600" s="14">
        <x:f>IF(A600="","",DATE(YEAR(A600),MONTH(A600),1))</x:f>
      </x:c>
      <x:c r="T600" s="14">
        <x:f>IF(L600="","",DATE(YEAR(L600),MONTH(L600),1))</x:f>
      </x:c>
    </x:row>
    <x:row r="601">
      <x:c r="A601" s="11" t="n"/>
      <x:c r="B601" s="5" t="n"/>
      <x:c r="C601" s="12" t="n"/>
      <x:c r="D601" s="12" t="n"/>
      <x:c r="E601" s="12" t="n"/>
      <x:c r="F601" s="12" t="n"/>
      <x:c r="G601" s="13">
        <x:f>IF(F601="","",IFERROR(VLOOKUP(F601,Master_Data!$E$24:$G$33,2,FALSE),"9999"))</x:f>
      </x:c>
      <x:c r="H601" s="12" t="n"/>
      <x:c r="I601" s="12" t="n"/>
      <x:c r="J601" s="12" t="n"/>
      <x:c r="K601" s="12" t="n"/>
      <x:c r="L601" s="11" t="n"/>
      <x:c r="M601" s="9" t="n"/>
      <x:c r="N601" s="12" t="n"/>
      <x:c r="O601" s="6">
        <x:f>IF(N601="","",IFERROR(VLOOKUP(N601,Master_Data!$A$5:$C$8,3,FALSE),0))</x:f>
      </x:c>
      <x:c r="P601" s="7">
        <x:f>IF(M601="","",M601*O601)</x:f>
      </x:c>
      <x:c r="Q601" s="7">
        <x:f>IF(M601="","",M601+P601)</x:f>
      </x:c>
      <x:c r="R601" s="7">
        <x:f>IF(K601&lt;&gt;"Paid",0,IF(C601="Income",Q601,-Q601))</x:f>
      </x:c>
      <x:c r="S601" s="14">
        <x:f>IF(A601="","",DATE(YEAR(A601),MONTH(A601),1))</x:f>
      </x:c>
      <x:c r="T601" s="14">
        <x:f>IF(L601="","",DATE(YEAR(L601),MONTH(L601),1))</x:f>
      </x:c>
    </x:row>
    <x:row r="602">
      <x:c r="A602" s="11" t="n"/>
      <x:c r="B602" s="5" t="n"/>
      <x:c r="C602" s="12" t="n"/>
      <x:c r="D602" s="12" t="n"/>
      <x:c r="E602" s="12" t="n"/>
      <x:c r="F602" s="12" t="n"/>
      <x:c r="G602" s="13">
        <x:f>IF(F602="","",IFERROR(VLOOKUP(F602,Master_Data!$E$24:$G$33,2,FALSE),"9999"))</x:f>
      </x:c>
      <x:c r="H602" s="12" t="n"/>
      <x:c r="I602" s="12" t="n"/>
      <x:c r="J602" s="12" t="n"/>
      <x:c r="K602" s="12" t="n"/>
      <x:c r="L602" s="11" t="n"/>
      <x:c r="M602" s="9" t="n"/>
      <x:c r="N602" s="12" t="n"/>
      <x:c r="O602" s="6">
        <x:f>IF(N602="","",IFERROR(VLOOKUP(N602,Master_Data!$A$5:$C$8,3,FALSE),0))</x:f>
      </x:c>
      <x:c r="P602" s="7">
        <x:f>IF(M602="","",M602*O602)</x:f>
      </x:c>
      <x:c r="Q602" s="7">
        <x:f>IF(M602="","",M602+P602)</x:f>
      </x:c>
      <x:c r="R602" s="7">
        <x:f>IF(K602&lt;&gt;"Paid",0,IF(C602="Income",Q602,-Q602))</x:f>
      </x:c>
      <x:c r="S602" s="14">
        <x:f>IF(A602="","",DATE(YEAR(A602),MONTH(A602),1))</x:f>
      </x:c>
      <x:c r="T602" s="14">
        <x:f>IF(L602="","",DATE(YEAR(L602),MONTH(L602),1))</x:f>
      </x:c>
    </x:row>
    <x:row r="603">
      <x:c r="A603" s="11" t="n"/>
      <x:c r="B603" s="5" t="n"/>
      <x:c r="C603" s="12" t="n"/>
      <x:c r="D603" s="12" t="n"/>
      <x:c r="E603" s="12" t="n"/>
      <x:c r="F603" s="12" t="n"/>
      <x:c r="G603" s="13">
        <x:f>IF(F603="","",IFERROR(VLOOKUP(F603,Master_Data!$E$24:$G$33,2,FALSE),"9999"))</x:f>
      </x:c>
      <x:c r="H603" s="12" t="n"/>
      <x:c r="I603" s="12" t="n"/>
      <x:c r="J603" s="12" t="n"/>
      <x:c r="K603" s="12" t="n"/>
      <x:c r="L603" s="11" t="n"/>
      <x:c r="M603" s="9" t="n"/>
      <x:c r="N603" s="12" t="n"/>
      <x:c r="O603" s="6">
        <x:f>IF(N603="","",IFERROR(VLOOKUP(N603,Master_Data!$A$5:$C$8,3,FALSE),0))</x:f>
      </x:c>
      <x:c r="P603" s="7">
        <x:f>IF(M603="","",M603*O603)</x:f>
      </x:c>
      <x:c r="Q603" s="7">
        <x:f>IF(M603="","",M603+P603)</x:f>
      </x:c>
      <x:c r="R603" s="7">
        <x:f>IF(K603&lt;&gt;"Paid",0,IF(C603="Income",Q603,-Q603))</x:f>
      </x:c>
      <x:c r="S603" s="14">
        <x:f>IF(A603="","",DATE(YEAR(A603),MONTH(A603),1))</x:f>
      </x:c>
      <x:c r="T603" s="14">
        <x:f>IF(L603="","",DATE(YEAR(L603),MONTH(L603),1))</x:f>
      </x:c>
    </x:row>
    <x:row r="604">
      <x:c r="A604" s="11" t="n"/>
      <x:c r="B604" s="5" t="n"/>
      <x:c r="C604" s="12" t="n"/>
      <x:c r="D604" s="12" t="n"/>
      <x:c r="E604" s="12" t="n"/>
      <x:c r="F604" s="12" t="n"/>
      <x:c r="G604" s="13">
        <x:f>IF(F604="","",IFERROR(VLOOKUP(F604,Master_Data!$E$24:$G$33,2,FALSE),"9999"))</x:f>
      </x:c>
      <x:c r="H604" s="12" t="n"/>
      <x:c r="I604" s="12" t="n"/>
      <x:c r="J604" s="12" t="n"/>
      <x:c r="K604" s="12" t="n"/>
      <x:c r="L604" s="11" t="n"/>
      <x:c r="M604" s="9" t="n"/>
      <x:c r="N604" s="12" t="n"/>
      <x:c r="O604" s="6">
        <x:f>IF(N604="","",IFERROR(VLOOKUP(N604,Master_Data!$A$5:$C$8,3,FALSE),0))</x:f>
      </x:c>
      <x:c r="P604" s="7">
        <x:f>IF(M604="","",M604*O604)</x:f>
      </x:c>
      <x:c r="Q604" s="7">
        <x:f>IF(M604="","",M604+P604)</x:f>
      </x:c>
      <x:c r="R604" s="7">
        <x:f>IF(K604&lt;&gt;"Paid",0,IF(C604="Income",Q604,-Q604))</x:f>
      </x:c>
      <x:c r="S604" s="14">
        <x:f>IF(A604="","",DATE(YEAR(A604),MONTH(A604),1))</x:f>
      </x:c>
      <x:c r="T604" s="14">
        <x:f>IF(L604="","",DATE(YEAR(L604),MONTH(L604),1))</x:f>
      </x:c>
    </x:row>
    <x:row r="605">
      <x:c r="A605" s="11" t="n"/>
      <x:c r="B605" s="5" t="n"/>
      <x:c r="C605" s="12" t="n"/>
      <x:c r="D605" s="12" t="n"/>
      <x:c r="E605" s="12" t="n"/>
      <x:c r="F605" s="12" t="n"/>
      <x:c r="G605" s="13">
        <x:f>IF(F605="","",IFERROR(VLOOKUP(F605,Master_Data!$E$24:$G$33,2,FALSE),"9999"))</x:f>
      </x:c>
      <x:c r="H605" s="12" t="n"/>
      <x:c r="I605" s="12" t="n"/>
      <x:c r="J605" s="12" t="n"/>
      <x:c r="K605" s="12" t="n"/>
      <x:c r="L605" s="11" t="n"/>
      <x:c r="M605" s="9" t="n"/>
      <x:c r="N605" s="12" t="n"/>
      <x:c r="O605" s="6">
        <x:f>IF(N605="","",IFERROR(VLOOKUP(N605,Master_Data!$A$5:$C$8,3,FALSE),0))</x:f>
      </x:c>
      <x:c r="P605" s="7">
        <x:f>IF(M605="","",M605*O605)</x:f>
      </x:c>
      <x:c r="Q605" s="7">
        <x:f>IF(M605="","",M605+P605)</x:f>
      </x:c>
      <x:c r="R605" s="7">
        <x:f>IF(K605&lt;&gt;"Paid",0,IF(C605="Income",Q605,-Q605))</x:f>
      </x:c>
      <x:c r="S605" s="14">
        <x:f>IF(A605="","",DATE(YEAR(A605),MONTH(A605),1))</x:f>
      </x:c>
      <x:c r="T605" s="14">
        <x:f>IF(L605="","",DATE(YEAR(L605),MONTH(L605),1))</x:f>
      </x:c>
    </x:row>
    <x:row r="606">
      <x:c r="A606" s="11" t="n"/>
      <x:c r="B606" s="5" t="n"/>
      <x:c r="C606" s="12" t="n"/>
      <x:c r="D606" s="12" t="n"/>
      <x:c r="E606" s="12" t="n"/>
      <x:c r="F606" s="12" t="n"/>
      <x:c r="G606" s="13">
        <x:f>IF(F606="","",IFERROR(VLOOKUP(F606,Master_Data!$E$24:$G$33,2,FALSE),"9999"))</x:f>
      </x:c>
      <x:c r="H606" s="12" t="n"/>
      <x:c r="I606" s="12" t="n"/>
      <x:c r="J606" s="12" t="n"/>
      <x:c r="K606" s="12" t="n"/>
      <x:c r="L606" s="11" t="n"/>
      <x:c r="M606" s="9" t="n"/>
      <x:c r="N606" s="12" t="n"/>
      <x:c r="O606" s="6">
        <x:f>IF(N606="","",IFERROR(VLOOKUP(N606,Master_Data!$A$5:$C$8,3,FALSE),0))</x:f>
      </x:c>
      <x:c r="P606" s="7">
        <x:f>IF(M606="","",M606*O606)</x:f>
      </x:c>
      <x:c r="Q606" s="7">
        <x:f>IF(M606="","",M606+P606)</x:f>
      </x:c>
      <x:c r="R606" s="7">
        <x:f>IF(K606&lt;&gt;"Paid",0,IF(C606="Income",Q606,-Q606))</x:f>
      </x:c>
      <x:c r="S606" s="14">
        <x:f>IF(A606="","",DATE(YEAR(A606),MONTH(A606),1))</x:f>
      </x:c>
      <x:c r="T606" s="14">
        <x:f>IF(L606="","",DATE(YEAR(L606),MONTH(L606),1))</x:f>
      </x:c>
    </x:row>
    <x:row r="607">
      <x:c r="A607" s="11" t="n"/>
      <x:c r="B607" s="5" t="n"/>
      <x:c r="C607" s="12" t="n"/>
      <x:c r="D607" s="12" t="n"/>
      <x:c r="E607" s="12" t="n"/>
      <x:c r="F607" s="12" t="n"/>
      <x:c r="G607" s="13">
        <x:f>IF(F607="","",IFERROR(VLOOKUP(F607,Master_Data!$E$24:$G$33,2,FALSE),"9999"))</x:f>
      </x:c>
      <x:c r="H607" s="12" t="n"/>
      <x:c r="I607" s="12" t="n"/>
      <x:c r="J607" s="12" t="n"/>
      <x:c r="K607" s="12" t="n"/>
      <x:c r="L607" s="11" t="n"/>
      <x:c r="M607" s="9" t="n"/>
      <x:c r="N607" s="12" t="n"/>
      <x:c r="O607" s="6">
        <x:f>IF(N607="","",IFERROR(VLOOKUP(N607,Master_Data!$A$5:$C$8,3,FALSE),0))</x:f>
      </x:c>
      <x:c r="P607" s="7">
        <x:f>IF(M607="","",M607*O607)</x:f>
      </x:c>
      <x:c r="Q607" s="7">
        <x:f>IF(M607="","",M607+P607)</x:f>
      </x:c>
      <x:c r="R607" s="7">
        <x:f>IF(K607&lt;&gt;"Paid",0,IF(C607="Income",Q607,-Q607))</x:f>
      </x:c>
      <x:c r="S607" s="14">
        <x:f>IF(A607="","",DATE(YEAR(A607),MONTH(A607),1))</x:f>
      </x:c>
      <x:c r="T607" s="14">
        <x:f>IF(L607="","",DATE(YEAR(L607),MONTH(L607),1))</x:f>
      </x:c>
    </x:row>
    <x:row r="608">
      <x:c r="A608" s="11" t="n"/>
      <x:c r="B608" s="5" t="n"/>
      <x:c r="C608" s="12" t="n"/>
      <x:c r="D608" s="12" t="n"/>
      <x:c r="E608" s="12" t="n"/>
      <x:c r="F608" s="12" t="n"/>
      <x:c r="G608" s="13">
        <x:f>IF(F608="","",IFERROR(VLOOKUP(F608,Master_Data!$E$24:$G$33,2,FALSE),"9999"))</x:f>
      </x:c>
      <x:c r="H608" s="12" t="n"/>
      <x:c r="I608" s="12" t="n"/>
      <x:c r="J608" s="12" t="n"/>
      <x:c r="K608" s="12" t="n"/>
      <x:c r="L608" s="11" t="n"/>
      <x:c r="M608" s="9" t="n"/>
      <x:c r="N608" s="12" t="n"/>
      <x:c r="O608" s="6">
        <x:f>IF(N608="","",IFERROR(VLOOKUP(N608,Master_Data!$A$5:$C$8,3,FALSE),0))</x:f>
      </x:c>
      <x:c r="P608" s="7">
        <x:f>IF(M608="","",M608*O608)</x:f>
      </x:c>
      <x:c r="Q608" s="7">
        <x:f>IF(M608="","",M608+P608)</x:f>
      </x:c>
      <x:c r="R608" s="7">
        <x:f>IF(K608&lt;&gt;"Paid",0,IF(C608="Income",Q608,-Q608))</x:f>
      </x:c>
      <x:c r="S608" s="14">
        <x:f>IF(A608="","",DATE(YEAR(A608),MONTH(A608),1))</x:f>
      </x:c>
      <x:c r="T608" s="14">
        <x:f>IF(L608="","",DATE(YEAR(L608),MONTH(L608),1))</x:f>
      </x:c>
    </x:row>
    <x:row r="609">
      <x:c r="A609" s="11" t="n"/>
      <x:c r="B609" s="5" t="n"/>
      <x:c r="C609" s="12" t="n"/>
      <x:c r="D609" s="12" t="n"/>
      <x:c r="E609" s="12" t="n"/>
      <x:c r="F609" s="12" t="n"/>
      <x:c r="G609" s="13">
        <x:f>IF(F609="","",IFERROR(VLOOKUP(F609,Master_Data!$E$24:$G$33,2,FALSE),"9999"))</x:f>
      </x:c>
      <x:c r="H609" s="12" t="n"/>
      <x:c r="I609" s="12" t="n"/>
      <x:c r="J609" s="12" t="n"/>
      <x:c r="K609" s="12" t="n"/>
      <x:c r="L609" s="11" t="n"/>
      <x:c r="M609" s="9" t="n"/>
      <x:c r="N609" s="12" t="n"/>
      <x:c r="O609" s="6">
        <x:f>IF(N609="","",IFERROR(VLOOKUP(N609,Master_Data!$A$5:$C$8,3,FALSE),0))</x:f>
      </x:c>
      <x:c r="P609" s="7">
        <x:f>IF(M609="","",M609*O609)</x:f>
      </x:c>
      <x:c r="Q609" s="7">
        <x:f>IF(M609="","",M609+P609)</x:f>
      </x:c>
      <x:c r="R609" s="7">
        <x:f>IF(K609&lt;&gt;"Paid",0,IF(C609="Income",Q609,-Q609))</x:f>
      </x:c>
      <x:c r="S609" s="14">
        <x:f>IF(A609="","",DATE(YEAR(A609),MONTH(A609),1))</x:f>
      </x:c>
      <x:c r="T609" s="14">
        <x:f>IF(L609="","",DATE(YEAR(L609),MONTH(L609),1))</x:f>
      </x:c>
    </x:row>
    <x:row r="610">
      <x:c r="A610" s="11" t="n"/>
      <x:c r="B610" s="5" t="n"/>
      <x:c r="C610" s="12" t="n"/>
      <x:c r="D610" s="12" t="n"/>
      <x:c r="E610" s="12" t="n"/>
      <x:c r="F610" s="12" t="n"/>
      <x:c r="G610" s="13">
        <x:f>IF(F610="","",IFERROR(VLOOKUP(F610,Master_Data!$E$24:$G$33,2,FALSE),"9999"))</x:f>
      </x:c>
      <x:c r="H610" s="12" t="n"/>
      <x:c r="I610" s="12" t="n"/>
      <x:c r="J610" s="12" t="n"/>
      <x:c r="K610" s="12" t="n"/>
      <x:c r="L610" s="11" t="n"/>
      <x:c r="M610" s="9" t="n"/>
      <x:c r="N610" s="12" t="n"/>
      <x:c r="O610" s="6">
        <x:f>IF(N610="","",IFERROR(VLOOKUP(N610,Master_Data!$A$5:$C$8,3,FALSE),0))</x:f>
      </x:c>
      <x:c r="P610" s="7">
        <x:f>IF(M610="","",M610*O610)</x:f>
      </x:c>
      <x:c r="Q610" s="7">
        <x:f>IF(M610="","",M610+P610)</x:f>
      </x:c>
      <x:c r="R610" s="7">
        <x:f>IF(K610&lt;&gt;"Paid",0,IF(C610="Income",Q610,-Q610))</x:f>
      </x:c>
      <x:c r="S610" s="14">
        <x:f>IF(A610="","",DATE(YEAR(A610),MONTH(A610),1))</x:f>
      </x:c>
      <x:c r="T610" s="14">
        <x:f>IF(L610="","",DATE(YEAR(L610),MONTH(L610),1))</x:f>
      </x:c>
    </x:row>
    <x:row r="611">
      <x:c r="A611" s="11" t="n"/>
      <x:c r="B611" s="5" t="n"/>
      <x:c r="C611" s="12" t="n"/>
      <x:c r="D611" s="12" t="n"/>
      <x:c r="E611" s="12" t="n"/>
      <x:c r="F611" s="12" t="n"/>
      <x:c r="G611" s="13">
        <x:f>IF(F611="","",IFERROR(VLOOKUP(F611,Master_Data!$E$24:$G$33,2,FALSE),"9999"))</x:f>
      </x:c>
      <x:c r="H611" s="12" t="n"/>
      <x:c r="I611" s="12" t="n"/>
      <x:c r="J611" s="12" t="n"/>
      <x:c r="K611" s="12" t="n"/>
      <x:c r="L611" s="11" t="n"/>
      <x:c r="M611" s="9" t="n"/>
      <x:c r="N611" s="12" t="n"/>
      <x:c r="O611" s="6">
        <x:f>IF(N611="","",IFERROR(VLOOKUP(N611,Master_Data!$A$5:$C$8,3,FALSE),0))</x:f>
      </x:c>
      <x:c r="P611" s="7">
        <x:f>IF(M611="","",M611*O611)</x:f>
      </x:c>
      <x:c r="Q611" s="7">
        <x:f>IF(M611="","",M611+P611)</x:f>
      </x:c>
      <x:c r="R611" s="7">
        <x:f>IF(K611&lt;&gt;"Paid",0,IF(C611="Income",Q611,-Q611))</x:f>
      </x:c>
      <x:c r="S611" s="14">
        <x:f>IF(A611="","",DATE(YEAR(A611),MONTH(A611),1))</x:f>
      </x:c>
      <x:c r="T611" s="14">
        <x:f>IF(L611="","",DATE(YEAR(L611),MONTH(L611),1))</x:f>
      </x:c>
    </x:row>
    <x:row r="612">
      <x:c r="A612" s="11" t="n"/>
      <x:c r="B612" s="5" t="n"/>
      <x:c r="C612" s="12" t="n"/>
      <x:c r="D612" s="12" t="n"/>
      <x:c r="E612" s="12" t="n"/>
      <x:c r="F612" s="12" t="n"/>
      <x:c r="G612" s="13">
        <x:f>IF(F612="","",IFERROR(VLOOKUP(F612,Master_Data!$E$24:$G$33,2,FALSE),"9999"))</x:f>
      </x:c>
      <x:c r="H612" s="12" t="n"/>
      <x:c r="I612" s="12" t="n"/>
      <x:c r="J612" s="12" t="n"/>
      <x:c r="K612" s="12" t="n"/>
      <x:c r="L612" s="11" t="n"/>
      <x:c r="M612" s="9" t="n"/>
      <x:c r="N612" s="12" t="n"/>
      <x:c r="O612" s="6">
        <x:f>IF(N612="","",IFERROR(VLOOKUP(N612,Master_Data!$A$5:$C$8,3,FALSE),0))</x:f>
      </x:c>
      <x:c r="P612" s="7">
        <x:f>IF(M612="","",M612*O612)</x:f>
      </x:c>
      <x:c r="Q612" s="7">
        <x:f>IF(M612="","",M612+P612)</x:f>
      </x:c>
      <x:c r="R612" s="7">
        <x:f>IF(K612&lt;&gt;"Paid",0,IF(C612="Income",Q612,-Q612))</x:f>
      </x:c>
      <x:c r="S612" s="14">
        <x:f>IF(A612="","",DATE(YEAR(A612),MONTH(A612),1))</x:f>
      </x:c>
      <x:c r="T612" s="14">
        <x:f>IF(L612="","",DATE(YEAR(L612),MONTH(L612),1))</x:f>
      </x:c>
    </x:row>
    <x:row r="613">
      <x:c r="A613" s="11" t="n"/>
      <x:c r="B613" s="5" t="n"/>
      <x:c r="C613" s="12" t="n"/>
      <x:c r="D613" s="12" t="n"/>
      <x:c r="E613" s="12" t="n"/>
      <x:c r="F613" s="12" t="n"/>
      <x:c r="G613" s="13">
        <x:f>IF(F613="","",IFERROR(VLOOKUP(F613,Master_Data!$E$24:$G$33,2,FALSE),"9999"))</x:f>
      </x:c>
      <x:c r="H613" s="12" t="n"/>
      <x:c r="I613" s="12" t="n"/>
      <x:c r="J613" s="12" t="n"/>
      <x:c r="K613" s="12" t="n"/>
      <x:c r="L613" s="11" t="n"/>
      <x:c r="M613" s="9" t="n"/>
      <x:c r="N613" s="12" t="n"/>
      <x:c r="O613" s="6">
        <x:f>IF(N613="","",IFERROR(VLOOKUP(N613,Master_Data!$A$5:$C$8,3,FALSE),0))</x:f>
      </x:c>
      <x:c r="P613" s="7">
        <x:f>IF(M613="","",M613*O613)</x:f>
      </x:c>
      <x:c r="Q613" s="7">
        <x:f>IF(M613="","",M613+P613)</x:f>
      </x:c>
      <x:c r="R613" s="7">
        <x:f>IF(K613&lt;&gt;"Paid",0,IF(C613="Income",Q613,-Q613))</x:f>
      </x:c>
      <x:c r="S613" s="14">
        <x:f>IF(A613="","",DATE(YEAR(A613),MONTH(A613),1))</x:f>
      </x:c>
      <x:c r="T613" s="14">
        <x:f>IF(L613="","",DATE(YEAR(L613),MONTH(L613),1))</x:f>
      </x:c>
    </x:row>
    <x:row r="614">
      <x:c r="A614" s="11" t="n"/>
      <x:c r="B614" s="5" t="n"/>
      <x:c r="C614" s="12" t="n"/>
      <x:c r="D614" s="12" t="n"/>
      <x:c r="E614" s="12" t="n"/>
      <x:c r="F614" s="12" t="n"/>
      <x:c r="G614" s="13">
        <x:f>IF(F614="","",IFERROR(VLOOKUP(F614,Master_Data!$E$24:$G$33,2,FALSE),"9999"))</x:f>
      </x:c>
      <x:c r="H614" s="12" t="n"/>
      <x:c r="I614" s="12" t="n"/>
      <x:c r="J614" s="12" t="n"/>
      <x:c r="K614" s="12" t="n"/>
      <x:c r="L614" s="11" t="n"/>
      <x:c r="M614" s="9" t="n"/>
      <x:c r="N614" s="12" t="n"/>
      <x:c r="O614" s="6">
        <x:f>IF(N614="","",IFERROR(VLOOKUP(N614,Master_Data!$A$5:$C$8,3,FALSE),0))</x:f>
      </x:c>
      <x:c r="P614" s="7">
        <x:f>IF(M614="","",M614*O614)</x:f>
      </x:c>
      <x:c r="Q614" s="7">
        <x:f>IF(M614="","",M614+P614)</x:f>
      </x:c>
      <x:c r="R614" s="7">
        <x:f>IF(K614&lt;&gt;"Paid",0,IF(C614="Income",Q614,-Q614))</x:f>
      </x:c>
      <x:c r="S614" s="14">
        <x:f>IF(A614="","",DATE(YEAR(A614),MONTH(A614),1))</x:f>
      </x:c>
      <x:c r="T614" s="14">
        <x:f>IF(L614="","",DATE(YEAR(L614),MONTH(L614),1))</x:f>
      </x:c>
    </x:row>
    <x:row r="615">
      <x:c r="A615" s="11" t="n"/>
      <x:c r="B615" s="5" t="n"/>
      <x:c r="C615" s="12" t="n"/>
      <x:c r="D615" s="12" t="n"/>
      <x:c r="E615" s="12" t="n"/>
      <x:c r="F615" s="12" t="n"/>
      <x:c r="G615" s="13">
        <x:f>IF(F615="","",IFERROR(VLOOKUP(F615,Master_Data!$E$24:$G$33,2,FALSE),"9999"))</x:f>
      </x:c>
      <x:c r="H615" s="12" t="n"/>
      <x:c r="I615" s="12" t="n"/>
      <x:c r="J615" s="12" t="n"/>
      <x:c r="K615" s="12" t="n"/>
      <x:c r="L615" s="11" t="n"/>
      <x:c r="M615" s="9" t="n"/>
      <x:c r="N615" s="12" t="n"/>
      <x:c r="O615" s="6">
        <x:f>IF(N615="","",IFERROR(VLOOKUP(N615,Master_Data!$A$5:$C$8,3,FALSE),0))</x:f>
      </x:c>
      <x:c r="P615" s="7">
        <x:f>IF(M615="","",M615*O615)</x:f>
      </x:c>
      <x:c r="Q615" s="7">
        <x:f>IF(M615="","",M615+P615)</x:f>
      </x:c>
      <x:c r="R615" s="7">
        <x:f>IF(K615&lt;&gt;"Paid",0,IF(C615="Income",Q615,-Q615))</x:f>
      </x:c>
      <x:c r="S615" s="14">
        <x:f>IF(A615="","",DATE(YEAR(A615),MONTH(A615),1))</x:f>
      </x:c>
      <x:c r="T615" s="14">
        <x:f>IF(L615="","",DATE(YEAR(L615),MONTH(L615),1))</x:f>
      </x:c>
    </x:row>
    <x:row r="616">
      <x:c r="A616" s="11" t="n"/>
      <x:c r="B616" s="5" t="n"/>
      <x:c r="C616" s="12" t="n"/>
      <x:c r="D616" s="12" t="n"/>
      <x:c r="E616" s="12" t="n"/>
      <x:c r="F616" s="12" t="n"/>
      <x:c r="G616" s="13">
        <x:f>IF(F616="","",IFERROR(VLOOKUP(F616,Master_Data!$E$24:$G$33,2,FALSE),"9999"))</x:f>
      </x:c>
      <x:c r="H616" s="12" t="n"/>
      <x:c r="I616" s="12" t="n"/>
      <x:c r="J616" s="12" t="n"/>
      <x:c r="K616" s="12" t="n"/>
      <x:c r="L616" s="11" t="n"/>
      <x:c r="M616" s="9" t="n"/>
      <x:c r="N616" s="12" t="n"/>
      <x:c r="O616" s="6">
        <x:f>IF(N616="","",IFERROR(VLOOKUP(N616,Master_Data!$A$5:$C$8,3,FALSE),0))</x:f>
      </x:c>
      <x:c r="P616" s="7">
        <x:f>IF(M616="","",M616*O616)</x:f>
      </x:c>
      <x:c r="Q616" s="7">
        <x:f>IF(M616="","",M616+P616)</x:f>
      </x:c>
      <x:c r="R616" s="7">
        <x:f>IF(K616&lt;&gt;"Paid",0,IF(C616="Income",Q616,-Q616))</x:f>
      </x:c>
      <x:c r="S616" s="14">
        <x:f>IF(A616="","",DATE(YEAR(A616),MONTH(A616),1))</x:f>
      </x:c>
      <x:c r="T616" s="14">
        <x:f>IF(L616="","",DATE(YEAR(L616),MONTH(L616),1))</x:f>
      </x:c>
    </x:row>
    <x:row r="617">
      <x:c r="A617" s="11" t="n"/>
      <x:c r="B617" s="5" t="n"/>
      <x:c r="C617" s="12" t="n"/>
      <x:c r="D617" s="12" t="n"/>
      <x:c r="E617" s="12" t="n"/>
      <x:c r="F617" s="12" t="n"/>
      <x:c r="G617" s="13">
        <x:f>IF(F617="","",IFERROR(VLOOKUP(F617,Master_Data!$E$24:$G$33,2,FALSE),"9999"))</x:f>
      </x:c>
      <x:c r="H617" s="12" t="n"/>
      <x:c r="I617" s="12" t="n"/>
      <x:c r="J617" s="12" t="n"/>
      <x:c r="K617" s="12" t="n"/>
      <x:c r="L617" s="11" t="n"/>
      <x:c r="M617" s="9" t="n"/>
      <x:c r="N617" s="12" t="n"/>
      <x:c r="O617" s="6">
        <x:f>IF(N617="","",IFERROR(VLOOKUP(N617,Master_Data!$A$5:$C$8,3,FALSE),0))</x:f>
      </x:c>
      <x:c r="P617" s="7">
        <x:f>IF(M617="","",M617*O617)</x:f>
      </x:c>
      <x:c r="Q617" s="7">
        <x:f>IF(M617="","",M617+P617)</x:f>
      </x:c>
      <x:c r="R617" s="7">
        <x:f>IF(K617&lt;&gt;"Paid",0,IF(C617="Income",Q617,-Q617))</x:f>
      </x:c>
      <x:c r="S617" s="14">
        <x:f>IF(A617="","",DATE(YEAR(A617),MONTH(A617),1))</x:f>
      </x:c>
      <x:c r="T617" s="14">
        <x:f>IF(L617="","",DATE(YEAR(L617),MONTH(L617),1))</x:f>
      </x:c>
    </x:row>
    <x:row r="618">
      <x:c r="A618" s="11" t="n"/>
      <x:c r="B618" s="5" t="n"/>
      <x:c r="C618" s="12" t="n"/>
      <x:c r="D618" s="12" t="n"/>
      <x:c r="E618" s="12" t="n"/>
      <x:c r="F618" s="12" t="n"/>
      <x:c r="G618" s="13">
        <x:f>IF(F618="","",IFERROR(VLOOKUP(F618,Master_Data!$E$24:$G$33,2,FALSE),"9999"))</x:f>
      </x:c>
      <x:c r="H618" s="12" t="n"/>
      <x:c r="I618" s="12" t="n"/>
      <x:c r="J618" s="12" t="n"/>
      <x:c r="K618" s="12" t="n"/>
      <x:c r="L618" s="11" t="n"/>
      <x:c r="M618" s="9" t="n"/>
      <x:c r="N618" s="12" t="n"/>
      <x:c r="O618" s="6">
        <x:f>IF(N618="","",IFERROR(VLOOKUP(N618,Master_Data!$A$5:$C$8,3,FALSE),0))</x:f>
      </x:c>
      <x:c r="P618" s="7">
        <x:f>IF(M618="","",M618*O618)</x:f>
      </x:c>
      <x:c r="Q618" s="7">
        <x:f>IF(M618="","",M618+P618)</x:f>
      </x:c>
      <x:c r="R618" s="7">
        <x:f>IF(K618&lt;&gt;"Paid",0,IF(C618="Income",Q618,-Q618))</x:f>
      </x:c>
      <x:c r="S618" s="14">
        <x:f>IF(A618="","",DATE(YEAR(A618),MONTH(A618),1))</x:f>
      </x:c>
      <x:c r="T618" s="14">
        <x:f>IF(L618="","",DATE(YEAR(L618),MONTH(L618),1))</x:f>
      </x:c>
    </x:row>
    <x:row r="619">
      <x:c r="A619" s="11" t="n"/>
      <x:c r="B619" s="5" t="n"/>
      <x:c r="C619" s="12" t="n"/>
      <x:c r="D619" s="12" t="n"/>
      <x:c r="E619" s="12" t="n"/>
      <x:c r="F619" s="12" t="n"/>
      <x:c r="G619" s="13">
        <x:f>IF(F619="","",IFERROR(VLOOKUP(F619,Master_Data!$E$24:$G$33,2,FALSE),"9999"))</x:f>
      </x:c>
      <x:c r="H619" s="12" t="n"/>
      <x:c r="I619" s="12" t="n"/>
      <x:c r="J619" s="12" t="n"/>
      <x:c r="K619" s="12" t="n"/>
      <x:c r="L619" s="11" t="n"/>
      <x:c r="M619" s="9" t="n"/>
      <x:c r="N619" s="12" t="n"/>
      <x:c r="O619" s="6">
        <x:f>IF(N619="","",IFERROR(VLOOKUP(N619,Master_Data!$A$5:$C$8,3,FALSE),0))</x:f>
      </x:c>
      <x:c r="P619" s="7">
        <x:f>IF(M619="","",M619*O619)</x:f>
      </x:c>
      <x:c r="Q619" s="7">
        <x:f>IF(M619="","",M619+P619)</x:f>
      </x:c>
      <x:c r="R619" s="7">
        <x:f>IF(K619&lt;&gt;"Paid",0,IF(C619="Income",Q619,-Q619))</x:f>
      </x:c>
      <x:c r="S619" s="14">
        <x:f>IF(A619="","",DATE(YEAR(A619),MONTH(A619),1))</x:f>
      </x:c>
      <x:c r="T619" s="14">
        <x:f>IF(L619="","",DATE(YEAR(L619),MONTH(L619),1))</x:f>
      </x:c>
    </x:row>
    <x:row r="620">
      <x:c r="A620" s="11" t="n"/>
      <x:c r="B620" s="5" t="n"/>
      <x:c r="C620" s="12" t="n"/>
      <x:c r="D620" s="12" t="n"/>
      <x:c r="E620" s="12" t="n"/>
      <x:c r="F620" s="12" t="n"/>
      <x:c r="G620" s="13">
        <x:f>IF(F620="","",IFERROR(VLOOKUP(F620,Master_Data!$E$24:$G$33,2,FALSE),"9999"))</x:f>
      </x:c>
      <x:c r="H620" s="12" t="n"/>
      <x:c r="I620" s="12" t="n"/>
      <x:c r="J620" s="12" t="n"/>
      <x:c r="K620" s="12" t="n"/>
      <x:c r="L620" s="11" t="n"/>
      <x:c r="M620" s="9" t="n"/>
      <x:c r="N620" s="12" t="n"/>
      <x:c r="O620" s="6">
        <x:f>IF(N620="","",IFERROR(VLOOKUP(N620,Master_Data!$A$5:$C$8,3,FALSE),0))</x:f>
      </x:c>
      <x:c r="P620" s="7">
        <x:f>IF(M620="","",M620*O620)</x:f>
      </x:c>
      <x:c r="Q620" s="7">
        <x:f>IF(M620="","",M620+P620)</x:f>
      </x:c>
      <x:c r="R620" s="7">
        <x:f>IF(K620&lt;&gt;"Paid",0,IF(C620="Income",Q620,-Q620))</x:f>
      </x:c>
      <x:c r="S620" s="14">
        <x:f>IF(A620="","",DATE(YEAR(A620),MONTH(A620),1))</x:f>
      </x:c>
      <x:c r="T620" s="14">
        <x:f>IF(L620="","",DATE(YEAR(L620),MONTH(L620),1))</x:f>
      </x:c>
    </x:row>
    <x:row r="621">
      <x:c r="A621" s="11" t="n"/>
      <x:c r="B621" s="5" t="n"/>
      <x:c r="C621" s="12" t="n"/>
      <x:c r="D621" s="12" t="n"/>
      <x:c r="E621" s="12" t="n"/>
      <x:c r="F621" s="12" t="n"/>
      <x:c r="G621" s="13">
        <x:f>IF(F621="","",IFERROR(VLOOKUP(F621,Master_Data!$E$24:$G$33,2,FALSE),"9999"))</x:f>
      </x:c>
      <x:c r="H621" s="12" t="n"/>
      <x:c r="I621" s="12" t="n"/>
      <x:c r="J621" s="12" t="n"/>
      <x:c r="K621" s="12" t="n"/>
      <x:c r="L621" s="11" t="n"/>
      <x:c r="M621" s="9" t="n"/>
      <x:c r="N621" s="12" t="n"/>
      <x:c r="O621" s="6">
        <x:f>IF(N621="","",IFERROR(VLOOKUP(N621,Master_Data!$A$5:$C$8,3,FALSE),0))</x:f>
      </x:c>
      <x:c r="P621" s="7">
        <x:f>IF(M621="","",M621*O621)</x:f>
      </x:c>
      <x:c r="Q621" s="7">
        <x:f>IF(M621="","",M621+P621)</x:f>
      </x:c>
      <x:c r="R621" s="7">
        <x:f>IF(K621&lt;&gt;"Paid",0,IF(C621="Income",Q621,-Q621))</x:f>
      </x:c>
      <x:c r="S621" s="14">
        <x:f>IF(A621="","",DATE(YEAR(A621),MONTH(A621),1))</x:f>
      </x:c>
      <x:c r="T621" s="14">
        <x:f>IF(L621="","",DATE(YEAR(L621),MONTH(L621),1))</x:f>
      </x:c>
    </x:row>
    <x:row r="622">
      <x:c r="A622" s="11" t="n"/>
      <x:c r="B622" s="5" t="n"/>
      <x:c r="C622" s="12" t="n"/>
      <x:c r="D622" s="12" t="n"/>
      <x:c r="E622" s="12" t="n"/>
      <x:c r="F622" s="12" t="n"/>
      <x:c r="G622" s="13">
        <x:f>IF(F622="","",IFERROR(VLOOKUP(F622,Master_Data!$E$24:$G$33,2,FALSE),"9999"))</x:f>
      </x:c>
      <x:c r="H622" s="12" t="n"/>
      <x:c r="I622" s="12" t="n"/>
      <x:c r="J622" s="12" t="n"/>
      <x:c r="K622" s="12" t="n"/>
      <x:c r="L622" s="11" t="n"/>
      <x:c r="M622" s="9" t="n"/>
      <x:c r="N622" s="12" t="n"/>
      <x:c r="O622" s="6">
        <x:f>IF(N622="","",IFERROR(VLOOKUP(N622,Master_Data!$A$5:$C$8,3,FALSE),0))</x:f>
      </x:c>
      <x:c r="P622" s="7">
        <x:f>IF(M622="","",M622*O622)</x:f>
      </x:c>
      <x:c r="Q622" s="7">
        <x:f>IF(M622="","",M622+P622)</x:f>
      </x:c>
      <x:c r="R622" s="7">
        <x:f>IF(K622&lt;&gt;"Paid",0,IF(C622="Income",Q622,-Q622))</x:f>
      </x:c>
      <x:c r="S622" s="14">
        <x:f>IF(A622="","",DATE(YEAR(A622),MONTH(A622),1))</x:f>
      </x:c>
      <x:c r="T622" s="14">
        <x:f>IF(L622="","",DATE(YEAR(L622),MONTH(L622),1))</x:f>
      </x:c>
    </x:row>
    <x:row r="623">
      <x:c r="A623" s="11" t="n"/>
      <x:c r="B623" s="5" t="n"/>
      <x:c r="C623" s="12" t="n"/>
      <x:c r="D623" s="12" t="n"/>
      <x:c r="E623" s="12" t="n"/>
      <x:c r="F623" s="12" t="n"/>
      <x:c r="G623" s="13">
        <x:f>IF(F623="","",IFERROR(VLOOKUP(F623,Master_Data!$E$24:$G$33,2,FALSE),"9999"))</x:f>
      </x:c>
      <x:c r="H623" s="12" t="n"/>
      <x:c r="I623" s="12" t="n"/>
      <x:c r="J623" s="12" t="n"/>
      <x:c r="K623" s="12" t="n"/>
      <x:c r="L623" s="11" t="n"/>
      <x:c r="M623" s="9" t="n"/>
      <x:c r="N623" s="12" t="n"/>
      <x:c r="O623" s="6">
        <x:f>IF(N623="","",IFERROR(VLOOKUP(N623,Master_Data!$A$5:$C$8,3,FALSE),0))</x:f>
      </x:c>
      <x:c r="P623" s="7">
        <x:f>IF(M623="","",M623*O623)</x:f>
      </x:c>
      <x:c r="Q623" s="7">
        <x:f>IF(M623="","",M623+P623)</x:f>
      </x:c>
      <x:c r="R623" s="7">
        <x:f>IF(K623&lt;&gt;"Paid",0,IF(C623="Income",Q623,-Q623))</x:f>
      </x:c>
      <x:c r="S623" s="14">
        <x:f>IF(A623="","",DATE(YEAR(A623),MONTH(A623),1))</x:f>
      </x:c>
      <x:c r="T623" s="14">
        <x:f>IF(L623="","",DATE(YEAR(L623),MONTH(L623),1))</x:f>
      </x:c>
    </x:row>
    <x:row r="624">
      <x:c r="A624" s="11" t="n"/>
      <x:c r="B624" s="5" t="n"/>
      <x:c r="C624" s="12" t="n"/>
      <x:c r="D624" s="12" t="n"/>
      <x:c r="E624" s="12" t="n"/>
      <x:c r="F624" s="12" t="n"/>
      <x:c r="G624" s="13">
        <x:f>IF(F624="","",IFERROR(VLOOKUP(F624,Master_Data!$E$24:$G$33,2,FALSE),"9999"))</x:f>
      </x:c>
      <x:c r="H624" s="12" t="n"/>
      <x:c r="I624" s="12" t="n"/>
      <x:c r="J624" s="12" t="n"/>
      <x:c r="K624" s="12" t="n"/>
      <x:c r="L624" s="11" t="n"/>
      <x:c r="M624" s="9" t="n"/>
      <x:c r="N624" s="12" t="n"/>
      <x:c r="O624" s="6">
        <x:f>IF(N624="","",IFERROR(VLOOKUP(N624,Master_Data!$A$5:$C$8,3,FALSE),0))</x:f>
      </x:c>
      <x:c r="P624" s="7">
        <x:f>IF(M624="","",M624*O624)</x:f>
      </x:c>
      <x:c r="Q624" s="7">
        <x:f>IF(M624="","",M624+P624)</x:f>
      </x:c>
      <x:c r="R624" s="7">
        <x:f>IF(K624&lt;&gt;"Paid",0,IF(C624="Income",Q624,-Q624))</x:f>
      </x:c>
      <x:c r="S624" s="14">
        <x:f>IF(A624="","",DATE(YEAR(A624),MONTH(A624),1))</x:f>
      </x:c>
      <x:c r="T624" s="14">
        <x:f>IF(L624="","",DATE(YEAR(L624),MONTH(L624),1))</x:f>
      </x:c>
    </x:row>
    <x:row r="625">
      <x:c r="A625" s="11" t="n"/>
      <x:c r="B625" s="5" t="n"/>
      <x:c r="C625" s="12" t="n"/>
      <x:c r="D625" s="12" t="n"/>
      <x:c r="E625" s="12" t="n"/>
      <x:c r="F625" s="12" t="n"/>
      <x:c r="G625" s="13">
        <x:f>IF(F625="","",IFERROR(VLOOKUP(F625,Master_Data!$E$24:$G$33,2,FALSE),"9999"))</x:f>
      </x:c>
      <x:c r="H625" s="12" t="n"/>
      <x:c r="I625" s="12" t="n"/>
      <x:c r="J625" s="12" t="n"/>
      <x:c r="K625" s="12" t="n"/>
      <x:c r="L625" s="11" t="n"/>
      <x:c r="M625" s="9" t="n"/>
      <x:c r="N625" s="12" t="n"/>
      <x:c r="O625" s="6">
        <x:f>IF(N625="","",IFERROR(VLOOKUP(N625,Master_Data!$A$5:$C$8,3,FALSE),0))</x:f>
      </x:c>
      <x:c r="P625" s="7">
        <x:f>IF(M625="","",M625*O625)</x:f>
      </x:c>
      <x:c r="Q625" s="7">
        <x:f>IF(M625="","",M625+P625)</x:f>
      </x:c>
      <x:c r="R625" s="7">
        <x:f>IF(K625&lt;&gt;"Paid",0,IF(C625="Income",Q625,-Q625))</x:f>
      </x:c>
      <x:c r="S625" s="14">
        <x:f>IF(A625="","",DATE(YEAR(A625),MONTH(A625),1))</x:f>
      </x:c>
      <x:c r="T625" s="14">
        <x:f>IF(L625="","",DATE(YEAR(L625),MONTH(L625),1))</x:f>
      </x:c>
    </x:row>
    <x:row r="626">
      <x:c r="A626" s="11" t="n"/>
      <x:c r="B626" s="5" t="n"/>
      <x:c r="C626" s="12" t="n"/>
      <x:c r="D626" s="12" t="n"/>
      <x:c r="E626" s="12" t="n"/>
      <x:c r="F626" s="12" t="n"/>
      <x:c r="G626" s="13">
        <x:f>IF(F626="","",IFERROR(VLOOKUP(F626,Master_Data!$E$24:$G$33,2,FALSE),"9999"))</x:f>
      </x:c>
      <x:c r="H626" s="12" t="n"/>
      <x:c r="I626" s="12" t="n"/>
      <x:c r="J626" s="12" t="n"/>
      <x:c r="K626" s="12" t="n"/>
      <x:c r="L626" s="11" t="n"/>
      <x:c r="M626" s="9" t="n"/>
      <x:c r="N626" s="12" t="n"/>
      <x:c r="O626" s="6">
        <x:f>IF(N626="","",IFERROR(VLOOKUP(N626,Master_Data!$A$5:$C$8,3,FALSE),0))</x:f>
      </x:c>
      <x:c r="P626" s="7">
        <x:f>IF(M626="","",M626*O626)</x:f>
      </x:c>
      <x:c r="Q626" s="7">
        <x:f>IF(M626="","",M626+P626)</x:f>
      </x:c>
      <x:c r="R626" s="7">
        <x:f>IF(K626&lt;&gt;"Paid",0,IF(C626="Income",Q626,-Q626))</x:f>
      </x:c>
      <x:c r="S626" s="14">
        <x:f>IF(A626="","",DATE(YEAR(A626),MONTH(A626),1))</x:f>
      </x:c>
      <x:c r="T626" s="14">
        <x:f>IF(L626="","",DATE(YEAR(L626),MONTH(L626),1))</x:f>
      </x:c>
    </x:row>
    <x:row r="627">
      <x:c r="A627" s="11" t="n"/>
      <x:c r="B627" s="5" t="n"/>
      <x:c r="C627" s="12" t="n"/>
      <x:c r="D627" s="12" t="n"/>
      <x:c r="E627" s="12" t="n"/>
      <x:c r="F627" s="12" t="n"/>
      <x:c r="G627" s="13">
        <x:f>IF(F627="","",IFERROR(VLOOKUP(F627,Master_Data!$E$24:$G$33,2,FALSE),"9999"))</x:f>
      </x:c>
      <x:c r="H627" s="12" t="n"/>
      <x:c r="I627" s="12" t="n"/>
      <x:c r="J627" s="12" t="n"/>
      <x:c r="K627" s="12" t="n"/>
      <x:c r="L627" s="11" t="n"/>
      <x:c r="M627" s="9" t="n"/>
      <x:c r="N627" s="12" t="n"/>
      <x:c r="O627" s="6">
        <x:f>IF(N627="","",IFERROR(VLOOKUP(N627,Master_Data!$A$5:$C$8,3,FALSE),0))</x:f>
      </x:c>
      <x:c r="P627" s="7">
        <x:f>IF(M627="","",M627*O627)</x:f>
      </x:c>
      <x:c r="Q627" s="7">
        <x:f>IF(M627="","",M627+P627)</x:f>
      </x:c>
      <x:c r="R627" s="7">
        <x:f>IF(K627&lt;&gt;"Paid",0,IF(C627="Income",Q627,-Q627))</x:f>
      </x:c>
      <x:c r="S627" s="14">
        <x:f>IF(A627="","",DATE(YEAR(A627),MONTH(A627),1))</x:f>
      </x:c>
      <x:c r="T627" s="14">
        <x:f>IF(L627="","",DATE(YEAR(L627),MONTH(L627),1))</x:f>
      </x:c>
    </x:row>
    <x:row r="628">
      <x:c r="A628" s="11" t="n"/>
      <x:c r="B628" s="5" t="n"/>
      <x:c r="C628" s="12" t="n"/>
      <x:c r="D628" s="12" t="n"/>
      <x:c r="E628" s="12" t="n"/>
      <x:c r="F628" s="12" t="n"/>
      <x:c r="G628" s="13">
        <x:f>IF(F628="","",IFERROR(VLOOKUP(F628,Master_Data!$E$24:$G$33,2,FALSE),"9999"))</x:f>
      </x:c>
      <x:c r="H628" s="12" t="n"/>
      <x:c r="I628" s="12" t="n"/>
      <x:c r="J628" s="12" t="n"/>
      <x:c r="K628" s="12" t="n"/>
      <x:c r="L628" s="11" t="n"/>
      <x:c r="M628" s="9" t="n"/>
      <x:c r="N628" s="12" t="n"/>
      <x:c r="O628" s="6">
        <x:f>IF(N628="","",IFERROR(VLOOKUP(N628,Master_Data!$A$5:$C$8,3,FALSE),0))</x:f>
      </x:c>
      <x:c r="P628" s="7">
        <x:f>IF(M628="","",M628*O628)</x:f>
      </x:c>
      <x:c r="Q628" s="7">
        <x:f>IF(M628="","",M628+P628)</x:f>
      </x:c>
      <x:c r="R628" s="7">
        <x:f>IF(K628&lt;&gt;"Paid",0,IF(C628="Income",Q628,-Q628))</x:f>
      </x:c>
      <x:c r="S628" s="14">
        <x:f>IF(A628="","",DATE(YEAR(A628),MONTH(A628),1))</x:f>
      </x:c>
      <x:c r="T628" s="14">
        <x:f>IF(L628="","",DATE(YEAR(L628),MONTH(L628),1))</x:f>
      </x:c>
    </x:row>
    <x:row r="629">
      <x:c r="A629" s="11" t="n"/>
      <x:c r="B629" s="5" t="n"/>
      <x:c r="C629" s="12" t="n"/>
      <x:c r="D629" s="12" t="n"/>
      <x:c r="E629" s="12" t="n"/>
      <x:c r="F629" s="12" t="n"/>
      <x:c r="G629" s="13">
        <x:f>IF(F629="","",IFERROR(VLOOKUP(F629,Master_Data!$E$24:$G$33,2,FALSE),"9999"))</x:f>
      </x:c>
      <x:c r="H629" s="12" t="n"/>
      <x:c r="I629" s="12" t="n"/>
      <x:c r="J629" s="12" t="n"/>
      <x:c r="K629" s="12" t="n"/>
      <x:c r="L629" s="11" t="n"/>
      <x:c r="M629" s="9" t="n"/>
      <x:c r="N629" s="12" t="n"/>
      <x:c r="O629" s="6">
        <x:f>IF(N629="","",IFERROR(VLOOKUP(N629,Master_Data!$A$5:$C$8,3,FALSE),0))</x:f>
      </x:c>
      <x:c r="P629" s="7">
        <x:f>IF(M629="","",M629*O629)</x:f>
      </x:c>
      <x:c r="Q629" s="7">
        <x:f>IF(M629="","",M629+P629)</x:f>
      </x:c>
      <x:c r="R629" s="7">
        <x:f>IF(K629&lt;&gt;"Paid",0,IF(C629="Income",Q629,-Q629))</x:f>
      </x:c>
      <x:c r="S629" s="14">
        <x:f>IF(A629="","",DATE(YEAR(A629),MONTH(A629),1))</x:f>
      </x:c>
      <x:c r="T629" s="14">
        <x:f>IF(L629="","",DATE(YEAR(L629),MONTH(L629),1))</x:f>
      </x:c>
    </x:row>
    <x:row r="630">
      <x:c r="A630" s="11" t="n"/>
      <x:c r="B630" s="5" t="n"/>
      <x:c r="C630" s="12" t="n"/>
      <x:c r="D630" s="12" t="n"/>
      <x:c r="E630" s="12" t="n"/>
      <x:c r="F630" s="12" t="n"/>
      <x:c r="G630" s="13">
        <x:f>IF(F630="","",IFERROR(VLOOKUP(F630,Master_Data!$E$24:$G$33,2,FALSE),"9999"))</x:f>
      </x:c>
      <x:c r="H630" s="12" t="n"/>
      <x:c r="I630" s="12" t="n"/>
      <x:c r="J630" s="12" t="n"/>
      <x:c r="K630" s="12" t="n"/>
      <x:c r="L630" s="11" t="n"/>
      <x:c r="M630" s="9" t="n"/>
      <x:c r="N630" s="12" t="n"/>
      <x:c r="O630" s="6">
        <x:f>IF(N630="","",IFERROR(VLOOKUP(N630,Master_Data!$A$5:$C$8,3,FALSE),0))</x:f>
      </x:c>
      <x:c r="P630" s="7">
        <x:f>IF(M630="","",M630*O630)</x:f>
      </x:c>
      <x:c r="Q630" s="7">
        <x:f>IF(M630="","",M630+P630)</x:f>
      </x:c>
      <x:c r="R630" s="7">
        <x:f>IF(K630&lt;&gt;"Paid",0,IF(C630="Income",Q630,-Q630))</x:f>
      </x:c>
      <x:c r="S630" s="14">
        <x:f>IF(A630="","",DATE(YEAR(A630),MONTH(A630),1))</x:f>
      </x:c>
      <x:c r="T630" s="14">
        <x:f>IF(L630="","",DATE(YEAR(L630),MONTH(L630),1))</x:f>
      </x:c>
    </x:row>
    <x:row r="631">
      <x:c r="A631" s="11" t="n"/>
      <x:c r="B631" s="5" t="n"/>
      <x:c r="C631" s="12" t="n"/>
      <x:c r="D631" s="12" t="n"/>
      <x:c r="E631" s="12" t="n"/>
      <x:c r="F631" s="12" t="n"/>
      <x:c r="G631" s="13">
        <x:f>IF(F631="","",IFERROR(VLOOKUP(F631,Master_Data!$E$24:$G$33,2,FALSE),"9999"))</x:f>
      </x:c>
      <x:c r="H631" s="12" t="n"/>
      <x:c r="I631" s="12" t="n"/>
      <x:c r="J631" s="12" t="n"/>
      <x:c r="K631" s="12" t="n"/>
      <x:c r="L631" s="11" t="n"/>
      <x:c r="M631" s="9" t="n"/>
      <x:c r="N631" s="12" t="n"/>
      <x:c r="O631" s="6">
        <x:f>IF(N631="","",IFERROR(VLOOKUP(N631,Master_Data!$A$5:$C$8,3,FALSE),0))</x:f>
      </x:c>
      <x:c r="P631" s="7">
        <x:f>IF(M631="","",M631*O631)</x:f>
      </x:c>
      <x:c r="Q631" s="7">
        <x:f>IF(M631="","",M631+P631)</x:f>
      </x:c>
      <x:c r="R631" s="7">
        <x:f>IF(K631&lt;&gt;"Paid",0,IF(C631="Income",Q631,-Q631))</x:f>
      </x:c>
      <x:c r="S631" s="14">
        <x:f>IF(A631="","",DATE(YEAR(A631),MONTH(A631),1))</x:f>
      </x:c>
      <x:c r="T631" s="14">
        <x:f>IF(L631="","",DATE(YEAR(L631),MONTH(L631),1))</x:f>
      </x:c>
    </x:row>
    <x:row r="632">
      <x:c r="A632" s="11" t="n"/>
      <x:c r="B632" s="5" t="n"/>
      <x:c r="C632" s="12" t="n"/>
      <x:c r="D632" s="12" t="n"/>
      <x:c r="E632" s="12" t="n"/>
      <x:c r="F632" s="12" t="n"/>
      <x:c r="G632" s="13">
        <x:f>IF(F632="","",IFERROR(VLOOKUP(F632,Master_Data!$E$24:$G$33,2,FALSE),"9999"))</x:f>
      </x:c>
      <x:c r="H632" s="12" t="n"/>
      <x:c r="I632" s="12" t="n"/>
      <x:c r="J632" s="12" t="n"/>
      <x:c r="K632" s="12" t="n"/>
      <x:c r="L632" s="11" t="n"/>
      <x:c r="M632" s="9" t="n"/>
      <x:c r="N632" s="12" t="n"/>
      <x:c r="O632" s="6">
        <x:f>IF(N632="","",IFERROR(VLOOKUP(N632,Master_Data!$A$5:$C$8,3,FALSE),0))</x:f>
      </x:c>
      <x:c r="P632" s="7">
        <x:f>IF(M632="","",M632*O632)</x:f>
      </x:c>
      <x:c r="Q632" s="7">
        <x:f>IF(M632="","",M632+P632)</x:f>
      </x:c>
      <x:c r="R632" s="7">
        <x:f>IF(K632&lt;&gt;"Paid",0,IF(C632="Income",Q632,-Q632))</x:f>
      </x:c>
      <x:c r="S632" s="14">
        <x:f>IF(A632="","",DATE(YEAR(A632),MONTH(A632),1))</x:f>
      </x:c>
      <x:c r="T632" s="14">
        <x:f>IF(L632="","",DATE(YEAR(L632),MONTH(L632),1))</x:f>
      </x:c>
    </x:row>
    <x:row r="633">
      <x:c r="A633" s="11" t="n"/>
      <x:c r="B633" s="5" t="n"/>
      <x:c r="C633" s="12" t="n"/>
      <x:c r="D633" s="12" t="n"/>
      <x:c r="E633" s="12" t="n"/>
      <x:c r="F633" s="12" t="n"/>
      <x:c r="G633" s="13">
        <x:f>IF(F633="","",IFERROR(VLOOKUP(F633,Master_Data!$E$24:$G$33,2,FALSE),"9999"))</x:f>
      </x:c>
      <x:c r="H633" s="12" t="n"/>
      <x:c r="I633" s="12" t="n"/>
      <x:c r="J633" s="12" t="n"/>
      <x:c r="K633" s="12" t="n"/>
      <x:c r="L633" s="11" t="n"/>
      <x:c r="M633" s="9" t="n"/>
      <x:c r="N633" s="12" t="n"/>
      <x:c r="O633" s="6">
        <x:f>IF(N633="","",IFERROR(VLOOKUP(N633,Master_Data!$A$5:$C$8,3,FALSE),0))</x:f>
      </x:c>
      <x:c r="P633" s="7">
        <x:f>IF(M633="","",M633*O633)</x:f>
      </x:c>
      <x:c r="Q633" s="7">
        <x:f>IF(M633="","",M633+P633)</x:f>
      </x:c>
      <x:c r="R633" s="7">
        <x:f>IF(K633&lt;&gt;"Paid",0,IF(C633="Income",Q633,-Q633))</x:f>
      </x:c>
      <x:c r="S633" s="14">
        <x:f>IF(A633="","",DATE(YEAR(A633),MONTH(A633),1))</x:f>
      </x:c>
      <x:c r="T633" s="14">
        <x:f>IF(L633="","",DATE(YEAR(L633),MONTH(L633),1))</x:f>
      </x:c>
    </x:row>
    <x:row r="634">
      <x:c r="A634" s="11" t="n"/>
      <x:c r="B634" s="5" t="n"/>
      <x:c r="C634" s="12" t="n"/>
      <x:c r="D634" s="12" t="n"/>
      <x:c r="E634" s="12" t="n"/>
      <x:c r="F634" s="12" t="n"/>
      <x:c r="G634" s="13">
        <x:f>IF(F634="","",IFERROR(VLOOKUP(F634,Master_Data!$E$24:$G$33,2,FALSE),"9999"))</x:f>
      </x:c>
      <x:c r="H634" s="12" t="n"/>
      <x:c r="I634" s="12" t="n"/>
      <x:c r="J634" s="12" t="n"/>
      <x:c r="K634" s="12" t="n"/>
      <x:c r="L634" s="11" t="n"/>
      <x:c r="M634" s="9" t="n"/>
      <x:c r="N634" s="12" t="n"/>
      <x:c r="O634" s="6">
        <x:f>IF(N634="","",IFERROR(VLOOKUP(N634,Master_Data!$A$5:$C$8,3,FALSE),0))</x:f>
      </x:c>
      <x:c r="P634" s="7">
        <x:f>IF(M634="","",M634*O634)</x:f>
      </x:c>
      <x:c r="Q634" s="7">
        <x:f>IF(M634="","",M634+P634)</x:f>
      </x:c>
      <x:c r="R634" s="7">
        <x:f>IF(K634&lt;&gt;"Paid",0,IF(C634="Income",Q634,-Q634))</x:f>
      </x:c>
      <x:c r="S634" s="14">
        <x:f>IF(A634="","",DATE(YEAR(A634),MONTH(A634),1))</x:f>
      </x:c>
      <x:c r="T634" s="14">
        <x:f>IF(L634="","",DATE(YEAR(L634),MONTH(L634),1))</x:f>
      </x:c>
    </x:row>
    <x:row r="635">
      <x:c r="A635" s="11" t="n"/>
      <x:c r="B635" s="5" t="n"/>
      <x:c r="C635" s="12" t="n"/>
      <x:c r="D635" s="12" t="n"/>
      <x:c r="E635" s="12" t="n"/>
      <x:c r="F635" s="12" t="n"/>
      <x:c r="G635" s="13">
        <x:f>IF(F635="","",IFERROR(VLOOKUP(F635,Master_Data!$E$24:$G$33,2,FALSE),"9999"))</x:f>
      </x:c>
      <x:c r="H635" s="12" t="n"/>
      <x:c r="I635" s="12" t="n"/>
      <x:c r="J635" s="12" t="n"/>
      <x:c r="K635" s="12" t="n"/>
      <x:c r="L635" s="11" t="n"/>
      <x:c r="M635" s="9" t="n"/>
      <x:c r="N635" s="12" t="n"/>
      <x:c r="O635" s="6">
        <x:f>IF(N635="","",IFERROR(VLOOKUP(N635,Master_Data!$A$5:$C$8,3,FALSE),0))</x:f>
      </x:c>
      <x:c r="P635" s="7">
        <x:f>IF(M635="","",M635*O635)</x:f>
      </x:c>
      <x:c r="Q635" s="7">
        <x:f>IF(M635="","",M635+P635)</x:f>
      </x:c>
      <x:c r="R635" s="7">
        <x:f>IF(K635&lt;&gt;"Paid",0,IF(C635="Income",Q635,-Q635))</x:f>
      </x:c>
      <x:c r="S635" s="14">
        <x:f>IF(A635="","",DATE(YEAR(A635),MONTH(A635),1))</x:f>
      </x:c>
      <x:c r="T635" s="14">
        <x:f>IF(L635="","",DATE(YEAR(L635),MONTH(L635),1))</x:f>
      </x:c>
    </x:row>
    <x:row r="636">
      <x:c r="A636" s="11" t="n"/>
      <x:c r="B636" s="5" t="n"/>
      <x:c r="C636" s="12" t="n"/>
      <x:c r="D636" s="12" t="n"/>
      <x:c r="E636" s="12" t="n"/>
      <x:c r="F636" s="12" t="n"/>
      <x:c r="G636" s="13">
        <x:f>IF(F636="","",IFERROR(VLOOKUP(F636,Master_Data!$E$24:$G$33,2,FALSE),"9999"))</x:f>
      </x:c>
      <x:c r="H636" s="12" t="n"/>
      <x:c r="I636" s="12" t="n"/>
      <x:c r="J636" s="12" t="n"/>
      <x:c r="K636" s="12" t="n"/>
      <x:c r="L636" s="11" t="n"/>
      <x:c r="M636" s="9" t="n"/>
      <x:c r="N636" s="12" t="n"/>
      <x:c r="O636" s="6">
        <x:f>IF(N636="","",IFERROR(VLOOKUP(N636,Master_Data!$A$5:$C$8,3,FALSE),0))</x:f>
      </x:c>
      <x:c r="P636" s="7">
        <x:f>IF(M636="","",M636*O636)</x:f>
      </x:c>
      <x:c r="Q636" s="7">
        <x:f>IF(M636="","",M636+P636)</x:f>
      </x:c>
      <x:c r="R636" s="7">
        <x:f>IF(K636&lt;&gt;"Paid",0,IF(C636="Income",Q636,-Q636))</x:f>
      </x:c>
      <x:c r="S636" s="14">
        <x:f>IF(A636="","",DATE(YEAR(A636),MONTH(A636),1))</x:f>
      </x:c>
      <x:c r="T636" s="14">
        <x:f>IF(L636="","",DATE(YEAR(L636),MONTH(L636),1))</x:f>
      </x:c>
    </x:row>
    <x:row r="637">
      <x:c r="A637" s="11" t="n"/>
      <x:c r="B637" s="5" t="n"/>
      <x:c r="C637" s="12" t="n"/>
      <x:c r="D637" s="12" t="n"/>
      <x:c r="E637" s="12" t="n"/>
      <x:c r="F637" s="12" t="n"/>
      <x:c r="G637" s="13">
        <x:f>IF(F637="","",IFERROR(VLOOKUP(F637,Master_Data!$E$24:$G$33,2,FALSE),"9999"))</x:f>
      </x:c>
      <x:c r="H637" s="12" t="n"/>
      <x:c r="I637" s="12" t="n"/>
      <x:c r="J637" s="12" t="n"/>
      <x:c r="K637" s="12" t="n"/>
      <x:c r="L637" s="11" t="n"/>
      <x:c r="M637" s="9" t="n"/>
      <x:c r="N637" s="12" t="n"/>
      <x:c r="O637" s="6">
        <x:f>IF(N637="","",IFERROR(VLOOKUP(N637,Master_Data!$A$5:$C$8,3,FALSE),0))</x:f>
      </x:c>
      <x:c r="P637" s="7">
        <x:f>IF(M637="","",M637*O637)</x:f>
      </x:c>
      <x:c r="Q637" s="7">
        <x:f>IF(M637="","",M637+P637)</x:f>
      </x:c>
      <x:c r="R637" s="7">
        <x:f>IF(K637&lt;&gt;"Paid",0,IF(C637="Income",Q637,-Q637))</x:f>
      </x:c>
      <x:c r="S637" s="14">
        <x:f>IF(A637="","",DATE(YEAR(A637),MONTH(A637),1))</x:f>
      </x:c>
      <x:c r="T637" s="14">
        <x:f>IF(L637="","",DATE(YEAR(L637),MONTH(L637),1))</x:f>
      </x:c>
    </x:row>
    <x:row r="638">
      <x:c r="A638" s="11" t="n"/>
      <x:c r="B638" s="5" t="n"/>
      <x:c r="C638" s="12" t="n"/>
      <x:c r="D638" s="12" t="n"/>
      <x:c r="E638" s="12" t="n"/>
      <x:c r="F638" s="12" t="n"/>
      <x:c r="G638" s="13">
        <x:f>IF(F638="","",IFERROR(VLOOKUP(F638,Master_Data!$E$24:$G$33,2,FALSE),"9999"))</x:f>
      </x:c>
      <x:c r="H638" s="12" t="n"/>
      <x:c r="I638" s="12" t="n"/>
      <x:c r="J638" s="12" t="n"/>
      <x:c r="K638" s="12" t="n"/>
      <x:c r="L638" s="11" t="n"/>
      <x:c r="M638" s="9" t="n"/>
      <x:c r="N638" s="12" t="n"/>
      <x:c r="O638" s="6">
        <x:f>IF(N638="","",IFERROR(VLOOKUP(N638,Master_Data!$A$5:$C$8,3,FALSE),0))</x:f>
      </x:c>
      <x:c r="P638" s="7">
        <x:f>IF(M638="","",M638*O638)</x:f>
      </x:c>
      <x:c r="Q638" s="7">
        <x:f>IF(M638="","",M638+P638)</x:f>
      </x:c>
      <x:c r="R638" s="7">
        <x:f>IF(K638&lt;&gt;"Paid",0,IF(C638="Income",Q638,-Q638))</x:f>
      </x:c>
      <x:c r="S638" s="14">
        <x:f>IF(A638="","",DATE(YEAR(A638),MONTH(A638),1))</x:f>
      </x:c>
      <x:c r="T638" s="14">
        <x:f>IF(L638="","",DATE(YEAR(L638),MONTH(L638),1))</x:f>
      </x:c>
    </x:row>
    <x:row r="639">
      <x:c r="A639" s="11" t="n"/>
      <x:c r="B639" s="5" t="n"/>
      <x:c r="C639" s="12" t="n"/>
      <x:c r="D639" s="12" t="n"/>
      <x:c r="E639" s="12" t="n"/>
      <x:c r="F639" s="12" t="n"/>
      <x:c r="G639" s="13">
        <x:f>IF(F639="","",IFERROR(VLOOKUP(F639,Master_Data!$E$24:$G$33,2,FALSE),"9999"))</x:f>
      </x:c>
      <x:c r="H639" s="12" t="n"/>
      <x:c r="I639" s="12" t="n"/>
      <x:c r="J639" s="12" t="n"/>
      <x:c r="K639" s="12" t="n"/>
      <x:c r="L639" s="11" t="n"/>
      <x:c r="M639" s="9" t="n"/>
      <x:c r="N639" s="12" t="n"/>
      <x:c r="O639" s="6">
        <x:f>IF(N639="","",IFERROR(VLOOKUP(N639,Master_Data!$A$5:$C$8,3,FALSE),0))</x:f>
      </x:c>
      <x:c r="P639" s="7">
        <x:f>IF(M639="","",M639*O639)</x:f>
      </x:c>
      <x:c r="Q639" s="7">
        <x:f>IF(M639="","",M639+P639)</x:f>
      </x:c>
      <x:c r="R639" s="7">
        <x:f>IF(K639&lt;&gt;"Paid",0,IF(C639="Income",Q639,-Q639))</x:f>
      </x:c>
      <x:c r="S639" s="14">
        <x:f>IF(A639="","",DATE(YEAR(A639),MONTH(A639),1))</x:f>
      </x:c>
      <x:c r="T639" s="14">
        <x:f>IF(L639="","",DATE(YEAR(L639),MONTH(L639),1))</x:f>
      </x:c>
    </x:row>
    <x:row r="640">
      <x:c r="A640" s="11" t="n"/>
      <x:c r="B640" s="5" t="n"/>
      <x:c r="C640" s="12" t="n"/>
      <x:c r="D640" s="12" t="n"/>
      <x:c r="E640" s="12" t="n"/>
      <x:c r="F640" s="12" t="n"/>
      <x:c r="G640" s="13">
        <x:f>IF(F640="","",IFERROR(VLOOKUP(F640,Master_Data!$E$24:$G$33,2,FALSE),"9999"))</x:f>
      </x:c>
      <x:c r="H640" s="12" t="n"/>
      <x:c r="I640" s="12" t="n"/>
      <x:c r="J640" s="12" t="n"/>
      <x:c r="K640" s="12" t="n"/>
      <x:c r="L640" s="11" t="n"/>
      <x:c r="M640" s="9" t="n"/>
      <x:c r="N640" s="12" t="n"/>
      <x:c r="O640" s="6">
        <x:f>IF(N640="","",IFERROR(VLOOKUP(N640,Master_Data!$A$5:$C$8,3,FALSE),0))</x:f>
      </x:c>
      <x:c r="P640" s="7">
        <x:f>IF(M640="","",M640*O640)</x:f>
      </x:c>
      <x:c r="Q640" s="7">
        <x:f>IF(M640="","",M640+P640)</x:f>
      </x:c>
      <x:c r="R640" s="7">
        <x:f>IF(K640&lt;&gt;"Paid",0,IF(C640="Income",Q640,-Q640))</x:f>
      </x:c>
      <x:c r="S640" s="14">
        <x:f>IF(A640="","",DATE(YEAR(A640),MONTH(A640),1))</x:f>
      </x:c>
      <x:c r="T640" s="14">
        <x:f>IF(L640="","",DATE(YEAR(L640),MONTH(L640),1))</x:f>
      </x:c>
    </x:row>
    <x:row r="641">
      <x:c r="A641" s="11" t="n"/>
      <x:c r="B641" s="5" t="n"/>
      <x:c r="C641" s="12" t="n"/>
      <x:c r="D641" s="12" t="n"/>
      <x:c r="E641" s="12" t="n"/>
      <x:c r="F641" s="12" t="n"/>
      <x:c r="G641" s="13">
        <x:f>IF(F641="","",IFERROR(VLOOKUP(F641,Master_Data!$E$24:$G$33,2,FALSE),"9999"))</x:f>
      </x:c>
      <x:c r="H641" s="12" t="n"/>
      <x:c r="I641" s="12" t="n"/>
      <x:c r="J641" s="12" t="n"/>
      <x:c r="K641" s="12" t="n"/>
      <x:c r="L641" s="11" t="n"/>
      <x:c r="M641" s="9" t="n"/>
      <x:c r="N641" s="12" t="n"/>
      <x:c r="O641" s="6">
        <x:f>IF(N641="","",IFERROR(VLOOKUP(N641,Master_Data!$A$5:$C$8,3,FALSE),0))</x:f>
      </x:c>
      <x:c r="P641" s="7">
        <x:f>IF(M641="","",M641*O641)</x:f>
      </x:c>
      <x:c r="Q641" s="7">
        <x:f>IF(M641="","",M641+P641)</x:f>
      </x:c>
      <x:c r="R641" s="7">
        <x:f>IF(K641&lt;&gt;"Paid",0,IF(C641="Income",Q641,-Q641))</x:f>
      </x:c>
      <x:c r="S641" s="14">
        <x:f>IF(A641="","",DATE(YEAR(A641),MONTH(A641),1))</x:f>
      </x:c>
      <x:c r="T641" s="14">
        <x:f>IF(L641="","",DATE(YEAR(L641),MONTH(L641),1))</x:f>
      </x:c>
    </x:row>
    <x:row r="642">
      <x:c r="A642" s="11" t="n"/>
      <x:c r="B642" s="5" t="n"/>
      <x:c r="C642" s="12" t="n"/>
      <x:c r="D642" s="12" t="n"/>
      <x:c r="E642" s="12" t="n"/>
      <x:c r="F642" s="12" t="n"/>
      <x:c r="G642" s="13">
        <x:f>IF(F642="","",IFERROR(VLOOKUP(F642,Master_Data!$E$24:$G$33,2,FALSE),"9999"))</x:f>
      </x:c>
      <x:c r="H642" s="12" t="n"/>
      <x:c r="I642" s="12" t="n"/>
      <x:c r="J642" s="12" t="n"/>
      <x:c r="K642" s="12" t="n"/>
      <x:c r="L642" s="11" t="n"/>
      <x:c r="M642" s="9" t="n"/>
      <x:c r="N642" s="12" t="n"/>
      <x:c r="O642" s="6">
        <x:f>IF(N642="","",IFERROR(VLOOKUP(N642,Master_Data!$A$5:$C$8,3,FALSE),0))</x:f>
      </x:c>
      <x:c r="P642" s="7">
        <x:f>IF(M642="","",M642*O642)</x:f>
      </x:c>
      <x:c r="Q642" s="7">
        <x:f>IF(M642="","",M642+P642)</x:f>
      </x:c>
      <x:c r="R642" s="7">
        <x:f>IF(K642&lt;&gt;"Paid",0,IF(C642="Income",Q642,-Q642))</x:f>
      </x:c>
      <x:c r="S642" s="14">
        <x:f>IF(A642="","",DATE(YEAR(A642),MONTH(A642),1))</x:f>
      </x:c>
      <x:c r="T642" s="14">
        <x:f>IF(L642="","",DATE(YEAR(L642),MONTH(L642),1))</x:f>
      </x:c>
    </x:row>
    <x:row r="643">
      <x:c r="A643" s="11" t="n"/>
      <x:c r="B643" s="5" t="n"/>
      <x:c r="C643" s="12" t="n"/>
      <x:c r="D643" s="12" t="n"/>
      <x:c r="E643" s="12" t="n"/>
      <x:c r="F643" s="12" t="n"/>
      <x:c r="G643" s="13">
        <x:f>IF(F643="","",IFERROR(VLOOKUP(F643,Master_Data!$E$24:$G$33,2,FALSE),"9999"))</x:f>
      </x:c>
      <x:c r="H643" s="12" t="n"/>
      <x:c r="I643" s="12" t="n"/>
      <x:c r="J643" s="12" t="n"/>
      <x:c r="K643" s="12" t="n"/>
      <x:c r="L643" s="11" t="n"/>
      <x:c r="M643" s="9" t="n"/>
      <x:c r="N643" s="12" t="n"/>
      <x:c r="O643" s="6">
        <x:f>IF(N643="","",IFERROR(VLOOKUP(N643,Master_Data!$A$5:$C$8,3,FALSE),0))</x:f>
      </x:c>
      <x:c r="P643" s="7">
        <x:f>IF(M643="","",M643*O643)</x:f>
      </x:c>
      <x:c r="Q643" s="7">
        <x:f>IF(M643="","",M643+P643)</x:f>
      </x:c>
      <x:c r="R643" s="7">
        <x:f>IF(K643&lt;&gt;"Paid",0,IF(C643="Income",Q643,-Q643))</x:f>
      </x:c>
      <x:c r="S643" s="14">
        <x:f>IF(A643="","",DATE(YEAR(A643),MONTH(A643),1))</x:f>
      </x:c>
      <x:c r="T643" s="14">
        <x:f>IF(L643="","",DATE(YEAR(L643),MONTH(L643),1))</x:f>
      </x:c>
    </x:row>
    <x:row r="644">
      <x:c r="A644" s="11" t="n"/>
      <x:c r="B644" s="5" t="n"/>
      <x:c r="C644" s="12" t="n"/>
      <x:c r="D644" s="12" t="n"/>
      <x:c r="E644" s="12" t="n"/>
      <x:c r="F644" s="12" t="n"/>
      <x:c r="G644" s="13">
        <x:f>IF(F644="","",IFERROR(VLOOKUP(F644,Master_Data!$E$24:$G$33,2,FALSE),"9999"))</x:f>
      </x:c>
      <x:c r="H644" s="12" t="n"/>
      <x:c r="I644" s="12" t="n"/>
      <x:c r="J644" s="12" t="n"/>
      <x:c r="K644" s="12" t="n"/>
      <x:c r="L644" s="11" t="n"/>
      <x:c r="M644" s="9" t="n"/>
      <x:c r="N644" s="12" t="n"/>
      <x:c r="O644" s="6">
        <x:f>IF(N644="","",IFERROR(VLOOKUP(N644,Master_Data!$A$5:$C$8,3,FALSE),0))</x:f>
      </x:c>
      <x:c r="P644" s="7">
        <x:f>IF(M644="","",M644*O644)</x:f>
      </x:c>
      <x:c r="Q644" s="7">
        <x:f>IF(M644="","",M644+P644)</x:f>
      </x:c>
      <x:c r="R644" s="7">
        <x:f>IF(K644&lt;&gt;"Paid",0,IF(C644="Income",Q644,-Q644))</x:f>
      </x:c>
      <x:c r="S644" s="14">
        <x:f>IF(A644="","",DATE(YEAR(A644),MONTH(A644),1))</x:f>
      </x:c>
      <x:c r="T644" s="14">
        <x:f>IF(L644="","",DATE(YEAR(L644),MONTH(L644),1))</x:f>
      </x:c>
    </x:row>
    <x:row r="645">
      <x:c r="A645" s="11" t="n"/>
      <x:c r="B645" s="5" t="n"/>
      <x:c r="C645" s="12" t="n"/>
      <x:c r="D645" s="12" t="n"/>
      <x:c r="E645" s="12" t="n"/>
      <x:c r="F645" s="12" t="n"/>
      <x:c r="G645" s="13">
        <x:f>IF(F645="","",IFERROR(VLOOKUP(F645,Master_Data!$E$24:$G$33,2,FALSE),"9999"))</x:f>
      </x:c>
      <x:c r="H645" s="12" t="n"/>
      <x:c r="I645" s="12" t="n"/>
      <x:c r="J645" s="12" t="n"/>
      <x:c r="K645" s="12" t="n"/>
      <x:c r="L645" s="11" t="n"/>
      <x:c r="M645" s="9" t="n"/>
      <x:c r="N645" s="12" t="n"/>
      <x:c r="O645" s="6">
        <x:f>IF(N645="","",IFERROR(VLOOKUP(N645,Master_Data!$A$5:$C$8,3,FALSE),0))</x:f>
      </x:c>
      <x:c r="P645" s="7">
        <x:f>IF(M645="","",M645*O645)</x:f>
      </x:c>
      <x:c r="Q645" s="7">
        <x:f>IF(M645="","",M645+P645)</x:f>
      </x:c>
      <x:c r="R645" s="7">
        <x:f>IF(K645&lt;&gt;"Paid",0,IF(C645="Income",Q645,-Q645))</x:f>
      </x:c>
      <x:c r="S645" s="14">
        <x:f>IF(A645="","",DATE(YEAR(A645),MONTH(A645),1))</x:f>
      </x:c>
      <x:c r="T645" s="14">
        <x:f>IF(L645="","",DATE(YEAR(L645),MONTH(L645),1))</x:f>
      </x:c>
    </x:row>
    <x:row r="646">
      <x:c r="A646" s="11" t="n"/>
      <x:c r="B646" s="5" t="n"/>
      <x:c r="C646" s="12" t="n"/>
      <x:c r="D646" s="12" t="n"/>
      <x:c r="E646" s="12" t="n"/>
      <x:c r="F646" s="12" t="n"/>
      <x:c r="G646" s="13">
        <x:f>IF(F646="","",IFERROR(VLOOKUP(F646,Master_Data!$E$24:$G$33,2,FALSE),"9999"))</x:f>
      </x:c>
      <x:c r="H646" s="12" t="n"/>
      <x:c r="I646" s="12" t="n"/>
      <x:c r="J646" s="12" t="n"/>
      <x:c r="K646" s="12" t="n"/>
      <x:c r="L646" s="11" t="n"/>
      <x:c r="M646" s="9" t="n"/>
      <x:c r="N646" s="12" t="n"/>
      <x:c r="O646" s="6">
        <x:f>IF(N646="","",IFERROR(VLOOKUP(N646,Master_Data!$A$5:$C$8,3,FALSE),0))</x:f>
      </x:c>
      <x:c r="P646" s="7">
        <x:f>IF(M646="","",M646*O646)</x:f>
      </x:c>
      <x:c r="Q646" s="7">
        <x:f>IF(M646="","",M646+P646)</x:f>
      </x:c>
      <x:c r="R646" s="7">
        <x:f>IF(K646&lt;&gt;"Paid",0,IF(C646="Income",Q646,-Q646))</x:f>
      </x:c>
      <x:c r="S646" s="14">
        <x:f>IF(A646="","",DATE(YEAR(A646),MONTH(A646),1))</x:f>
      </x:c>
      <x:c r="T646" s="14">
        <x:f>IF(L646="","",DATE(YEAR(L646),MONTH(L646),1))</x:f>
      </x:c>
    </x:row>
    <x:row r="647">
      <x:c r="A647" s="11" t="n"/>
      <x:c r="B647" s="5" t="n"/>
      <x:c r="C647" s="12" t="n"/>
      <x:c r="D647" s="12" t="n"/>
      <x:c r="E647" s="12" t="n"/>
      <x:c r="F647" s="12" t="n"/>
      <x:c r="G647" s="13">
        <x:f>IF(F647="","",IFERROR(VLOOKUP(F647,Master_Data!$E$24:$G$33,2,FALSE),"9999"))</x:f>
      </x:c>
      <x:c r="H647" s="12" t="n"/>
      <x:c r="I647" s="12" t="n"/>
      <x:c r="J647" s="12" t="n"/>
      <x:c r="K647" s="12" t="n"/>
      <x:c r="L647" s="11" t="n"/>
      <x:c r="M647" s="9" t="n"/>
      <x:c r="N647" s="12" t="n"/>
      <x:c r="O647" s="6">
        <x:f>IF(N647="","",IFERROR(VLOOKUP(N647,Master_Data!$A$5:$C$8,3,FALSE),0))</x:f>
      </x:c>
      <x:c r="P647" s="7">
        <x:f>IF(M647="","",M647*O647)</x:f>
      </x:c>
      <x:c r="Q647" s="7">
        <x:f>IF(M647="","",M647+P647)</x:f>
      </x:c>
      <x:c r="R647" s="7">
        <x:f>IF(K647&lt;&gt;"Paid",0,IF(C647="Income",Q647,-Q647))</x:f>
      </x:c>
      <x:c r="S647" s="14">
        <x:f>IF(A647="","",DATE(YEAR(A647),MONTH(A647),1))</x:f>
      </x:c>
      <x:c r="T647" s="14">
        <x:f>IF(L647="","",DATE(YEAR(L647),MONTH(L647),1))</x:f>
      </x:c>
    </x:row>
    <x:row r="648">
      <x:c r="A648" s="11" t="n"/>
      <x:c r="B648" s="5" t="n"/>
      <x:c r="C648" s="12" t="n"/>
      <x:c r="D648" s="12" t="n"/>
      <x:c r="E648" s="12" t="n"/>
      <x:c r="F648" s="12" t="n"/>
      <x:c r="G648" s="13">
        <x:f>IF(F648="","",IFERROR(VLOOKUP(F648,Master_Data!$E$24:$G$33,2,FALSE),"9999"))</x:f>
      </x:c>
      <x:c r="H648" s="12" t="n"/>
      <x:c r="I648" s="12" t="n"/>
      <x:c r="J648" s="12" t="n"/>
      <x:c r="K648" s="12" t="n"/>
      <x:c r="L648" s="11" t="n"/>
      <x:c r="M648" s="9" t="n"/>
      <x:c r="N648" s="12" t="n"/>
      <x:c r="O648" s="6">
        <x:f>IF(N648="","",IFERROR(VLOOKUP(N648,Master_Data!$A$5:$C$8,3,FALSE),0))</x:f>
      </x:c>
      <x:c r="P648" s="7">
        <x:f>IF(M648="","",M648*O648)</x:f>
      </x:c>
      <x:c r="Q648" s="7">
        <x:f>IF(M648="","",M648+P648)</x:f>
      </x:c>
      <x:c r="R648" s="7">
        <x:f>IF(K648&lt;&gt;"Paid",0,IF(C648="Income",Q648,-Q648))</x:f>
      </x:c>
      <x:c r="S648" s="14">
        <x:f>IF(A648="","",DATE(YEAR(A648),MONTH(A648),1))</x:f>
      </x:c>
      <x:c r="T648" s="14">
        <x:f>IF(L648="","",DATE(YEAR(L648),MONTH(L648),1))</x:f>
      </x:c>
    </x:row>
    <x:row r="649">
      <x:c r="A649" s="11" t="n"/>
      <x:c r="B649" s="5" t="n"/>
      <x:c r="C649" s="12" t="n"/>
      <x:c r="D649" s="12" t="n"/>
      <x:c r="E649" s="12" t="n"/>
      <x:c r="F649" s="12" t="n"/>
      <x:c r="G649" s="13">
        <x:f>IF(F649="","",IFERROR(VLOOKUP(F649,Master_Data!$E$24:$G$33,2,FALSE),"9999"))</x:f>
      </x:c>
      <x:c r="H649" s="12" t="n"/>
      <x:c r="I649" s="12" t="n"/>
      <x:c r="J649" s="12" t="n"/>
      <x:c r="K649" s="12" t="n"/>
      <x:c r="L649" s="11" t="n"/>
      <x:c r="M649" s="9" t="n"/>
      <x:c r="N649" s="12" t="n"/>
      <x:c r="O649" s="6">
        <x:f>IF(N649="","",IFERROR(VLOOKUP(N649,Master_Data!$A$5:$C$8,3,FALSE),0))</x:f>
      </x:c>
      <x:c r="P649" s="7">
        <x:f>IF(M649="","",M649*O649)</x:f>
      </x:c>
      <x:c r="Q649" s="7">
        <x:f>IF(M649="","",M649+P649)</x:f>
      </x:c>
      <x:c r="R649" s="7">
        <x:f>IF(K649&lt;&gt;"Paid",0,IF(C649="Income",Q649,-Q649))</x:f>
      </x:c>
      <x:c r="S649" s="14">
        <x:f>IF(A649="","",DATE(YEAR(A649),MONTH(A649),1))</x:f>
      </x:c>
      <x:c r="T649" s="14">
        <x:f>IF(L649="","",DATE(YEAR(L649),MONTH(L649),1))</x:f>
      </x:c>
    </x:row>
    <x:row r="650">
      <x:c r="A650" s="11" t="n"/>
      <x:c r="B650" s="5" t="n"/>
      <x:c r="C650" s="12" t="n"/>
      <x:c r="D650" s="12" t="n"/>
      <x:c r="E650" s="12" t="n"/>
      <x:c r="F650" s="12" t="n"/>
      <x:c r="G650" s="13">
        <x:f>IF(F650="","",IFERROR(VLOOKUP(F650,Master_Data!$E$24:$G$33,2,FALSE),"9999"))</x:f>
      </x:c>
      <x:c r="H650" s="12" t="n"/>
      <x:c r="I650" s="12" t="n"/>
      <x:c r="J650" s="12" t="n"/>
      <x:c r="K650" s="12" t="n"/>
      <x:c r="L650" s="11" t="n"/>
      <x:c r="M650" s="9" t="n"/>
      <x:c r="N650" s="12" t="n"/>
      <x:c r="O650" s="6">
        <x:f>IF(N650="","",IFERROR(VLOOKUP(N650,Master_Data!$A$5:$C$8,3,FALSE),0))</x:f>
      </x:c>
      <x:c r="P650" s="7">
        <x:f>IF(M650="","",M650*O650)</x:f>
      </x:c>
      <x:c r="Q650" s="7">
        <x:f>IF(M650="","",M650+P650)</x:f>
      </x:c>
      <x:c r="R650" s="7">
        <x:f>IF(K650&lt;&gt;"Paid",0,IF(C650="Income",Q650,-Q650))</x:f>
      </x:c>
      <x:c r="S650" s="14">
        <x:f>IF(A650="","",DATE(YEAR(A650),MONTH(A650),1))</x:f>
      </x:c>
      <x:c r="T650" s="14">
        <x:f>IF(L650="","",DATE(YEAR(L650),MONTH(L650),1))</x:f>
      </x:c>
    </x:row>
    <x:row r="651">
      <x:c r="A651" s="11" t="n"/>
      <x:c r="B651" s="5" t="n"/>
      <x:c r="C651" s="12" t="n"/>
      <x:c r="D651" s="12" t="n"/>
      <x:c r="E651" s="12" t="n"/>
      <x:c r="F651" s="12" t="n"/>
      <x:c r="G651" s="13">
        <x:f>IF(F651="","",IFERROR(VLOOKUP(F651,Master_Data!$E$24:$G$33,2,FALSE),"9999"))</x:f>
      </x:c>
      <x:c r="H651" s="12" t="n"/>
      <x:c r="I651" s="12" t="n"/>
      <x:c r="J651" s="12" t="n"/>
      <x:c r="K651" s="12" t="n"/>
      <x:c r="L651" s="11" t="n"/>
      <x:c r="M651" s="9" t="n"/>
      <x:c r="N651" s="12" t="n"/>
      <x:c r="O651" s="6">
        <x:f>IF(N651="","",IFERROR(VLOOKUP(N651,Master_Data!$A$5:$C$8,3,FALSE),0))</x:f>
      </x:c>
      <x:c r="P651" s="7">
        <x:f>IF(M651="","",M651*O651)</x:f>
      </x:c>
      <x:c r="Q651" s="7">
        <x:f>IF(M651="","",M651+P651)</x:f>
      </x:c>
      <x:c r="R651" s="7">
        <x:f>IF(K651&lt;&gt;"Paid",0,IF(C651="Income",Q651,-Q651))</x:f>
      </x:c>
      <x:c r="S651" s="14">
        <x:f>IF(A651="","",DATE(YEAR(A651),MONTH(A651),1))</x:f>
      </x:c>
      <x:c r="T651" s="14">
        <x:f>IF(L651="","",DATE(YEAR(L651),MONTH(L651),1))</x:f>
      </x:c>
    </x:row>
    <x:row r="652">
      <x:c r="A652" s="11" t="n"/>
      <x:c r="B652" s="5" t="n"/>
      <x:c r="C652" s="12" t="n"/>
      <x:c r="D652" s="12" t="n"/>
      <x:c r="E652" s="12" t="n"/>
      <x:c r="F652" s="12" t="n"/>
      <x:c r="G652" s="13">
        <x:f>IF(F652="","",IFERROR(VLOOKUP(F652,Master_Data!$E$24:$G$33,2,FALSE),"9999"))</x:f>
      </x:c>
      <x:c r="H652" s="12" t="n"/>
      <x:c r="I652" s="12" t="n"/>
      <x:c r="J652" s="12" t="n"/>
      <x:c r="K652" s="12" t="n"/>
      <x:c r="L652" s="11" t="n"/>
      <x:c r="M652" s="9" t="n"/>
      <x:c r="N652" s="12" t="n"/>
      <x:c r="O652" s="6">
        <x:f>IF(N652="","",IFERROR(VLOOKUP(N652,Master_Data!$A$5:$C$8,3,FALSE),0))</x:f>
      </x:c>
      <x:c r="P652" s="7">
        <x:f>IF(M652="","",M652*O652)</x:f>
      </x:c>
      <x:c r="Q652" s="7">
        <x:f>IF(M652="","",M652+P652)</x:f>
      </x:c>
      <x:c r="R652" s="7">
        <x:f>IF(K652&lt;&gt;"Paid",0,IF(C652="Income",Q652,-Q652))</x:f>
      </x:c>
      <x:c r="S652" s="14">
        <x:f>IF(A652="","",DATE(YEAR(A652),MONTH(A652),1))</x:f>
      </x:c>
      <x:c r="T652" s="14">
        <x:f>IF(L652="","",DATE(YEAR(L652),MONTH(L652),1))</x:f>
      </x:c>
    </x:row>
    <x:row r="653">
      <x:c r="A653" s="11" t="n"/>
      <x:c r="B653" s="5" t="n"/>
      <x:c r="C653" s="12" t="n"/>
      <x:c r="D653" s="12" t="n"/>
      <x:c r="E653" s="12" t="n"/>
      <x:c r="F653" s="12" t="n"/>
      <x:c r="G653" s="13">
        <x:f>IF(F653="","",IFERROR(VLOOKUP(F653,Master_Data!$E$24:$G$33,2,FALSE),"9999"))</x:f>
      </x:c>
      <x:c r="H653" s="12" t="n"/>
      <x:c r="I653" s="12" t="n"/>
      <x:c r="J653" s="12" t="n"/>
      <x:c r="K653" s="12" t="n"/>
      <x:c r="L653" s="11" t="n"/>
      <x:c r="M653" s="9" t="n"/>
      <x:c r="N653" s="12" t="n"/>
      <x:c r="O653" s="6">
        <x:f>IF(N653="","",IFERROR(VLOOKUP(N653,Master_Data!$A$5:$C$8,3,FALSE),0))</x:f>
      </x:c>
      <x:c r="P653" s="7">
        <x:f>IF(M653="","",M653*O653)</x:f>
      </x:c>
      <x:c r="Q653" s="7">
        <x:f>IF(M653="","",M653+P653)</x:f>
      </x:c>
      <x:c r="R653" s="7">
        <x:f>IF(K653&lt;&gt;"Paid",0,IF(C653="Income",Q653,-Q653))</x:f>
      </x:c>
      <x:c r="S653" s="14">
        <x:f>IF(A653="","",DATE(YEAR(A653),MONTH(A653),1))</x:f>
      </x:c>
      <x:c r="T653" s="14">
        <x:f>IF(L653="","",DATE(YEAR(L653),MONTH(L653),1))</x:f>
      </x:c>
    </x:row>
    <x:row r="654">
      <x:c r="A654" s="11" t="n"/>
      <x:c r="B654" s="5" t="n"/>
      <x:c r="C654" s="12" t="n"/>
      <x:c r="D654" s="12" t="n"/>
      <x:c r="E654" s="12" t="n"/>
      <x:c r="F654" s="12" t="n"/>
      <x:c r="G654" s="13">
        <x:f>IF(F654="","",IFERROR(VLOOKUP(F654,Master_Data!$E$24:$G$33,2,FALSE),"9999"))</x:f>
      </x:c>
      <x:c r="H654" s="12" t="n"/>
      <x:c r="I654" s="12" t="n"/>
      <x:c r="J654" s="12" t="n"/>
      <x:c r="K654" s="12" t="n"/>
      <x:c r="L654" s="11" t="n"/>
      <x:c r="M654" s="9" t="n"/>
      <x:c r="N654" s="12" t="n"/>
      <x:c r="O654" s="6">
        <x:f>IF(N654="","",IFERROR(VLOOKUP(N654,Master_Data!$A$5:$C$8,3,FALSE),0))</x:f>
      </x:c>
      <x:c r="P654" s="7">
        <x:f>IF(M654="","",M654*O654)</x:f>
      </x:c>
      <x:c r="Q654" s="7">
        <x:f>IF(M654="","",M654+P654)</x:f>
      </x:c>
      <x:c r="R654" s="7">
        <x:f>IF(K654&lt;&gt;"Paid",0,IF(C654="Income",Q654,-Q654))</x:f>
      </x:c>
      <x:c r="S654" s="14">
        <x:f>IF(A654="","",DATE(YEAR(A654),MONTH(A654),1))</x:f>
      </x:c>
      <x:c r="T654" s="14">
        <x:f>IF(L654="","",DATE(YEAR(L654),MONTH(L654),1))</x:f>
      </x:c>
    </x:row>
    <x:row r="655">
      <x:c r="A655" s="11" t="n"/>
      <x:c r="B655" s="5" t="n"/>
      <x:c r="C655" s="12" t="n"/>
      <x:c r="D655" s="12" t="n"/>
      <x:c r="E655" s="12" t="n"/>
      <x:c r="F655" s="12" t="n"/>
      <x:c r="G655" s="13">
        <x:f>IF(F655="","",IFERROR(VLOOKUP(F655,Master_Data!$E$24:$G$33,2,FALSE),"9999"))</x:f>
      </x:c>
      <x:c r="H655" s="12" t="n"/>
      <x:c r="I655" s="12" t="n"/>
      <x:c r="J655" s="12" t="n"/>
      <x:c r="K655" s="12" t="n"/>
      <x:c r="L655" s="11" t="n"/>
      <x:c r="M655" s="9" t="n"/>
      <x:c r="N655" s="12" t="n"/>
      <x:c r="O655" s="6">
        <x:f>IF(N655="","",IFERROR(VLOOKUP(N655,Master_Data!$A$5:$C$8,3,FALSE),0))</x:f>
      </x:c>
      <x:c r="P655" s="7">
        <x:f>IF(M655="","",M655*O655)</x:f>
      </x:c>
      <x:c r="Q655" s="7">
        <x:f>IF(M655="","",M655+P655)</x:f>
      </x:c>
      <x:c r="R655" s="7">
        <x:f>IF(K655&lt;&gt;"Paid",0,IF(C655="Income",Q655,-Q655))</x:f>
      </x:c>
      <x:c r="S655" s="14">
        <x:f>IF(A655="","",DATE(YEAR(A655),MONTH(A655),1))</x:f>
      </x:c>
      <x:c r="T655" s="14">
        <x:f>IF(L655="","",DATE(YEAR(L655),MONTH(L655),1))</x:f>
      </x:c>
    </x:row>
    <x:row r="656">
      <x:c r="A656" s="11" t="n"/>
      <x:c r="B656" s="5" t="n"/>
      <x:c r="C656" s="12" t="n"/>
      <x:c r="D656" s="12" t="n"/>
      <x:c r="E656" s="12" t="n"/>
      <x:c r="F656" s="12" t="n"/>
      <x:c r="G656" s="13">
        <x:f>IF(F656="","",IFERROR(VLOOKUP(F656,Master_Data!$E$24:$G$33,2,FALSE),"9999"))</x:f>
      </x:c>
      <x:c r="H656" s="12" t="n"/>
      <x:c r="I656" s="12" t="n"/>
      <x:c r="J656" s="12" t="n"/>
      <x:c r="K656" s="12" t="n"/>
      <x:c r="L656" s="11" t="n"/>
      <x:c r="M656" s="9" t="n"/>
      <x:c r="N656" s="12" t="n"/>
      <x:c r="O656" s="6">
        <x:f>IF(N656="","",IFERROR(VLOOKUP(N656,Master_Data!$A$5:$C$8,3,FALSE),0))</x:f>
      </x:c>
      <x:c r="P656" s="7">
        <x:f>IF(M656="","",M656*O656)</x:f>
      </x:c>
      <x:c r="Q656" s="7">
        <x:f>IF(M656="","",M656+P656)</x:f>
      </x:c>
      <x:c r="R656" s="7">
        <x:f>IF(K656&lt;&gt;"Paid",0,IF(C656="Income",Q656,-Q656))</x:f>
      </x:c>
      <x:c r="S656" s="14">
        <x:f>IF(A656="","",DATE(YEAR(A656),MONTH(A656),1))</x:f>
      </x:c>
      <x:c r="T656" s="14">
        <x:f>IF(L656="","",DATE(YEAR(L656),MONTH(L656),1))</x:f>
      </x:c>
    </x:row>
    <x:row r="657">
      <x:c r="A657" s="11" t="n"/>
      <x:c r="B657" s="5" t="n"/>
      <x:c r="C657" s="12" t="n"/>
      <x:c r="D657" s="12" t="n"/>
      <x:c r="E657" s="12" t="n"/>
      <x:c r="F657" s="12" t="n"/>
      <x:c r="G657" s="13">
        <x:f>IF(F657="","",IFERROR(VLOOKUP(F657,Master_Data!$E$24:$G$33,2,FALSE),"9999"))</x:f>
      </x:c>
      <x:c r="H657" s="12" t="n"/>
      <x:c r="I657" s="12" t="n"/>
      <x:c r="J657" s="12" t="n"/>
      <x:c r="K657" s="12" t="n"/>
      <x:c r="L657" s="11" t="n"/>
      <x:c r="M657" s="9" t="n"/>
      <x:c r="N657" s="12" t="n"/>
      <x:c r="O657" s="6">
        <x:f>IF(N657="","",IFERROR(VLOOKUP(N657,Master_Data!$A$5:$C$8,3,FALSE),0))</x:f>
      </x:c>
      <x:c r="P657" s="7">
        <x:f>IF(M657="","",M657*O657)</x:f>
      </x:c>
      <x:c r="Q657" s="7">
        <x:f>IF(M657="","",M657+P657)</x:f>
      </x:c>
      <x:c r="R657" s="7">
        <x:f>IF(K657&lt;&gt;"Paid",0,IF(C657="Income",Q657,-Q657))</x:f>
      </x:c>
      <x:c r="S657" s="14">
        <x:f>IF(A657="","",DATE(YEAR(A657),MONTH(A657),1))</x:f>
      </x:c>
      <x:c r="T657" s="14">
        <x:f>IF(L657="","",DATE(YEAR(L657),MONTH(L657),1))</x:f>
      </x:c>
    </x:row>
    <x:row r="658">
      <x:c r="A658" s="11" t="n"/>
      <x:c r="B658" s="5" t="n"/>
      <x:c r="C658" s="12" t="n"/>
      <x:c r="D658" s="12" t="n"/>
      <x:c r="E658" s="12" t="n"/>
      <x:c r="F658" s="12" t="n"/>
      <x:c r="G658" s="13">
        <x:f>IF(F658="","",IFERROR(VLOOKUP(F658,Master_Data!$E$24:$G$33,2,FALSE),"9999"))</x:f>
      </x:c>
      <x:c r="H658" s="12" t="n"/>
      <x:c r="I658" s="12" t="n"/>
      <x:c r="J658" s="12" t="n"/>
      <x:c r="K658" s="12" t="n"/>
      <x:c r="L658" s="11" t="n"/>
      <x:c r="M658" s="9" t="n"/>
      <x:c r="N658" s="12" t="n"/>
      <x:c r="O658" s="6">
        <x:f>IF(N658="","",IFERROR(VLOOKUP(N658,Master_Data!$A$5:$C$8,3,FALSE),0))</x:f>
      </x:c>
      <x:c r="P658" s="7">
        <x:f>IF(M658="","",M658*O658)</x:f>
      </x:c>
      <x:c r="Q658" s="7">
        <x:f>IF(M658="","",M658+P658)</x:f>
      </x:c>
      <x:c r="R658" s="7">
        <x:f>IF(K658&lt;&gt;"Paid",0,IF(C658="Income",Q658,-Q658))</x:f>
      </x:c>
      <x:c r="S658" s="14">
        <x:f>IF(A658="","",DATE(YEAR(A658),MONTH(A658),1))</x:f>
      </x:c>
      <x:c r="T658" s="14">
        <x:f>IF(L658="","",DATE(YEAR(L658),MONTH(L658),1))</x:f>
      </x:c>
    </x:row>
    <x:row r="659">
      <x:c r="A659" s="11" t="n"/>
      <x:c r="B659" s="5" t="n"/>
      <x:c r="C659" s="12" t="n"/>
      <x:c r="D659" s="12" t="n"/>
      <x:c r="E659" s="12" t="n"/>
      <x:c r="F659" s="12" t="n"/>
      <x:c r="G659" s="13">
        <x:f>IF(F659="","",IFERROR(VLOOKUP(F659,Master_Data!$E$24:$G$33,2,FALSE),"9999"))</x:f>
      </x:c>
      <x:c r="H659" s="12" t="n"/>
      <x:c r="I659" s="12" t="n"/>
      <x:c r="J659" s="12" t="n"/>
      <x:c r="K659" s="12" t="n"/>
      <x:c r="L659" s="11" t="n"/>
      <x:c r="M659" s="9" t="n"/>
      <x:c r="N659" s="12" t="n"/>
      <x:c r="O659" s="6">
        <x:f>IF(N659="","",IFERROR(VLOOKUP(N659,Master_Data!$A$5:$C$8,3,FALSE),0))</x:f>
      </x:c>
      <x:c r="P659" s="7">
        <x:f>IF(M659="","",M659*O659)</x:f>
      </x:c>
      <x:c r="Q659" s="7">
        <x:f>IF(M659="","",M659+P659)</x:f>
      </x:c>
      <x:c r="R659" s="7">
        <x:f>IF(K659&lt;&gt;"Paid",0,IF(C659="Income",Q659,-Q659))</x:f>
      </x:c>
      <x:c r="S659" s="14">
        <x:f>IF(A659="","",DATE(YEAR(A659),MONTH(A659),1))</x:f>
      </x:c>
      <x:c r="T659" s="14">
        <x:f>IF(L659="","",DATE(YEAR(L659),MONTH(L659),1))</x:f>
      </x:c>
    </x:row>
    <x:row r="660">
      <x:c r="A660" s="11" t="n"/>
      <x:c r="B660" s="5" t="n"/>
      <x:c r="C660" s="12" t="n"/>
      <x:c r="D660" s="12" t="n"/>
      <x:c r="E660" s="12" t="n"/>
      <x:c r="F660" s="12" t="n"/>
      <x:c r="G660" s="13">
        <x:f>IF(F660="","",IFERROR(VLOOKUP(F660,Master_Data!$E$24:$G$33,2,FALSE),"9999"))</x:f>
      </x:c>
      <x:c r="H660" s="12" t="n"/>
      <x:c r="I660" s="12" t="n"/>
      <x:c r="J660" s="12" t="n"/>
      <x:c r="K660" s="12" t="n"/>
      <x:c r="L660" s="11" t="n"/>
      <x:c r="M660" s="9" t="n"/>
      <x:c r="N660" s="12" t="n"/>
      <x:c r="O660" s="6">
        <x:f>IF(N660="","",IFERROR(VLOOKUP(N660,Master_Data!$A$5:$C$8,3,FALSE),0))</x:f>
      </x:c>
      <x:c r="P660" s="7">
        <x:f>IF(M660="","",M660*O660)</x:f>
      </x:c>
      <x:c r="Q660" s="7">
        <x:f>IF(M660="","",M660+P660)</x:f>
      </x:c>
      <x:c r="R660" s="7">
        <x:f>IF(K660&lt;&gt;"Paid",0,IF(C660="Income",Q660,-Q660))</x:f>
      </x:c>
      <x:c r="S660" s="14">
        <x:f>IF(A660="","",DATE(YEAR(A660),MONTH(A660),1))</x:f>
      </x:c>
      <x:c r="T660" s="14">
        <x:f>IF(L660="","",DATE(YEAR(L660),MONTH(L660),1))</x:f>
      </x:c>
    </x:row>
    <x:row r="661">
      <x:c r="A661" s="11" t="n"/>
      <x:c r="B661" s="5" t="n"/>
      <x:c r="C661" s="12" t="n"/>
      <x:c r="D661" s="12" t="n"/>
      <x:c r="E661" s="12" t="n"/>
      <x:c r="F661" s="12" t="n"/>
      <x:c r="G661" s="13">
        <x:f>IF(F661="","",IFERROR(VLOOKUP(F661,Master_Data!$E$24:$G$33,2,FALSE),"9999"))</x:f>
      </x:c>
      <x:c r="H661" s="12" t="n"/>
      <x:c r="I661" s="12" t="n"/>
      <x:c r="J661" s="12" t="n"/>
      <x:c r="K661" s="12" t="n"/>
      <x:c r="L661" s="11" t="n"/>
      <x:c r="M661" s="9" t="n"/>
      <x:c r="N661" s="12" t="n"/>
      <x:c r="O661" s="6">
        <x:f>IF(N661="","",IFERROR(VLOOKUP(N661,Master_Data!$A$5:$C$8,3,FALSE),0))</x:f>
      </x:c>
      <x:c r="P661" s="7">
        <x:f>IF(M661="","",M661*O661)</x:f>
      </x:c>
      <x:c r="Q661" s="7">
        <x:f>IF(M661="","",M661+P661)</x:f>
      </x:c>
      <x:c r="R661" s="7">
        <x:f>IF(K661&lt;&gt;"Paid",0,IF(C661="Income",Q661,-Q661))</x:f>
      </x:c>
      <x:c r="S661" s="14">
        <x:f>IF(A661="","",DATE(YEAR(A661),MONTH(A661),1))</x:f>
      </x:c>
      <x:c r="T661" s="14">
        <x:f>IF(L661="","",DATE(YEAR(L661),MONTH(L661),1))</x:f>
      </x:c>
    </x:row>
    <x:row r="662">
      <x:c r="A662" s="11" t="n"/>
      <x:c r="B662" s="5" t="n"/>
      <x:c r="C662" s="12" t="n"/>
      <x:c r="D662" s="12" t="n"/>
      <x:c r="E662" s="12" t="n"/>
      <x:c r="F662" s="12" t="n"/>
      <x:c r="G662" s="13">
        <x:f>IF(F662="","",IFERROR(VLOOKUP(F662,Master_Data!$E$24:$G$33,2,FALSE),"9999"))</x:f>
      </x:c>
      <x:c r="H662" s="12" t="n"/>
      <x:c r="I662" s="12" t="n"/>
      <x:c r="J662" s="12" t="n"/>
      <x:c r="K662" s="12" t="n"/>
      <x:c r="L662" s="11" t="n"/>
      <x:c r="M662" s="9" t="n"/>
      <x:c r="N662" s="12" t="n"/>
      <x:c r="O662" s="6">
        <x:f>IF(N662="","",IFERROR(VLOOKUP(N662,Master_Data!$A$5:$C$8,3,FALSE),0))</x:f>
      </x:c>
      <x:c r="P662" s="7">
        <x:f>IF(M662="","",M662*O662)</x:f>
      </x:c>
      <x:c r="Q662" s="7">
        <x:f>IF(M662="","",M662+P662)</x:f>
      </x:c>
      <x:c r="R662" s="7">
        <x:f>IF(K662&lt;&gt;"Paid",0,IF(C662="Income",Q662,-Q662))</x:f>
      </x:c>
      <x:c r="S662" s="14">
        <x:f>IF(A662="","",DATE(YEAR(A662),MONTH(A662),1))</x:f>
      </x:c>
      <x:c r="T662" s="14">
        <x:f>IF(L662="","",DATE(YEAR(L662),MONTH(L662),1))</x:f>
      </x:c>
    </x:row>
    <x:row r="663">
      <x:c r="A663" s="11" t="n"/>
      <x:c r="B663" s="5" t="n"/>
      <x:c r="C663" s="12" t="n"/>
      <x:c r="D663" s="12" t="n"/>
      <x:c r="E663" s="12" t="n"/>
      <x:c r="F663" s="12" t="n"/>
      <x:c r="G663" s="13">
        <x:f>IF(F663="","",IFERROR(VLOOKUP(F663,Master_Data!$E$24:$G$33,2,FALSE),"9999"))</x:f>
      </x:c>
      <x:c r="H663" s="12" t="n"/>
      <x:c r="I663" s="12" t="n"/>
      <x:c r="J663" s="12" t="n"/>
      <x:c r="K663" s="12" t="n"/>
      <x:c r="L663" s="11" t="n"/>
      <x:c r="M663" s="9" t="n"/>
      <x:c r="N663" s="12" t="n"/>
      <x:c r="O663" s="6">
        <x:f>IF(N663="","",IFERROR(VLOOKUP(N663,Master_Data!$A$5:$C$8,3,FALSE),0))</x:f>
      </x:c>
      <x:c r="P663" s="7">
        <x:f>IF(M663="","",M663*O663)</x:f>
      </x:c>
      <x:c r="Q663" s="7">
        <x:f>IF(M663="","",M663+P663)</x:f>
      </x:c>
      <x:c r="R663" s="7">
        <x:f>IF(K663&lt;&gt;"Paid",0,IF(C663="Income",Q663,-Q663))</x:f>
      </x:c>
      <x:c r="S663" s="14">
        <x:f>IF(A663="","",DATE(YEAR(A663),MONTH(A663),1))</x:f>
      </x:c>
      <x:c r="T663" s="14">
        <x:f>IF(L663="","",DATE(YEAR(L663),MONTH(L663),1))</x:f>
      </x:c>
    </x:row>
    <x:row r="664">
      <x:c r="A664" s="11" t="n"/>
      <x:c r="B664" s="5" t="n"/>
      <x:c r="C664" s="12" t="n"/>
      <x:c r="D664" s="12" t="n"/>
      <x:c r="E664" s="12" t="n"/>
      <x:c r="F664" s="12" t="n"/>
      <x:c r="G664" s="13">
        <x:f>IF(F664="","",IFERROR(VLOOKUP(F664,Master_Data!$E$24:$G$33,2,FALSE),"9999"))</x:f>
      </x:c>
      <x:c r="H664" s="12" t="n"/>
      <x:c r="I664" s="12" t="n"/>
      <x:c r="J664" s="12" t="n"/>
      <x:c r="K664" s="12" t="n"/>
      <x:c r="L664" s="11" t="n"/>
      <x:c r="M664" s="9" t="n"/>
      <x:c r="N664" s="12" t="n"/>
      <x:c r="O664" s="6">
        <x:f>IF(N664="","",IFERROR(VLOOKUP(N664,Master_Data!$A$5:$C$8,3,FALSE),0))</x:f>
      </x:c>
      <x:c r="P664" s="7">
        <x:f>IF(M664="","",M664*O664)</x:f>
      </x:c>
      <x:c r="Q664" s="7">
        <x:f>IF(M664="","",M664+P664)</x:f>
      </x:c>
      <x:c r="R664" s="7">
        <x:f>IF(K664&lt;&gt;"Paid",0,IF(C664="Income",Q664,-Q664))</x:f>
      </x:c>
      <x:c r="S664" s="14">
        <x:f>IF(A664="","",DATE(YEAR(A664),MONTH(A664),1))</x:f>
      </x:c>
      <x:c r="T664" s="14">
        <x:f>IF(L664="","",DATE(YEAR(L664),MONTH(L664),1))</x:f>
      </x:c>
    </x:row>
    <x:row r="665">
      <x:c r="A665" s="11" t="n"/>
      <x:c r="B665" s="5" t="n"/>
      <x:c r="C665" s="12" t="n"/>
      <x:c r="D665" s="12" t="n"/>
      <x:c r="E665" s="12" t="n"/>
      <x:c r="F665" s="12" t="n"/>
      <x:c r="G665" s="13">
        <x:f>IF(F665="","",IFERROR(VLOOKUP(F665,Master_Data!$E$24:$G$33,2,FALSE),"9999"))</x:f>
      </x:c>
      <x:c r="H665" s="12" t="n"/>
      <x:c r="I665" s="12" t="n"/>
      <x:c r="J665" s="12" t="n"/>
      <x:c r="K665" s="12" t="n"/>
      <x:c r="L665" s="11" t="n"/>
      <x:c r="M665" s="9" t="n"/>
      <x:c r="N665" s="12" t="n"/>
      <x:c r="O665" s="6">
        <x:f>IF(N665="","",IFERROR(VLOOKUP(N665,Master_Data!$A$5:$C$8,3,FALSE),0))</x:f>
      </x:c>
      <x:c r="P665" s="7">
        <x:f>IF(M665="","",M665*O665)</x:f>
      </x:c>
      <x:c r="Q665" s="7">
        <x:f>IF(M665="","",M665+P665)</x:f>
      </x:c>
      <x:c r="R665" s="7">
        <x:f>IF(K665&lt;&gt;"Paid",0,IF(C665="Income",Q665,-Q665))</x:f>
      </x:c>
      <x:c r="S665" s="14">
        <x:f>IF(A665="","",DATE(YEAR(A665),MONTH(A665),1))</x:f>
      </x:c>
      <x:c r="T665" s="14">
        <x:f>IF(L665="","",DATE(YEAR(L665),MONTH(L665),1))</x:f>
      </x:c>
    </x:row>
    <x:row r="666">
      <x:c r="A666" s="11" t="n"/>
      <x:c r="B666" s="5" t="n"/>
      <x:c r="C666" s="12" t="n"/>
      <x:c r="D666" s="12" t="n"/>
      <x:c r="E666" s="12" t="n"/>
      <x:c r="F666" s="12" t="n"/>
      <x:c r="G666" s="13">
        <x:f>IF(F666="","",IFERROR(VLOOKUP(F666,Master_Data!$E$24:$G$33,2,FALSE),"9999"))</x:f>
      </x:c>
      <x:c r="H666" s="12" t="n"/>
      <x:c r="I666" s="12" t="n"/>
      <x:c r="J666" s="12" t="n"/>
      <x:c r="K666" s="12" t="n"/>
      <x:c r="L666" s="11" t="n"/>
      <x:c r="M666" s="9" t="n"/>
      <x:c r="N666" s="12" t="n"/>
      <x:c r="O666" s="6">
        <x:f>IF(N666="","",IFERROR(VLOOKUP(N666,Master_Data!$A$5:$C$8,3,FALSE),0))</x:f>
      </x:c>
      <x:c r="P666" s="7">
        <x:f>IF(M666="","",M666*O666)</x:f>
      </x:c>
      <x:c r="Q666" s="7">
        <x:f>IF(M666="","",M666+P666)</x:f>
      </x:c>
      <x:c r="R666" s="7">
        <x:f>IF(K666&lt;&gt;"Paid",0,IF(C666="Income",Q666,-Q666))</x:f>
      </x:c>
      <x:c r="S666" s="14">
        <x:f>IF(A666="","",DATE(YEAR(A666),MONTH(A666),1))</x:f>
      </x:c>
      <x:c r="T666" s="14">
        <x:f>IF(L666="","",DATE(YEAR(L666),MONTH(L666),1))</x:f>
      </x:c>
    </x:row>
    <x:row r="667">
      <x:c r="A667" s="11" t="n"/>
      <x:c r="B667" s="5" t="n"/>
      <x:c r="C667" s="12" t="n"/>
      <x:c r="D667" s="12" t="n"/>
      <x:c r="E667" s="12" t="n"/>
      <x:c r="F667" s="12" t="n"/>
      <x:c r="G667" s="13">
        <x:f>IF(F667="","",IFERROR(VLOOKUP(F667,Master_Data!$E$24:$G$33,2,FALSE),"9999"))</x:f>
      </x:c>
      <x:c r="H667" s="12" t="n"/>
      <x:c r="I667" s="12" t="n"/>
      <x:c r="J667" s="12" t="n"/>
      <x:c r="K667" s="12" t="n"/>
      <x:c r="L667" s="11" t="n"/>
      <x:c r="M667" s="9" t="n"/>
      <x:c r="N667" s="12" t="n"/>
      <x:c r="O667" s="6">
        <x:f>IF(N667="","",IFERROR(VLOOKUP(N667,Master_Data!$A$5:$C$8,3,FALSE),0))</x:f>
      </x:c>
      <x:c r="P667" s="7">
        <x:f>IF(M667="","",M667*O667)</x:f>
      </x:c>
      <x:c r="Q667" s="7">
        <x:f>IF(M667="","",M667+P667)</x:f>
      </x:c>
      <x:c r="R667" s="7">
        <x:f>IF(K667&lt;&gt;"Paid",0,IF(C667="Income",Q667,-Q667))</x:f>
      </x:c>
      <x:c r="S667" s="14">
        <x:f>IF(A667="","",DATE(YEAR(A667),MONTH(A667),1))</x:f>
      </x:c>
      <x:c r="T667" s="14">
        <x:f>IF(L667="","",DATE(YEAR(L667),MONTH(L667),1))</x:f>
      </x:c>
    </x:row>
    <x:row r="668">
      <x:c r="A668" s="11" t="n"/>
      <x:c r="B668" s="5" t="n"/>
      <x:c r="C668" s="12" t="n"/>
      <x:c r="D668" s="12" t="n"/>
      <x:c r="E668" s="12" t="n"/>
      <x:c r="F668" s="12" t="n"/>
      <x:c r="G668" s="13">
        <x:f>IF(F668="","",IFERROR(VLOOKUP(F668,Master_Data!$E$24:$G$33,2,FALSE),"9999"))</x:f>
      </x:c>
      <x:c r="H668" s="12" t="n"/>
      <x:c r="I668" s="12" t="n"/>
      <x:c r="J668" s="12" t="n"/>
      <x:c r="K668" s="12" t="n"/>
      <x:c r="L668" s="11" t="n"/>
      <x:c r="M668" s="9" t="n"/>
      <x:c r="N668" s="12" t="n"/>
      <x:c r="O668" s="6">
        <x:f>IF(N668="","",IFERROR(VLOOKUP(N668,Master_Data!$A$5:$C$8,3,FALSE),0))</x:f>
      </x:c>
      <x:c r="P668" s="7">
        <x:f>IF(M668="","",M668*O668)</x:f>
      </x:c>
      <x:c r="Q668" s="7">
        <x:f>IF(M668="","",M668+P668)</x:f>
      </x:c>
      <x:c r="R668" s="7">
        <x:f>IF(K668&lt;&gt;"Paid",0,IF(C668="Income",Q668,-Q668))</x:f>
      </x:c>
      <x:c r="S668" s="14">
        <x:f>IF(A668="","",DATE(YEAR(A668),MONTH(A668),1))</x:f>
      </x:c>
      <x:c r="T668" s="14">
        <x:f>IF(L668="","",DATE(YEAR(L668),MONTH(L668),1))</x:f>
      </x:c>
    </x:row>
    <x:row r="669">
      <x:c r="A669" s="11" t="n"/>
      <x:c r="B669" s="5" t="n"/>
      <x:c r="C669" s="12" t="n"/>
      <x:c r="D669" s="12" t="n"/>
      <x:c r="E669" s="12" t="n"/>
      <x:c r="F669" s="12" t="n"/>
      <x:c r="G669" s="13">
        <x:f>IF(F669="","",IFERROR(VLOOKUP(F669,Master_Data!$E$24:$G$33,2,FALSE),"9999"))</x:f>
      </x:c>
      <x:c r="H669" s="12" t="n"/>
      <x:c r="I669" s="12" t="n"/>
      <x:c r="J669" s="12" t="n"/>
      <x:c r="K669" s="12" t="n"/>
      <x:c r="L669" s="11" t="n"/>
      <x:c r="M669" s="9" t="n"/>
      <x:c r="N669" s="12" t="n"/>
      <x:c r="O669" s="6">
        <x:f>IF(N669="","",IFERROR(VLOOKUP(N669,Master_Data!$A$5:$C$8,3,FALSE),0))</x:f>
      </x:c>
      <x:c r="P669" s="7">
        <x:f>IF(M669="","",M669*O669)</x:f>
      </x:c>
      <x:c r="Q669" s="7">
        <x:f>IF(M669="","",M669+P669)</x:f>
      </x:c>
      <x:c r="R669" s="7">
        <x:f>IF(K669&lt;&gt;"Paid",0,IF(C669="Income",Q669,-Q669))</x:f>
      </x:c>
      <x:c r="S669" s="14">
        <x:f>IF(A669="","",DATE(YEAR(A669),MONTH(A669),1))</x:f>
      </x:c>
      <x:c r="T669" s="14">
        <x:f>IF(L669="","",DATE(YEAR(L669),MONTH(L669),1))</x:f>
      </x:c>
    </x:row>
    <x:row r="670">
      <x:c r="A670" s="11" t="n"/>
      <x:c r="B670" s="5" t="n"/>
      <x:c r="C670" s="12" t="n"/>
      <x:c r="D670" s="12" t="n"/>
      <x:c r="E670" s="12" t="n"/>
      <x:c r="F670" s="12" t="n"/>
      <x:c r="G670" s="13">
        <x:f>IF(F670="","",IFERROR(VLOOKUP(F670,Master_Data!$E$24:$G$33,2,FALSE),"9999"))</x:f>
      </x:c>
      <x:c r="H670" s="12" t="n"/>
      <x:c r="I670" s="12" t="n"/>
      <x:c r="J670" s="12" t="n"/>
      <x:c r="K670" s="12" t="n"/>
      <x:c r="L670" s="11" t="n"/>
      <x:c r="M670" s="9" t="n"/>
      <x:c r="N670" s="12" t="n"/>
      <x:c r="O670" s="6">
        <x:f>IF(N670="","",IFERROR(VLOOKUP(N670,Master_Data!$A$5:$C$8,3,FALSE),0))</x:f>
      </x:c>
      <x:c r="P670" s="7">
        <x:f>IF(M670="","",M670*O670)</x:f>
      </x:c>
      <x:c r="Q670" s="7">
        <x:f>IF(M670="","",M670+P670)</x:f>
      </x:c>
      <x:c r="R670" s="7">
        <x:f>IF(K670&lt;&gt;"Paid",0,IF(C670="Income",Q670,-Q670))</x:f>
      </x:c>
      <x:c r="S670" s="14">
        <x:f>IF(A670="","",DATE(YEAR(A670),MONTH(A670),1))</x:f>
      </x:c>
      <x:c r="T670" s="14">
        <x:f>IF(L670="","",DATE(YEAR(L670),MONTH(L670),1))</x:f>
      </x:c>
    </x:row>
    <x:row r="671">
      <x:c r="A671" s="11" t="n"/>
      <x:c r="B671" s="5" t="n"/>
      <x:c r="C671" s="12" t="n"/>
      <x:c r="D671" s="12" t="n"/>
      <x:c r="E671" s="12" t="n"/>
      <x:c r="F671" s="12" t="n"/>
      <x:c r="G671" s="13">
        <x:f>IF(F671="","",IFERROR(VLOOKUP(F671,Master_Data!$E$24:$G$33,2,FALSE),"9999"))</x:f>
      </x:c>
      <x:c r="H671" s="12" t="n"/>
      <x:c r="I671" s="12" t="n"/>
      <x:c r="J671" s="12" t="n"/>
      <x:c r="K671" s="12" t="n"/>
      <x:c r="L671" s="11" t="n"/>
      <x:c r="M671" s="9" t="n"/>
      <x:c r="N671" s="12" t="n"/>
      <x:c r="O671" s="6">
        <x:f>IF(N671="","",IFERROR(VLOOKUP(N671,Master_Data!$A$5:$C$8,3,FALSE),0))</x:f>
      </x:c>
      <x:c r="P671" s="7">
        <x:f>IF(M671="","",M671*O671)</x:f>
      </x:c>
      <x:c r="Q671" s="7">
        <x:f>IF(M671="","",M671+P671)</x:f>
      </x:c>
      <x:c r="R671" s="7">
        <x:f>IF(K671&lt;&gt;"Paid",0,IF(C671="Income",Q671,-Q671))</x:f>
      </x:c>
      <x:c r="S671" s="14">
        <x:f>IF(A671="","",DATE(YEAR(A671),MONTH(A671),1))</x:f>
      </x:c>
      <x:c r="T671" s="14">
        <x:f>IF(L671="","",DATE(YEAR(L671),MONTH(L671),1))</x:f>
      </x:c>
    </x:row>
    <x:row r="672">
      <x:c r="A672" s="11" t="n"/>
      <x:c r="B672" s="5" t="n"/>
      <x:c r="C672" s="12" t="n"/>
      <x:c r="D672" s="12" t="n"/>
      <x:c r="E672" s="12" t="n"/>
      <x:c r="F672" s="12" t="n"/>
      <x:c r="G672" s="13">
        <x:f>IF(F672="","",IFERROR(VLOOKUP(F672,Master_Data!$E$24:$G$33,2,FALSE),"9999"))</x:f>
      </x:c>
      <x:c r="H672" s="12" t="n"/>
      <x:c r="I672" s="12" t="n"/>
      <x:c r="J672" s="12" t="n"/>
      <x:c r="K672" s="12" t="n"/>
      <x:c r="L672" s="11" t="n"/>
      <x:c r="M672" s="9" t="n"/>
      <x:c r="N672" s="12" t="n"/>
      <x:c r="O672" s="6">
        <x:f>IF(N672="","",IFERROR(VLOOKUP(N672,Master_Data!$A$5:$C$8,3,FALSE),0))</x:f>
      </x:c>
      <x:c r="P672" s="7">
        <x:f>IF(M672="","",M672*O672)</x:f>
      </x:c>
      <x:c r="Q672" s="7">
        <x:f>IF(M672="","",M672+P672)</x:f>
      </x:c>
      <x:c r="R672" s="7">
        <x:f>IF(K672&lt;&gt;"Paid",0,IF(C672="Income",Q672,-Q672))</x:f>
      </x:c>
      <x:c r="S672" s="14">
        <x:f>IF(A672="","",DATE(YEAR(A672),MONTH(A672),1))</x:f>
      </x:c>
      <x:c r="T672" s="14">
        <x:f>IF(L672="","",DATE(YEAR(L672),MONTH(L672),1))</x:f>
      </x:c>
    </x:row>
    <x:row r="673">
      <x:c r="A673" s="11" t="n"/>
      <x:c r="B673" s="5" t="n"/>
      <x:c r="C673" s="12" t="n"/>
      <x:c r="D673" s="12" t="n"/>
      <x:c r="E673" s="12" t="n"/>
      <x:c r="F673" s="12" t="n"/>
      <x:c r="G673" s="13">
        <x:f>IF(F673="","",IFERROR(VLOOKUP(F673,Master_Data!$E$24:$G$33,2,FALSE),"9999"))</x:f>
      </x:c>
      <x:c r="H673" s="12" t="n"/>
      <x:c r="I673" s="12" t="n"/>
      <x:c r="J673" s="12" t="n"/>
      <x:c r="K673" s="12" t="n"/>
      <x:c r="L673" s="11" t="n"/>
      <x:c r="M673" s="9" t="n"/>
      <x:c r="N673" s="12" t="n"/>
      <x:c r="O673" s="6">
        <x:f>IF(N673="","",IFERROR(VLOOKUP(N673,Master_Data!$A$5:$C$8,3,FALSE),0))</x:f>
      </x:c>
      <x:c r="P673" s="7">
        <x:f>IF(M673="","",M673*O673)</x:f>
      </x:c>
      <x:c r="Q673" s="7">
        <x:f>IF(M673="","",M673+P673)</x:f>
      </x:c>
      <x:c r="R673" s="7">
        <x:f>IF(K673&lt;&gt;"Paid",0,IF(C673="Income",Q673,-Q673))</x:f>
      </x:c>
      <x:c r="S673" s="14">
        <x:f>IF(A673="","",DATE(YEAR(A673),MONTH(A673),1))</x:f>
      </x:c>
      <x:c r="T673" s="14">
        <x:f>IF(L673="","",DATE(YEAR(L673),MONTH(L673),1))</x:f>
      </x:c>
    </x:row>
    <x:row r="674">
      <x:c r="A674" s="11" t="n"/>
      <x:c r="B674" s="5" t="n"/>
      <x:c r="C674" s="12" t="n"/>
      <x:c r="D674" s="12" t="n"/>
      <x:c r="E674" s="12" t="n"/>
      <x:c r="F674" s="12" t="n"/>
      <x:c r="G674" s="13">
        <x:f>IF(F674="","",IFERROR(VLOOKUP(F674,Master_Data!$E$24:$G$33,2,FALSE),"9999"))</x:f>
      </x:c>
      <x:c r="H674" s="12" t="n"/>
      <x:c r="I674" s="12" t="n"/>
      <x:c r="J674" s="12" t="n"/>
      <x:c r="K674" s="12" t="n"/>
      <x:c r="L674" s="11" t="n"/>
      <x:c r="M674" s="9" t="n"/>
      <x:c r="N674" s="12" t="n"/>
      <x:c r="O674" s="6">
        <x:f>IF(N674="","",IFERROR(VLOOKUP(N674,Master_Data!$A$5:$C$8,3,FALSE),0))</x:f>
      </x:c>
      <x:c r="P674" s="7">
        <x:f>IF(M674="","",M674*O674)</x:f>
      </x:c>
      <x:c r="Q674" s="7">
        <x:f>IF(M674="","",M674+P674)</x:f>
      </x:c>
      <x:c r="R674" s="7">
        <x:f>IF(K674&lt;&gt;"Paid",0,IF(C674="Income",Q674,-Q674))</x:f>
      </x:c>
      <x:c r="S674" s="14">
        <x:f>IF(A674="","",DATE(YEAR(A674),MONTH(A674),1))</x:f>
      </x:c>
      <x:c r="T674" s="14">
        <x:f>IF(L674="","",DATE(YEAR(L674),MONTH(L674),1))</x:f>
      </x:c>
    </x:row>
    <x:row r="675">
      <x:c r="A675" s="11" t="n"/>
      <x:c r="B675" s="5" t="n"/>
      <x:c r="C675" s="12" t="n"/>
      <x:c r="D675" s="12" t="n"/>
      <x:c r="E675" s="12" t="n"/>
      <x:c r="F675" s="12" t="n"/>
      <x:c r="G675" s="13">
        <x:f>IF(F675="","",IFERROR(VLOOKUP(F675,Master_Data!$E$24:$G$33,2,FALSE),"9999"))</x:f>
      </x:c>
      <x:c r="H675" s="12" t="n"/>
      <x:c r="I675" s="12" t="n"/>
      <x:c r="J675" s="12" t="n"/>
      <x:c r="K675" s="12" t="n"/>
      <x:c r="L675" s="11" t="n"/>
      <x:c r="M675" s="9" t="n"/>
      <x:c r="N675" s="12" t="n"/>
      <x:c r="O675" s="6">
        <x:f>IF(N675="","",IFERROR(VLOOKUP(N675,Master_Data!$A$5:$C$8,3,FALSE),0))</x:f>
      </x:c>
      <x:c r="P675" s="7">
        <x:f>IF(M675="","",M675*O675)</x:f>
      </x:c>
      <x:c r="Q675" s="7">
        <x:f>IF(M675="","",M675+P675)</x:f>
      </x:c>
      <x:c r="R675" s="7">
        <x:f>IF(K675&lt;&gt;"Paid",0,IF(C675="Income",Q675,-Q675))</x:f>
      </x:c>
      <x:c r="S675" s="14">
        <x:f>IF(A675="","",DATE(YEAR(A675),MONTH(A675),1))</x:f>
      </x:c>
      <x:c r="T675" s="14">
        <x:f>IF(L675="","",DATE(YEAR(L675),MONTH(L675),1))</x:f>
      </x:c>
    </x:row>
    <x:row r="676">
      <x:c r="A676" s="11" t="n"/>
      <x:c r="B676" s="5" t="n"/>
      <x:c r="C676" s="12" t="n"/>
      <x:c r="D676" s="12" t="n"/>
      <x:c r="E676" s="12" t="n"/>
      <x:c r="F676" s="12" t="n"/>
      <x:c r="G676" s="13">
        <x:f>IF(F676="","",IFERROR(VLOOKUP(F676,Master_Data!$E$24:$G$33,2,FALSE),"9999"))</x:f>
      </x:c>
      <x:c r="H676" s="12" t="n"/>
      <x:c r="I676" s="12" t="n"/>
      <x:c r="J676" s="12" t="n"/>
      <x:c r="K676" s="12" t="n"/>
      <x:c r="L676" s="11" t="n"/>
      <x:c r="M676" s="9" t="n"/>
      <x:c r="N676" s="12" t="n"/>
      <x:c r="O676" s="6">
        <x:f>IF(N676="","",IFERROR(VLOOKUP(N676,Master_Data!$A$5:$C$8,3,FALSE),0))</x:f>
      </x:c>
      <x:c r="P676" s="7">
        <x:f>IF(M676="","",M676*O676)</x:f>
      </x:c>
      <x:c r="Q676" s="7">
        <x:f>IF(M676="","",M676+P676)</x:f>
      </x:c>
      <x:c r="R676" s="7">
        <x:f>IF(K676&lt;&gt;"Paid",0,IF(C676="Income",Q676,-Q676))</x:f>
      </x:c>
      <x:c r="S676" s="14">
        <x:f>IF(A676="","",DATE(YEAR(A676),MONTH(A676),1))</x:f>
      </x:c>
      <x:c r="T676" s="14">
        <x:f>IF(L676="","",DATE(YEAR(L676),MONTH(L676),1))</x:f>
      </x:c>
    </x:row>
    <x:row r="677">
      <x:c r="A677" s="11" t="n"/>
      <x:c r="B677" s="5" t="n"/>
      <x:c r="C677" s="12" t="n"/>
      <x:c r="D677" s="12" t="n"/>
      <x:c r="E677" s="12" t="n"/>
      <x:c r="F677" s="12" t="n"/>
      <x:c r="G677" s="13">
        <x:f>IF(F677="","",IFERROR(VLOOKUP(F677,Master_Data!$E$24:$G$33,2,FALSE),"9999"))</x:f>
      </x:c>
      <x:c r="H677" s="12" t="n"/>
      <x:c r="I677" s="12" t="n"/>
      <x:c r="J677" s="12" t="n"/>
      <x:c r="K677" s="12" t="n"/>
      <x:c r="L677" s="11" t="n"/>
      <x:c r="M677" s="9" t="n"/>
      <x:c r="N677" s="12" t="n"/>
      <x:c r="O677" s="6">
        <x:f>IF(N677="","",IFERROR(VLOOKUP(N677,Master_Data!$A$5:$C$8,3,FALSE),0))</x:f>
      </x:c>
      <x:c r="P677" s="7">
        <x:f>IF(M677="","",M677*O677)</x:f>
      </x:c>
      <x:c r="Q677" s="7">
        <x:f>IF(M677="","",M677+P677)</x:f>
      </x:c>
      <x:c r="R677" s="7">
        <x:f>IF(K677&lt;&gt;"Paid",0,IF(C677="Income",Q677,-Q677))</x:f>
      </x:c>
      <x:c r="S677" s="14">
        <x:f>IF(A677="","",DATE(YEAR(A677),MONTH(A677),1))</x:f>
      </x:c>
      <x:c r="T677" s="14">
        <x:f>IF(L677="","",DATE(YEAR(L677),MONTH(L677),1))</x:f>
      </x:c>
    </x:row>
    <x:row r="678">
      <x:c r="A678" s="11" t="n"/>
      <x:c r="B678" s="5" t="n"/>
      <x:c r="C678" s="12" t="n"/>
      <x:c r="D678" s="12" t="n"/>
      <x:c r="E678" s="12" t="n"/>
      <x:c r="F678" s="12" t="n"/>
      <x:c r="G678" s="13">
        <x:f>IF(F678="","",IFERROR(VLOOKUP(F678,Master_Data!$E$24:$G$33,2,FALSE),"9999"))</x:f>
      </x:c>
      <x:c r="H678" s="12" t="n"/>
      <x:c r="I678" s="12" t="n"/>
      <x:c r="J678" s="12" t="n"/>
      <x:c r="K678" s="12" t="n"/>
      <x:c r="L678" s="11" t="n"/>
      <x:c r="M678" s="9" t="n"/>
      <x:c r="N678" s="12" t="n"/>
      <x:c r="O678" s="6">
        <x:f>IF(N678="","",IFERROR(VLOOKUP(N678,Master_Data!$A$5:$C$8,3,FALSE),0))</x:f>
      </x:c>
      <x:c r="P678" s="7">
        <x:f>IF(M678="","",M678*O678)</x:f>
      </x:c>
      <x:c r="Q678" s="7">
        <x:f>IF(M678="","",M678+P678)</x:f>
      </x:c>
      <x:c r="R678" s="7">
        <x:f>IF(K678&lt;&gt;"Paid",0,IF(C678="Income",Q678,-Q678))</x:f>
      </x:c>
      <x:c r="S678" s="14">
        <x:f>IF(A678="","",DATE(YEAR(A678),MONTH(A678),1))</x:f>
      </x:c>
      <x:c r="T678" s="14">
        <x:f>IF(L678="","",DATE(YEAR(L678),MONTH(L678),1))</x:f>
      </x:c>
    </x:row>
    <x:row r="679">
      <x:c r="A679" s="11" t="n"/>
      <x:c r="B679" s="5" t="n"/>
      <x:c r="C679" s="12" t="n"/>
      <x:c r="D679" s="12" t="n"/>
      <x:c r="E679" s="12" t="n"/>
      <x:c r="F679" s="12" t="n"/>
      <x:c r="G679" s="13">
        <x:f>IF(F679="","",IFERROR(VLOOKUP(F679,Master_Data!$E$24:$G$33,2,FALSE),"9999"))</x:f>
      </x:c>
      <x:c r="H679" s="12" t="n"/>
      <x:c r="I679" s="12" t="n"/>
      <x:c r="J679" s="12" t="n"/>
      <x:c r="K679" s="12" t="n"/>
      <x:c r="L679" s="11" t="n"/>
      <x:c r="M679" s="9" t="n"/>
      <x:c r="N679" s="12" t="n"/>
      <x:c r="O679" s="6">
        <x:f>IF(N679="","",IFERROR(VLOOKUP(N679,Master_Data!$A$5:$C$8,3,FALSE),0))</x:f>
      </x:c>
      <x:c r="P679" s="7">
        <x:f>IF(M679="","",M679*O679)</x:f>
      </x:c>
      <x:c r="Q679" s="7">
        <x:f>IF(M679="","",M679+P679)</x:f>
      </x:c>
      <x:c r="R679" s="7">
        <x:f>IF(K679&lt;&gt;"Paid",0,IF(C679="Income",Q679,-Q679))</x:f>
      </x:c>
      <x:c r="S679" s="14">
        <x:f>IF(A679="","",DATE(YEAR(A679),MONTH(A679),1))</x:f>
      </x:c>
      <x:c r="T679" s="14">
        <x:f>IF(L679="","",DATE(YEAR(L679),MONTH(L679),1))</x:f>
      </x:c>
    </x:row>
    <x:row r="680">
      <x:c r="A680" s="11" t="n"/>
      <x:c r="B680" s="5" t="n"/>
      <x:c r="C680" s="12" t="n"/>
      <x:c r="D680" s="12" t="n"/>
      <x:c r="E680" s="12" t="n"/>
      <x:c r="F680" s="12" t="n"/>
      <x:c r="G680" s="13">
        <x:f>IF(F680="","",IFERROR(VLOOKUP(F680,Master_Data!$E$24:$G$33,2,FALSE),"9999"))</x:f>
      </x:c>
      <x:c r="H680" s="12" t="n"/>
      <x:c r="I680" s="12" t="n"/>
      <x:c r="J680" s="12" t="n"/>
      <x:c r="K680" s="12" t="n"/>
      <x:c r="L680" s="11" t="n"/>
      <x:c r="M680" s="9" t="n"/>
      <x:c r="N680" s="12" t="n"/>
      <x:c r="O680" s="6">
        <x:f>IF(N680="","",IFERROR(VLOOKUP(N680,Master_Data!$A$5:$C$8,3,FALSE),0))</x:f>
      </x:c>
      <x:c r="P680" s="7">
        <x:f>IF(M680="","",M680*O680)</x:f>
      </x:c>
      <x:c r="Q680" s="7">
        <x:f>IF(M680="","",M680+P680)</x:f>
      </x:c>
      <x:c r="R680" s="7">
        <x:f>IF(K680&lt;&gt;"Paid",0,IF(C680="Income",Q680,-Q680))</x:f>
      </x:c>
      <x:c r="S680" s="14">
        <x:f>IF(A680="","",DATE(YEAR(A680),MONTH(A680),1))</x:f>
      </x:c>
      <x:c r="T680" s="14">
        <x:f>IF(L680="","",DATE(YEAR(L680),MONTH(L680),1))</x:f>
      </x:c>
    </x:row>
    <x:row r="681">
      <x:c r="A681" s="11" t="n"/>
      <x:c r="B681" s="5" t="n"/>
      <x:c r="C681" s="12" t="n"/>
      <x:c r="D681" s="12" t="n"/>
      <x:c r="E681" s="12" t="n"/>
      <x:c r="F681" s="12" t="n"/>
      <x:c r="G681" s="13">
        <x:f>IF(F681="","",IFERROR(VLOOKUP(F681,Master_Data!$E$24:$G$33,2,FALSE),"9999"))</x:f>
      </x:c>
      <x:c r="H681" s="12" t="n"/>
      <x:c r="I681" s="12" t="n"/>
      <x:c r="J681" s="12" t="n"/>
      <x:c r="K681" s="12" t="n"/>
      <x:c r="L681" s="11" t="n"/>
      <x:c r="M681" s="9" t="n"/>
      <x:c r="N681" s="12" t="n"/>
      <x:c r="O681" s="6">
        <x:f>IF(N681="","",IFERROR(VLOOKUP(N681,Master_Data!$A$5:$C$8,3,FALSE),0))</x:f>
      </x:c>
      <x:c r="P681" s="7">
        <x:f>IF(M681="","",M681*O681)</x:f>
      </x:c>
      <x:c r="Q681" s="7">
        <x:f>IF(M681="","",M681+P681)</x:f>
      </x:c>
      <x:c r="R681" s="7">
        <x:f>IF(K681&lt;&gt;"Paid",0,IF(C681="Income",Q681,-Q681))</x:f>
      </x:c>
      <x:c r="S681" s="14">
        <x:f>IF(A681="","",DATE(YEAR(A681),MONTH(A681),1))</x:f>
      </x:c>
      <x:c r="T681" s="14">
        <x:f>IF(L681="","",DATE(YEAR(L681),MONTH(L681),1))</x:f>
      </x:c>
    </x:row>
    <x:row r="682">
      <x:c r="A682" s="11" t="n"/>
      <x:c r="B682" s="5" t="n"/>
      <x:c r="C682" s="12" t="n"/>
      <x:c r="D682" s="12" t="n"/>
      <x:c r="E682" s="12" t="n"/>
      <x:c r="F682" s="12" t="n"/>
      <x:c r="G682" s="13">
        <x:f>IF(F682="","",IFERROR(VLOOKUP(F682,Master_Data!$E$24:$G$33,2,FALSE),"9999"))</x:f>
      </x:c>
      <x:c r="H682" s="12" t="n"/>
      <x:c r="I682" s="12" t="n"/>
      <x:c r="J682" s="12" t="n"/>
      <x:c r="K682" s="12" t="n"/>
      <x:c r="L682" s="11" t="n"/>
      <x:c r="M682" s="9" t="n"/>
      <x:c r="N682" s="12" t="n"/>
      <x:c r="O682" s="6">
        <x:f>IF(N682="","",IFERROR(VLOOKUP(N682,Master_Data!$A$5:$C$8,3,FALSE),0))</x:f>
      </x:c>
      <x:c r="P682" s="7">
        <x:f>IF(M682="","",M682*O682)</x:f>
      </x:c>
      <x:c r="Q682" s="7">
        <x:f>IF(M682="","",M682+P682)</x:f>
      </x:c>
      <x:c r="R682" s="7">
        <x:f>IF(K682&lt;&gt;"Paid",0,IF(C682="Income",Q682,-Q682))</x:f>
      </x:c>
      <x:c r="S682" s="14">
        <x:f>IF(A682="","",DATE(YEAR(A682),MONTH(A682),1))</x:f>
      </x:c>
      <x:c r="T682" s="14">
        <x:f>IF(L682="","",DATE(YEAR(L682),MONTH(L682),1))</x:f>
      </x:c>
    </x:row>
    <x:row r="683">
      <x:c r="A683" s="11" t="n"/>
      <x:c r="B683" s="5" t="n"/>
      <x:c r="C683" s="12" t="n"/>
      <x:c r="D683" s="12" t="n"/>
      <x:c r="E683" s="12" t="n"/>
      <x:c r="F683" s="12" t="n"/>
      <x:c r="G683" s="13">
        <x:f>IF(F683="","",IFERROR(VLOOKUP(F683,Master_Data!$E$24:$G$33,2,FALSE),"9999"))</x:f>
      </x:c>
      <x:c r="H683" s="12" t="n"/>
      <x:c r="I683" s="12" t="n"/>
      <x:c r="J683" s="12" t="n"/>
      <x:c r="K683" s="12" t="n"/>
      <x:c r="L683" s="11" t="n"/>
      <x:c r="M683" s="9" t="n"/>
      <x:c r="N683" s="12" t="n"/>
      <x:c r="O683" s="6">
        <x:f>IF(N683="","",IFERROR(VLOOKUP(N683,Master_Data!$A$5:$C$8,3,FALSE),0))</x:f>
      </x:c>
      <x:c r="P683" s="7">
        <x:f>IF(M683="","",M683*O683)</x:f>
      </x:c>
      <x:c r="Q683" s="7">
        <x:f>IF(M683="","",M683+P683)</x:f>
      </x:c>
      <x:c r="R683" s="7">
        <x:f>IF(K683&lt;&gt;"Paid",0,IF(C683="Income",Q683,-Q683))</x:f>
      </x:c>
      <x:c r="S683" s="14">
        <x:f>IF(A683="","",DATE(YEAR(A683),MONTH(A683),1))</x:f>
      </x:c>
      <x:c r="T683" s="14">
        <x:f>IF(L683="","",DATE(YEAR(L683),MONTH(L683),1))</x:f>
      </x:c>
    </x:row>
    <x:row r="684">
      <x:c r="A684" s="11" t="n"/>
      <x:c r="B684" s="5" t="n"/>
      <x:c r="C684" s="12" t="n"/>
      <x:c r="D684" s="12" t="n"/>
      <x:c r="E684" s="12" t="n"/>
      <x:c r="F684" s="12" t="n"/>
      <x:c r="G684" s="13">
        <x:f>IF(F684="","",IFERROR(VLOOKUP(F684,Master_Data!$E$24:$G$33,2,FALSE),"9999"))</x:f>
      </x:c>
      <x:c r="H684" s="12" t="n"/>
      <x:c r="I684" s="12" t="n"/>
      <x:c r="J684" s="12" t="n"/>
      <x:c r="K684" s="12" t="n"/>
      <x:c r="L684" s="11" t="n"/>
      <x:c r="M684" s="9" t="n"/>
      <x:c r="N684" s="12" t="n"/>
      <x:c r="O684" s="6">
        <x:f>IF(N684="","",IFERROR(VLOOKUP(N684,Master_Data!$A$5:$C$8,3,FALSE),0))</x:f>
      </x:c>
      <x:c r="P684" s="7">
        <x:f>IF(M684="","",M684*O684)</x:f>
      </x:c>
      <x:c r="Q684" s="7">
        <x:f>IF(M684="","",M684+P684)</x:f>
      </x:c>
      <x:c r="R684" s="7">
        <x:f>IF(K684&lt;&gt;"Paid",0,IF(C684="Income",Q684,-Q684))</x:f>
      </x:c>
      <x:c r="S684" s="14">
        <x:f>IF(A684="","",DATE(YEAR(A684),MONTH(A684),1))</x:f>
      </x:c>
      <x:c r="T684" s="14">
        <x:f>IF(L684="","",DATE(YEAR(L684),MONTH(L684),1))</x:f>
      </x:c>
    </x:row>
    <x:row r="685">
      <x:c r="A685" s="11" t="n"/>
      <x:c r="B685" s="5" t="n"/>
      <x:c r="C685" s="12" t="n"/>
      <x:c r="D685" s="12" t="n"/>
      <x:c r="E685" s="12" t="n"/>
      <x:c r="F685" s="12" t="n"/>
      <x:c r="G685" s="13">
        <x:f>IF(F685="","",IFERROR(VLOOKUP(F685,Master_Data!$E$24:$G$33,2,FALSE),"9999"))</x:f>
      </x:c>
      <x:c r="H685" s="12" t="n"/>
      <x:c r="I685" s="12" t="n"/>
      <x:c r="J685" s="12" t="n"/>
      <x:c r="K685" s="12" t="n"/>
      <x:c r="L685" s="11" t="n"/>
      <x:c r="M685" s="9" t="n"/>
      <x:c r="N685" s="12" t="n"/>
      <x:c r="O685" s="6">
        <x:f>IF(N685="","",IFERROR(VLOOKUP(N685,Master_Data!$A$5:$C$8,3,FALSE),0))</x:f>
      </x:c>
      <x:c r="P685" s="7">
        <x:f>IF(M685="","",M685*O685)</x:f>
      </x:c>
      <x:c r="Q685" s="7">
        <x:f>IF(M685="","",M685+P685)</x:f>
      </x:c>
      <x:c r="R685" s="7">
        <x:f>IF(K685&lt;&gt;"Paid",0,IF(C685="Income",Q685,-Q685))</x:f>
      </x:c>
      <x:c r="S685" s="14">
        <x:f>IF(A685="","",DATE(YEAR(A685),MONTH(A685),1))</x:f>
      </x:c>
      <x:c r="T685" s="14">
        <x:f>IF(L685="","",DATE(YEAR(L685),MONTH(L685),1))</x:f>
      </x:c>
    </x:row>
    <x:row r="686">
      <x:c r="A686" s="11" t="n"/>
      <x:c r="B686" s="5" t="n"/>
      <x:c r="C686" s="12" t="n"/>
      <x:c r="D686" s="12" t="n"/>
      <x:c r="E686" s="12" t="n"/>
      <x:c r="F686" s="12" t="n"/>
      <x:c r="G686" s="13">
        <x:f>IF(F686="","",IFERROR(VLOOKUP(F686,Master_Data!$E$24:$G$33,2,FALSE),"9999"))</x:f>
      </x:c>
      <x:c r="H686" s="12" t="n"/>
      <x:c r="I686" s="12" t="n"/>
      <x:c r="J686" s="12" t="n"/>
      <x:c r="K686" s="12" t="n"/>
      <x:c r="L686" s="11" t="n"/>
      <x:c r="M686" s="9" t="n"/>
      <x:c r="N686" s="12" t="n"/>
      <x:c r="O686" s="6">
        <x:f>IF(N686="","",IFERROR(VLOOKUP(N686,Master_Data!$A$5:$C$8,3,FALSE),0))</x:f>
      </x:c>
      <x:c r="P686" s="7">
        <x:f>IF(M686="","",M686*O686)</x:f>
      </x:c>
      <x:c r="Q686" s="7">
        <x:f>IF(M686="","",M686+P686)</x:f>
      </x:c>
      <x:c r="R686" s="7">
        <x:f>IF(K686&lt;&gt;"Paid",0,IF(C686="Income",Q686,-Q686))</x:f>
      </x:c>
      <x:c r="S686" s="14">
        <x:f>IF(A686="","",DATE(YEAR(A686),MONTH(A686),1))</x:f>
      </x:c>
      <x:c r="T686" s="14">
        <x:f>IF(L686="","",DATE(YEAR(L686),MONTH(L686),1))</x:f>
      </x:c>
    </x:row>
    <x:row r="687">
      <x:c r="A687" s="11" t="n"/>
      <x:c r="B687" s="5" t="n"/>
      <x:c r="C687" s="12" t="n"/>
      <x:c r="D687" s="12" t="n"/>
      <x:c r="E687" s="12" t="n"/>
      <x:c r="F687" s="12" t="n"/>
      <x:c r="G687" s="13">
        <x:f>IF(F687="","",IFERROR(VLOOKUP(F687,Master_Data!$E$24:$G$33,2,FALSE),"9999"))</x:f>
      </x:c>
      <x:c r="H687" s="12" t="n"/>
      <x:c r="I687" s="12" t="n"/>
      <x:c r="J687" s="12" t="n"/>
      <x:c r="K687" s="12" t="n"/>
      <x:c r="L687" s="11" t="n"/>
      <x:c r="M687" s="9" t="n"/>
      <x:c r="N687" s="12" t="n"/>
      <x:c r="O687" s="6">
        <x:f>IF(N687="","",IFERROR(VLOOKUP(N687,Master_Data!$A$5:$C$8,3,FALSE),0))</x:f>
      </x:c>
      <x:c r="P687" s="7">
        <x:f>IF(M687="","",M687*O687)</x:f>
      </x:c>
      <x:c r="Q687" s="7">
        <x:f>IF(M687="","",M687+P687)</x:f>
      </x:c>
      <x:c r="R687" s="7">
        <x:f>IF(K687&lt;&gt;"Paid",0,IF(C687="Income",Q687,-Q687))</x:f>
      </x:c>
      <x:c r="S687" s="14">
        <x:f>IF(A687="","",DATE(YEAR(A687),MONTH(A687),1))</x:f>
      </x:c>
      <x:c r="T687" s="14">
        <x:f>IF(L687="","",DATE(YEAR(L687),MONTH(L687),1))</x:f>
      </x:c>
    </x:row>
    <x:row r="688">
      <x:c r="A688" s="11" t="n"/>
      <x:c r="B688" s="5" t="n"/>
      <x:c r="C688" s="12" t="n"/>
      <x:c r="D688" s="12" t="n"/>
      <x:c r="E688" s="12" t="n"/>
      <x:c r="F688" s="12" t="n"/>
      <x:c r="G688" s="13">
        <x:f>IF(F688="","",IFERROR(VLOOKUP(F688,Master_Data!$E$24:$G$33,2,FALSE),"9999"))</x:f>
      </x:c>
      <x:c r="H688" s="12" t="n"/>
      <x:c r="I688" s="12" t="n"/>
      <x:c r="J688" s="12" t="n"/>
      <x:c r="K688" s="12" t="n"/>
      <x:c r="L688" s="11" t="n"/>
      <x:c r="M688" s="9" t="n"/>
      <x:c r="N688" s="12" t="n"/>
      <x:c r="O688" s="6">
        <x:f>IF(N688="","",IFERROR(VLOOKUP(N688,Master_Data!$A$5:$C$8,3,FALSE),0))</x:f>
      </x:c>
      <x:c r="P688" s="7">
        <x:f>IF(M688="","",M688*O688)</x:f>
      </x:c>
      <x:c r="Q688" s="7">
        <x:f>IF(M688="","",M688+P688)</x:f>
      </x:c>
      <x:c r="R688" s="7">
        <x:f>IF(K688&lt;&gt;"Paid",0,IF(C688="Income",Q688,-Q688))</x:f>
      </x:c>
      <x:c r="S688" s="14">
        <x:f>IF(A688="","",DATE(YEAR(A688),MONTH(A688),1))</x:f>
      </x:c>
      <x:c r="T688" s="14">
        <x:f>IF(L688="","",DATE(YEAR(L688),MONTH(L688),1))</x:f>
      </x:c>
    </x:row>
    <x:row r="689">
      <x:c r="A689" s="11" t="n"/>
      <x:c r="B689" s="5" t="n"/>
      <x:c r="C689" s="12" t="n"/>
      <x:c r="D689" s="12" t="n"/>
      <x:c r="E689" s="12" t="n"/>
      <x:c r="F689" s="12" t="n"/>
      <x:c r="G689" s="13">
        <x:f>IF(F689="","",IFERROR(VLOOKUP(F689,Master_Data!$E$24:$G$33,2,FALSE),"9999"))</x:f>
      </x:c>
      <x:c r="H689" s="12" t="n"/>
      <x:c r="I689" s="12" t="n"/>
      <x:c r="J689" s="12" t="n"/>
      <x:c r="K689" s="12" t="n"/>
      <x:c r="L689" s="11" t="n"/>
      <x:c r="M689" s="9" t="n"/>
      <x:c r="N689" s="12" t="n"/>
      <x:c r="O689" s="6">
        <x:f>IF(N689="","",IFERROR(VLOOKUP(N689,Master_Data!$A$5:$C$8,3,FALSE),0))</x:f>
      </x:c>
      <x:c r="P689" s="7">
        <x:f>IF(M689="","",M689*O689)</x:f>
      </x:c>
      <x:c r="Q689" s="7">
        <x:f>IF(M689="","",M689+P689)</x:f>
      </x:c>
      <x:c r="R689" s="7">
        <x:f>IF(K689&lt;&gt;"Paid",0,IF(C689="Income",Q689,-Q689))</x:f>
      </x:c>
      <x:c r="S689" s="14">
        <x:f>IF(A689="","",DATE(YEAR(A689),MONTH(A689),1))</x:f>
      </x:c>
      <x:c r="T689" s="14">
        <x:f>IF(L689="","",DATE(YEAR(L689),MONTH(L689),1))</x:f>
      </x:c>
    </x:row>
    <x:row r="690">
      <x:c r="A690" s="11" t="n"/>
      <x:c r="B690" s="5" t="n"/>
      <x:c r="C690" s="12" t="n"/>
      <x:c r="D690" s="12" t="n"/>
      <x:c r="E690" s="12" t="n"/>
      <x:c r="F690" s="12" t="n"/>
      <x:c r="G690" s="13">
        <x:f>IF(F690="","",IFERROR(VLOOKUP(F690,Master_Data!$E$24:$G$33,2,FALSE),"9999"))</x:f>
      </x:c>
      <x:c r="H690" s="12" t="n"/>
      <x:c r="I690" s="12" t="n"/>
      <x:c r="J690" s="12" t="n"/>
      <x:c r="K690" s="12" t="n"/>
      <x:c r="L690" s="11" t="n"/>
      <x:c r="M690" s="9" t="n"/>
      <x:c r="N690" s="12" t="n"/>
      <x:c r="O690" s="6">
        <x:f>IF(N690="","",IFERROR(VLOOKUP(N690,Master_Data!$A$5:$C$8,3,FALSE),0))</x:f>
      </x:c>
      <x:c r="P690" s="7">
        <x:f>IF(M690="","",M690*O690)</x:f>
      </x:c>
      <x:c r="Q690" s="7">
        <x:f>IF(M690="","",M690+P690)</x:f>
      </x:c>
      <x:c r="R690" s="7">
        <x:f>IF(K690&lt;&gt;"Paid",0,IF(C690="Income",Q690,-Q690))</x:f>
      </x:c>
      <x:c r="S690" s="14">
        <x:f>IF(A690="","",DATE(YEAR(A690),MONTH(A690),1))</x:f>
      </x:c>
      <x:c r="T690" s="14">
        <x:f>IF(L690="","",DATE(YEAR(L690),MONTH(L690),1))</x:f>
      </x:c>
    </x:row>
    <x:row r="691">
      <x:c r="A691" s="11" t="n"/>
      <x:c r="B691" s="5" t="n"/>
      <x:c r="C691" s="12" t="n"/>
      <x:c r="D691" s="12" t="n"/>
      <x:c r="E691" s="12" t="n"/>
      <x:c r="F691" s="12" t="n"/>
      <x:c r="G691" s="13">
        <x:f>IF(F691="","",IFERROR(VLOOKUP(F691,Master_Data!$E$24:$G$33,2,FALSE),"9999"))</x:f>
      </x:c>
      <x:c r="H691" s="12" t="n"/>
      <x:c r="I691" s="12" t="n"/>
      <x:c r="J691" s="12" t="n"/>
      <x:c r="K691" s="12" t="n"/>
      <x:c r="L691" s="11" t="n"/>
      <x:c r="M691" s="9" t="n"/>
      <x:c r="N691" s="12" t="n"/>
      <x:c r="O691" s="6">
        <x:f>IF(N691="","",IFERROR(VLOOKUP(N691,Master_Data!$A$5:$C$8,3,FALSE),0))</x:f>
      </x:c>
      <x:c r="P691" s="7">
        <x:f>IF(M691="","",M691*O691)</x:f>
      </x:c>
      <x:c r="Q691" s="7">
        <x:f>IF(M691="","",M691+P691)</x:f>
      </x:c>
      <x:c r="R691" s="7">
        <x:f>IF(K691&lt;&gt;"Paid",0,IF(C691="Income",Q691,-Q691))</x:f>
      </x:c>
      <x:c r="S691" s="14">
        <x:f>IF(A691="","",DATE(YEAR(A691),MONTH(A691),1))</x:f>
      </x:c>
      <x:c r="T691" s="14">
        <x:f>IF(L691="","",DATE(YEAR(L691),MONTH(L691),1))</x:f>
      </x:c>
    </x:row>
    <x:row r="692">
      <x:c r="A692" s="11" t="n"/>
      <x:c r="B692" s="5" t="n"/>
      <x:c r="C692" s="12" t="n"/>
      <x:c r="D692" s="12" t="n"/>
      <x:c r="E692" s="12" t="n"/>
      <x:c r="F692" s="12" t="n"/>
      <x:c r="G692" s="13">
        <x:f>IF(F692="","",IFERROR(VLOOKUP(F692,Master_Data!$E$24:$G$33,2,FALSE),"9999"))</x:f>
      </x:c>
      <x:c r="H692" s="12" t="n"/>
      <x:c r="I692" s="12" t="n"/>
      <x:c r="J692" s="12" t="n"/>
      <x:c r="K692" s="12" t="n"/>
      <x:c r="L692" s="11" t="n"/>
      <x:c r="M692" s="9" t="n"/>
      <x:c r="N692" s="12" t="n"/>
      <x:c r="O692" s="6">
        <x:f>IF(N692="","",IFERROR(VLOOKUP(N692,Master_Data!$A$5:$C$8,3,FALSE),0))</x:f>
      </x:c>
      <x:c r="P692" s="7">
        <x:f>IF(M692="","",M692*O692)</x:f>
      </x:c>
      <x:c r="Q692" s="7">
        <x:f>IF(M692="","",M692+P692)</x:f>
      </x:c>
      <x:c r="R692" s="7">
        <x:f>IF(K692&lt;&gt;"Paid",0,IF(C692="Income",Q692,-Q692))</x:f>
      </x:c>
      <x:c r="S692" s="14">
        <x:f>IF(A692="","",DATE(YEAR(A692),MONTH(A692),1))</x:f>
      </x:c>
      <x:c r="T692" s="14">
        <x:f>IF(L692="","",DATE(YEAR(L692),MONTH(L692),1))</x:f>
      </x:c>
    </x:row>
    <x:row r="693">
      <x:c r="A693" s="11" t="n"/>
      <x:c r="B693" s="5" t="n"/>
      <x:c r="C693" s="12" t="n"/>
      <x:c r="D693" s="12" t="n"/>
      <x:c r="E693" s="12" t="n"/>
      <x:c r="F693" s="12" t="n"/>
      <x:c r="G693" s="13">
        <x:f>IF(F693="","",IFERROR(VLOOKUP(F693,Master_Data!$E$24:$G$33,2,FALSE),"9999"))</x:f>
      </x:c>
      <x:c r="H693" s="12" t="n"/>
      <x:c r="I693" s="12" t="n"/>
      <x:c r="J693" s="12" t="n"/>
      <x:c r="K693" s="12" t="n"/>
      <x:c r="L693" s="11" t="n"/>
      <x:c r="M693" s="9" t="n"/>
      <x:c r="N693" s="12" t="n"/>
      <x:c r="O693" s="6">
        <x:f>IF(N693="","",IFERROR(VLOOKUP(N693,Master_Data!$A$5:$C$8,3,FALSE),0))</x:f>
      </x:c>
      <x:c r="P693" s="7">
        <x:f>IF(M693="","",M693*O693)</x:f>
      </x:c>
      <x:c r="Q693" s="7">
        <x:f>IF(M693="","",M693+P693)</x:f>
      </x:c>
      <x:c r="R693" s="7">
        <x:f>IF(K693&lt;&gt;"Paid",0,IF(C693="Income",Q693,-Q693))</x:f>
      </x:c>
      <x:c r="S693" s="14">
        <x:f>IF(A693="","",DATE(YEAR(A693),MONTH(A693),1))</x:f>
      </x:c>
      <x:c r="T693" s="14">
        <x:f>IF(L693="","",DATE(YEAR(L693),MONTH(L693),1))</x:f>
      </x:c>
    </x:row>
    <x:row r="694">
      <x:c r="A694" s="11" t="n"/>
      <x:c r="B694" s="5" t="n"/>
      <x:c r="C694" s="12" t="n"/>
      <x:c r="D694" s="12" t="n"/>
      <x:c r="E694" s="12" t="n"/>
      <x:c r="F694" s="12" t="n"/>
      <x:c r="G694" s="13">
        <x:f>IF(F694="","",IFERROR(VLOOKUP(F694,Master_Data!$E$24:$G$33,2,FALSE),"9999"))</x:f>
      </x:c>
      <x:c r="H694" s="12" t="n"/>
      <x:c r="I694" s="12" t="n"/>
      <x:c r="J694" s="12" t="n"/>
      <x:c r="K694" s="12" t="n"/>
      <x:c r="L694" s="11" t="n"/>
      <x:c r="M694" s="9" t="n"/>
      <x:c r="N694" s="12" t="n"/>
      <x:c r="O694" s="6">
        <x:f>IF(N694="","",IFERROR(VLOOKUP(N694,Master_Data!$A$5:$C$8,3,FALSE),0))</x:f>
      </x:c>
      <x:c r="P694" s="7">
        <x:f>IF(M694="","",M694*O694)</x:f>
      </x:c>
      <x:c r="Q694" s="7">
        <x:f>IF(M694="","",M694+P694)</x:f>
      </x:c>
      <x:c r="R694" s="7">
        <x:f>IF(K694&lt;&gt;"Paid",0,IF(C694="Income",Q694,-Q694))</x:f>
      </x:c>
      <x:c r="S694" s="14">
        <x:f>IF(A694="","",DATE(YEAR(A694),MONTH(A694),1))</x:f>
      </x:c>
      <x:c r="T694" s="14">
        <x:f>IF(L694="","",DATE(YEAR(L694),MONTH(L694),1))</x:f>
      </x:c>
    </x:row>
    <x:row r="695">
      <x:c r="A695" s="11" t="n"/>
      <x:c r="B695" s="5" t="n"/>
      <x:c r="C695" s="12" t="n"/>
      <x:c r="D695" s="12" t="n"/>
      <x:c r="E695" s="12" t="n"/>
      <x:c r="F695" s="12" t="n"/>
      <x:c r="G695" s="13">
        <x:f>IF(F695="","",IFERROR(VLOOKUP(F695,Master_Data!$E$24:$G$33,2,FALSE),"9999"))</x:f>
      </x:c>
      <x:c r="H695" s="12" t="n"/>
      <x:c r="I695" s="12" t="n"/>
      <x:c r="J695" s="12" t="n"/>
      <x:c r="K695" s="12" t="n"/>
      <x:c r="L695" s="11" t="n"/>
      <x:c r="M695" s="9" t="n"/>
      <x:c r="N695" s="12" t="n"/>
      <x:c r="O695" s="6">
        <x:f>IF(N695="","",IFERROR(VLOOKUP(N695,Master_Data!$A$5:$C$8,3,FALSE),0))</x:f>
      </x:c>
      <x:c r="P695" s="7">
        <x:f>IF(M695="","",M695*O695)</x:f>
      </x:c>
      <x:c r="Q695" s="7">
        <x:f>IF(M695="","",M695+P695)</x:f>
      </x:c>
      <x:c r="R695" s="7">
        <x:f>IF(K695&lt;&gt;"Paid",0,IF(C695="Income",Q695,-Q695))</x:f>
      </x:c>
      <x:c r="S695" s="14">
        <x:f>IF(A695="","",DATE(YEAR(A695),MONTH(A695),1))</x:f>
      </x:c>
      <x:c r="T695" s="14">
        <x:f>IF(L695="","",DATE(YEAR(L695),MONTH(L695),1))</x:f>
      </x:c>
    </x:row>
    <x:row r="696">
      <x:c r="A696" s="11" t="n"/>
      <x:c r="B696" s="5" t="n"/>
      <x:c r="C696" s="12" t="n"/>
      <x:c r="D696" s="12" t="n"/>
      <x:c r="E696" s="12" t="n"/>
      <x:c r="F696" s="12" t="n"/>
      <x:c r="G696" s="13">
        <x:f>IF(F696="","",IFERROR(VLOOKUP(F696,Master_Data!$E$24:$G$33,2,FALSE),"9999"))</x:f>
      </x:c>
      <x:c r="H696" s="12" t="n"/>
      <x:c r="I696" s="12" t="n"/>
      <x:c r="J696" s="12" t="n"/>
      <x:c r="K696" s="12" t="n"/>
      <x:c r="L696" s="11" t="n"/>
      <x:c r="M696" s="9" t="n"/>
      <x:c r="N696" s="12" t="n"/>
      <x:c r="O696" s="6">
        <x:f>IF(N696="","",IFERROR(VLOOKUP(N696,Master_Data!$A$5:$C$8,3,FALSE),0))</x:f>
      </x:c>
      <x:c r="P696" s="7">
        <x:f>IF(M696="","",M696*O696)</x:f>
      </x:c>
      <x:c r="Q696" s="7">
        <x:f>IF(M696="","",M696+P696)</x:f>
      </x:c>
      <x:c r="R696" s="7">
        <x:f>IF(K696&lt;&gt;"Paid",0,IF(C696="Income",Q696,-Q696))</x:f>
      </x:c>
      <x:c r="S696" s="14">
        <x:f>IF(A696="","",DATE(YEAR(A696),MONTH(A696),1))</x:f>
      </x:c>
      <x:c r="T696" s="14">
        <x:f>IF(L696="","",DATE(YEAR(L696),MONTH(L696),1))</x:f>
      </x:c>
    </x:row>
    <x:row r="697">
      <x:c r="A697" s="11" t="n"/>
      <x:c r="B697" s="5" t="n"/>
      <x:c r="C697" s="12" t="n"/>
      <x:c r="D697" s="12" t="n"/>
      <x:c r="E697" s="12" t="n"/>
      <x:c r="F697" s="12" t="n"/>
      <x:c r="G697" s="13">
        <x:f>IF(F697="","",IFERROR(VLOOKUP(F697,Master_Data!$E$24:$G$33,2,FALSE),"9999"))</x:f>
      </x:c>
      <x:c r="H697" s="12" t="n"/>
      <x:c r="I697" s="12" t="n"/>
      <x:c r="J697" s="12" t="n"/>
      <x:c r="K697" s="12" t="n"/>
      <x:c r="L697" s="11" t="n"/>
      <x:c r="M697" s="9" t="n"/>
      <x:c r="N697" s="12" t="n"/>
      <x:c r="O697" s="6">
        <x:f>IF(N697="","",IFERROR(VLOOKUP(N697,Master_Data!$A$5:$C$8,3,FALSE),0))</x:f>
      </x:c>
      <x:c r="P697" s="7">
        <x:f>IF(M697="","",M697*O697)</x:f>
      </x:c>
      <x:c r="Q697" s="7">
        <x:f>IF(M697="","",M697+P697)</x:f>
      </x:c>
      <x:c r="R697" s="7">
        <x:f>IF(K697&lt;&gt;"Paid",0,IF(C697="Income",Q697,-Q697))</x:f>
      </x:c>
      <x:c r="S697" s="14">
        <x:f>IF(A697="","",DATE(YEAR(A697),MONTH(A697),1))</x:f>
      </x:c>
      <x:c r="T697" s="14">
        <x:f>IF(L697="","",DATE(YEAR(L697),MONTH(L697),1))</x:f>
      </x:c>
    </x:row>
    <x:row r="698">
      <x:c r="A698" s="11" t="n"/>
      <x:c r="B698" s="5" t="n"/>
      <x:c r="C698" s="12" t="n"/>
      <x:c r="D698" s="12" t="n"/>
      <x:c r="E698" s="12" t="n"/>
      <x:c r="F698" s="12" t="n"/>
      <x:c r="G698" s="13">
        <x:f>IF(F698="","",IFERROR(VLOOKUP(F698,Master_Data!$E$24:$G$33,2,FALSE),"9999"))</x:f>
      </x:c>
      <x:c r="H698" s="12" t="n"/>
      <x:c r="I698" s="12" t="n"/>
      <x:c r="J698" s="12" t="n"/>
      <x:c r="K698" s="12" t="n"/>
      <x:c r="L698" s="11" t="n"/>
      <x:c r="M698" s="9" t="n"/>
      <x:c r="N698" s="12" t="n"/>
      <x:c r="O698" s="6">
        <x:f>IF(N698="","",IFERROR(VLOOKUP(N698,Master_Data!$A$5:$C$8,3,FALSE),0))</x:f>
      </x:c>
      <x:c r="P698" s="7">
        <x:f>IF(M698="","",M698*O698)</x:f>
      </x:c>
      <x:c r="Q698" s="7">
        <x:f>IF(M698="","",M698+P698)</x:f>
      </x:c>
      <x:c r="R698" s="7">
        <x:f>IF(K698&lt;&gt;"Paid",0,IF(C698="Income",Q698,-Q698))</x:f>
      </x:c>
      <x:c r="S698" s="14">
        <x:f>IF(A698="","",DATE(YEAR(A698),MONTH(A698),1))</x:f>
      </x:c>
      <x:c r="T698" s="14">
        <x:f>IF(L698="","",DATE(YEAR(L698),MONTH(L698),1))</x:f>
      </x:c>
    </x:row>
    <x:row r="699">
      <x:c r="A699" s="11" t="n"/>
      <x:c r="B699" s="5" t="n"/>
      <x:c r="C699" s="12" t="n"/>
      <x:c r="D699" s="12" t="n"/>
      <x:c r="E699" s="12" t="n"/>
      <x:c r="F699" s="12" t="n"/>
      <x:c r="G699" s="13">
        <x:f>IF(F699="","",IFERROR(VLOOKUP(F699,Master_Data!$E$24:$G$33,2,FALSE),"9999"))</x:f>
      </x:c>
      <x:c r="H699" s="12" t="n"/>
      <x:c r="I699" s="12" t="n"/>
      <x:c r="J699" s="12" t="n"/>
      <x:c r="K699" s="12" t="n"/>
      <x:c r="L699" s="11" t="n"/>
      <x:c r="M699" s="9" t="n"/>
      <x:c r="N699" s="12" t="n"/>
      <x:c r="O699" s="6">
        <x:f>IF(N699="","",IFERROR(VLOOKUP(N699,Master_Data!$A$5:$C$8,3,FALSE),0))</x:f>
      </x:c>
      <x:c r="P699" s="7">
        <x:f>IF(M699="","",M699*O699)</x:f>
      </x:c>
      <x:c r="Q699" s="7">
        <x:f>IF(M699="","",M699+P699)</x:f>
      </x:c>
      <x:c r="R699" s="7">
        <x:f>IF(K699&lt;&gt;"Paid",0,IF(C699="Income",Q699,-Q699))</x:f>
      </x:c>
      <x:c r="S699" s="14">
        <x:f>IF(A699="","",DATE(YEAR(A699),MONTH(A699),1))</x:f>
      </x:c>
      <x:c r="T699" s="14">
        <x:f>IF(L699="","",DATE(YEAR(L699),MONTH(L699),1))</x:f>
      </x:c>
    </x:row>
    <x:row r="700">
      <x:c r="A700" s="11" t="n"/>
      <x:c r="B700" s="5" t="n"/>
      <x:c r="C700" s="12" t="n"/>
      <x:c r="D700" s="12" t="n"/>
      <x:c r="E700" s="12" t="n"/>
      <x:c r="F700" s="12" t="n"/>
      <x:c r="G700" s="13">
        <x:f>IF(F700="","",IFERROR(VLOOKUP(F700,Master_Data!$E$24:$G$33,2,FALSE),"9999"))</x:f>
      </x:c>
      <x:c r="H700" s="12" t="n"/>
      <x:c r="I700" s="12" t="n"/>
      <x:c r="J700" s="12" t="n"/>
      <x:c r="K700" s="12" t="n"/>
      <x:c r="L700" s="11" t="n"/>
      <x:c r="M700" s="9" t="n"/>
      <x:c r="N700" s="12" t="n"/>
      <x:c r="O700" s="6">
        <x:f>IF(N700="","",IFERROR(VLOOKUP(N700,Master_Data!$A$5:$C$8,3,FALSE),0))</x:f>
      </x:c>
      <x:c r="P700" s="7">
        <x:f>IF(M700="","",M700*O700)</x:f>
      </x:c>
      <x:c r="Q700" s="7">
        <x:f>IF(M700="","",M700+P700)</x:f>
      </x:c>
      <x:c r="R700" s="7">
        <x:f>IF(K700&lt;&gt;"Paid",0,IF(C700="Income",Q700,-Q700))</x:f>
      </x:c>
      <x:c r="S700" s="14">
        <x:f>IF(A700="","",DATE(YEAR(A700),MONTH(A700),1))</x:f>
      </x:c>
      <x:c r="T700" s="14">
        <x:f>IF(L700="","",DATE(YEAR(L700),MONTH(L700),1))</x:f>
      </x:c>
    </x:row>
    <x:row r="701">
      <x:c r="A701" s="11" t="n"/>
      <x:c r="B701" s="5" t="n"/>
      <x:c r="C701" s="12" t="n"/>
      <x:c r="D701" s="12" t="n"/>
      <x:c r="E701" s="12" t="n"/>
      <x:c r="F701" s="12" t="n"/>
      <x:c r="G701" s="13">
        <x:f>IF(F701="","",IFERROR(VLOOKUP(F701,Master_Data!$E$24:$G$33,2,FALSE),"9999"))</x:f>
      </x:c>
      <x:c r="H701" s="12" t="n"/>
      <x:c r="I701" s="12" t="n"/>
      <x:c r="J701" s="12" t="n"/>
      <x:c r="K701" s="12" t="n"/>
      <x:c r="L701" s="11" t="n"/>
      <x:c r="M701" s="9" t="n"/>
      <x:c r="N701" s="12" t="n"/>
      <x:c r="O701" s="6">
        <x:f>IF(N701="","",IFERROR(VLOOKUP(N701,Master_Data!$A$5:$C$8,3,FALSE),0))</x:f>
      </x:c>
      <x:c r="P701" s="7">
        <x:f>IF(M701="","",M701*O701)</x:f>
      </x:c>
      <x:c r="Q701" s="7">
        <x:f>IF(M701="","",M701+P701)</x:f>
      </x:c>
      <x:c r="R701" s="7">
        <x:f>IF(K701&lt;&gt;"Paid",0,IF(C701="Income",Q701,-Q701))</x:f>
      </x:c>
      <x:c r="S701" s="14">
        <x:f>IF(A701="","",DATE(YEAR(A701),MONTH(A701),1))</x:f>
      </x:c>
      <x:c r="T701" s="14">
        <x:f>IF(L701="","",DATE(YEAR(L701),MONTH(L701),1))</x:f>
      </x:c>
    </x:row>
    <x:row r="702">
      <x:c r="A702" s="11" t="n"/>
      <x:c r="B702" s="5" t="n"/>
      <x:c r="C702" s="12" t="n"/>
      <x:c r="D702" s="12" t="n"/>
      <x:c r="E702" s="12" t="n"/>
      <x:c r="F702" s="12" t="n"/>
      <x:c r="G702" s="13">
        <x:f>IF(F702="","",IFERROR(VLOOKUP(F702,Master_Data!$E$24:$G$33,2,FALSE),"9999"))</x:f>
      </x:c>
      <x:c r="H702" s="12" t="n"/>
      <x:c r="I702" s="12" t="n"/>
      <x:c r="J702" s="12" t="n"/>
      <x:c r="K702" s="12" t="n"/>
      <x:c r="L702" s="11" t="n"/>
      <x:c r="M702" s="9" t="n"/>
      <x:c r="N702" s="12" t="n"/>
      <x:c r="O702" s="6">
        <x:f>IF(N702="","",IFERROR(VLOOKUP(N702,Master_Data!$A$5:$C$8,3,FALSE),0))</x:f>
      </x:c>
      <x:c r="P702" s="7">
        <x:f>IF(M702="","",M702*O702)</x:f>
      </x:c>
      <x:c r="Q702" s="7">
        <x:f>IF(M702="","",M702+P702)</x:f>
      </x:c>
      <x:c r="R702" s="7">
        <x:f>IF(K702&lt;&gt;"Paid",0,IF(C702="Income",Q702,-Q702))</x:f>
      </x:c>
      <x:c r="S702" s="14">
        <x:f>IF(A702="","",DATE(YEAR(A702),MONTH(A702),1))</x:f>
      </x:c>
      <x:c r="T702" s="14">
        <x:f>IF(L702="","",DATE(YEAR(L702),MONTH(L702),1))</x:f>
      </x:c>
    </x:row>
    <x:row r="703">
      <x:c r="A703" s="11" t="n"/>
      <x:c r="B703" s="5" t="n"/>
      <x:c r="C703" s="12" t="n"/>
      <x:c r="D703" s="12" t="n"/>
      <x:c r="E703" s="12" t="n"/>
      <x:c r="F703" s="12" t="n"/>
      <x:c r="G703" s="13">
        <x:f>IF(F703="","",IFERROR(VLOOKUP(F703,Master_Data!$E$24:$G$33,2,FALSE),"9999"))</x:f>
      </x:c>
      <x:c r="H703" s="12" t="n"/>
      <x:c r="I703" s="12" t="n"/>
      <x:c r="J703" s="12" t="n"/>
      <x:c r="K703" s="12" t="n"/>
      <x:c r="L703" s="11" t="n"/>
      <x:c r="M703" s="9" t="n"/>
      <x:c r="N703" s="12" t="n"/>
      <x:c r="O703" s="6">
        <x:f>IF(N703="","",IFERROR(VLOOKUP(N703,Master_Data!$A$5:$C$8,3,FALSE),0))</x:f>
      </x:c>
      <x:c r="P703" s="7">
        <x:f>IF(M703="","",M703*O703)</x:f>
      </x:c>
      <x:c r="Q703" s="7">
        <x:f>IF(M703="","",M703+P703)</x:f>
      </x:c>
      <x:c r="R703" s="7">
        <x:f>IF(K703&lt;&gt;"Paid",0,IF(C703="Income",Q703,-Q703))</x:f>
      </x:c>
      <x:c r="S703" s="14">
        <x:f>IF(A703="","",DATE(YEAR(A703),MONTH(A703),1))</x:f>
      </x:c>
      <x:c r="T703" s="14">
        <x:f>IF(L703="","",DATE(YEAR(L703),MONTH(L703),1))</x:f>
      </x:c>
    </x:row>
    <x:row r="704">
      <x:c r="A704" s="11" t="n"/>
      <x:c r="B704" s="5" t="n"/>
      <x:c r="C704" s="12" t="n"/>
      <x:c r="D704" s="12" t="n"/>
      <x:c r="E704" s="12" t="n"/>
      <x:c r="F704" s="12" t="n"/>
      <x:c r="G704" s="13">
        <x:f>IF(F704="","",IFERROR(VLOOKUP(F704,Master_Data!$E$24:$G$33,2,FALSE),"9999"))</x:f>
      </x:c>
      <x:c r="H704" s="12" t="n"/>
      <x:c r="I704" s="12" t="n"/>
      <x:c r="J704" s="12" t="n"/>
      <x:c r="K704" s="12" t="n"/>
      <x:c r="L704" s="11" t="n"/>
      <x:c r="M704" s="9" t="n"/>
      <x:c r="N704" s="12" t="n"/>
      <x:c r="O704" s="6">
        <x:f>IF(N704="","",IFERROR(VLOOKUP(N704,Master_Data!$A$5:$C$8,3,FALSE),0))</x:f>
      </x:c>
      <x:c r="P704" s="7">
        <x:f>IF(M704="","",M704*O704)</x:f>
      </x:c>
      <x:c r="Q704" s="7">
        <x:f>IF(M704="","",M704+P704)</x:f>
      </x:c>
      <x:c r="R704" s="7">
        <x:f>IF(K704&lt;&gt;"Paid",0,IF(C704="Income",Q704,-Q704))</x:f>
      </x:c>
      <x:c r="S704" s="14">
        <x:f>IF(A704="","",DATE(YEAR(A704),MONTH(A704),1))</x:f>
      </x:c>
      <x:c r="T704" s="14">
        <x:f>IF(L704="","",DATE(YEAR(L704),MONTH(L704),1))</x:f>
      </x:c>
    </x:row>
    <x:row r="705">
      <x:c r="A705" s="11" t="n"/>
      <x:c r="B705" s="5" t="n"/>
      <x:c r="C705" s="12" t="n"/>
      <x:c r="D705" s="12" t="n"/>
      <x:c r="E705" s="12" t="n"/>
      <x:c r="F705" s="12" t="n"/>
      <x:c r="G705" s="13">
        <x:f>IF(F705="","",IFERROR(VLOOKUP(F705,Master_Data!$E$24:$G$33,2,FALSE),"9999"))</x:f>
      </x:c>
      <x:c r="H705" s="12" t="n"/>
      <x:c r="I705" s="12" t="n"/>
      <x:c r="J705" s="12" t="n"/>
      <x:c r="K705" s="12" t="n"/>
      <x:c r="L705" s="11" t="n"/>
      <x:c r="M705" s="9" t="n"/>
      <x:c r="N705" s="12" t="n"/>
      <x:c r="O705" s="6">
        <x:f>IF(N705="","",IFERROR(VLOOKUP(N705,Master_Data!$A$5:$C$8,3,FALSE),0))</x:f>
      </x:c>
      <x:c r="P705" s="7">
        <x:f>IF(M705="","",M705*O705)</x:f>
      </x:c>
      <x:c r="Q705" s="7">
        <x:f>IF(M705="","",M705+P705)</x:f>
      </x:c>
      <x:c r="R705" s="7">
        <x:f>IF(K705&lt;&gt;"Paid",0,IF(C705="Income",Q705,-Q705))</x:f>
      </x:c>
      <x:c r="S705" s="14">
        <x:f>IF(A705="","",DATE(YEAR(A705),MONTH(A705),1))</x:f>
      </x:c>
      <x:c r="T705" s="14">
        <x:f>IF(L705="","",DATE(YEAR(L705),MONTH(L705),1))</x:f>
      </x:c>
    </x:row>
    <x:row r="706">
      <x:c r="A706" s="11" t="n"/>
      <x:c r="B706" s="5" t="n"/>
      <x:c r="C706" s="12" t="n"/>
      <x:c r="D706" s="12" t="n"/>
      <x:c r="E706" s="12" t="n"/>
      <x:c r="F706" s="12" t="n"/>
      <x:c r="G706" s="13">
        <x:f>IF(F706="","",IFERROR(VLOOKUP(F706,Master_Data!$E$24:$G$33,2,FALSE),"9999"))</x:f>
      </x:c>
      <x:c r="H706" s="12" t="n"/>
      <x:c r="I706" s="12" t="n"/>
      <x:c r="J706" s="12" t="n"/>
      <x:c r="K706" s="12" t="n"/>
      <x:c r="L706" s="11" t="n"/>
      <x:c r="M706" s="9" t="n"/>
      <x:c r="N706" s="12" t="n"/>
      <x:c r="O706" s="6">
        <x:f>IF(N706="","",IFERROR(VLOOKUP(N706,Master_Data!$A$5:$C$8,3,FALSE),0))</x:f>
      </x:c>
      <x:c r="P706" s="7">
        <x:f>IF(M706="","",M706*O706)</x:f>
      </x:c>
      <x:c r="Q706" s="7">
        <x:f>IF(M706="","",M706+P706)</x:f>
      </x:c>
      <x:c r="R706" s="7">
        <x:f>IF(K706&lt;&gt;"Paid",0,IF(C706="Income",Q706,-Q706))</x:f>
      </x:c>
      <x:c r="S706" s="14">
        <x:f>IF(A706="","",DATE(YEAR(A706),MONTH(A706),1))</x:f>
      </x:c>
      <x:c r="T706" s="14">
        <x:f>IF(L706="","",DATE(YEAR(L706),MONTH(L706),1))</x:f>
      </x:c>
    </x:row>
    <x:row r="707">
      <x:c r="A707" s="11" t="n"/>
      <x:c r="B707" s="5" t="n"/>
      <x:c r="C707" s="12" t="n"/>
      <x:c r="D707" s="12" t="n"/>
      <x:c r="E707" s="12" t="n"/>
      <x:c r="F707" s="12" t="n"/>
      <x:c r="G707" s="13">
        <x:f>IF(F707="","",IFERROR(VLOOKUP(F707,Master_Data!$E$24:$G$33,2,FALSE),"9999"))</x:f>
      </x:c>
      <x:c r="H707" s="12" t="n"/>
      <x:c r="I707" s="12" t="n"/>
      <x:c r="J707" s="12" t="n"/>
      <x:c r="K707" s="12" t="n"/>
      <x:c r="L707" s="11" t="n"/>
      <x:c r="M707" s="9" t="n"/>
      <x:c r="N707" s="12" t="n"/>
      <x:c r="O707" s="6">
        <x:f>IF(N707="","",IFERROR(VLOOKUP(N707,Master_Data!$A$5:$C$8,3,FALSE),0))</x:f>
      </x:c>
      <x:c r="P707" s="7">
        <x:f>IF(M707="","",M707*O707)</x:f>
      </x:c>
      <x:c r="Q707" s="7">
        <x:f>IF(M707="","",M707+P707)</x:f>
      </x:c>
      <x:c r="R707" s="7">
        <x:f>IF(K707&lt;&gt;"Paid",0,IF(C707="Income",Q707,-Q707))</x:f>
      </x:c>
      <x:c r="S707" s="14">
        <x:f>IF(A707="","",DATE(YEAR(A707),MONTH(A707),1))</x:f>
      </x:c>
      <x:c r="T707" s="14">
        <x:f>IF(L707="","",DATE(YEAR(L707),MONTH(L707),1))</x:f>
      </x:c>
    </x:row>
    <x:row r="708">
      <x:c r="A708" s="11" t="n"/>
      <x:c r="B708" s="5" t="n"/>
      <x:c r="C708" s="12" t="n"/>
      <x:c r="D708" s="12" t="n"/>
      <x:c r="E708" s="12" t="n"/>
      <x:c r="F708" s="12" t="n"/>
      <x:c r="G708" s="13">
        <x:f>IF(F708="","",IFERROR(VLOOKUP(F708,Master_Data!$E$24:$G$33,2,FALSE),"9999"))</x:f>
      </x:c>
      <x:c r="H708" s="12" t="n"/>
      <x:c r="I708" s="12" t="n"/>
      <x:c r="J708" s="12" t="n"/>
      <x:c r="K708" s="12" t="n"/>
      <x:c r="L708" s="11" t="n"/>
      <x:c r="M708" s="9" t="n"/>
      <x:c r="N708" s="12" t="n"/>
      <x:c r="O708" s="6">
        <x:f>IF(N708="","",IFERROR(VLOOKUP(N708,Master_Data!$A$5:$C$8,3,FALSE),0))</x:f>
      </x:c>
      <x:c r="P708" s="7">
        <x:f>IF(M708="","",M708*O708)</x:f>
      </x:c>
      <x:c r="Q708" s="7">
        <x:f>IF(M708="","",M708+P708)</x:f>
      </x:c>
      <x:c r="R708" s="7">
        <x:f>IF(K708&lt;&gt;"Paid",0,IF(C708="Income",Q708,-Q708))</x:f>
      </x:c>
      <x:c r="S708" s="14">
        <x:f>IF(A708="","",DATE(YEAR(A708),MONTH(A708),1))</x:f>
      </x:c>
      <x:c r="T708" s="14">
        <x:f>IF(L708="","",DATE(YEAR(L708),MONTH(L708),1))</x:f>
      </x:c>
    </x:row>
    <x:row r="709">
      <x:c r="A709" s="11" t="n"/>
      <x:c r="B709" s="5" t="n"/>
      <x:c r="C709" s="12" t="n"/>
      <x:c r="D709" s="12" t="n"/>
      <x:c r="E709" s="12" t="n"/>
      <x:c r="F709" s="12" t="n"/>
      <x:c r="G709" s="13">
        <x:f>IF(F709="","",IFERROR(VLOOKUP(F709,Master_Data!$E$24:$G$33,2,FALSE),"9999"))</x:f>
      </x:c>
      <x:c r="H709" s="12" t="n"/>
      <x:c r="I709" s="12" t="n"/>
      <x:c r="J709" s="12" t="n"/>
      <x:c r="K709" s="12" t="n"/>
      <x:c r="L709" s="11" t="n"/>
      <x:c r="M709" s="9" t="n"/>
      <x:c r="N709" s="12" t="n"/>
      <x:c r="O709" s="6">
        <x:f>IF(N709="","",IFERROR(VLOOKUP(N709,Master_Data!$A$5:$C$8,3,FALSE),0))</x:f>
      </x:c>
      <x:c r="P709" s="7">
        <x:f>IF(M709="","",M709*O709)</x:f>
      </x:c>
      <x:c r="Q709" s="7">
        <x:f>IF(M709="","",M709+P709)</x:f>
      </x:c>
      <x:c r="R709" s="7">
        <x:f>IF(K709&lt;&gt;"Paid",0,IF(C709="Income",Q709,-Q709))</x:f>
      </x:c>
      <x:c r="S709" s="14">
        <x:f>IF(A709="","",DATE(YEAR(A709),MONTH(A709),1))</x:f>
      </x:c>
      <x:c r="T709" s="14">
        <x:f>IF(L709="","",DATE(YEAR(L709),MONTH(L709),1))</x:f>
      </x:c>
    </x:row>
    <x:row r="710">
      <x:c r="A710" s="11" t="n"/>
      <x:c r="B710" s="5" t="n"/>
      <x:c r="C710" s="12" t="n"/>
      <x:c r="D710" s="12" t="n"/>
      <x:c r="E710" s="12" t="n"/>
      <x:c r="F710" s="12" t="n"/>
      <x:c r="G710" s="13">
        <x:f>IF(F710="","",IFERROR(VLOOKUP(F710,Master_Data!$E$24:$G$33,2,FALSE),"9999"))</x:f>
      </x:c>
      <x:c r="H710" s="12" t="n"/>
      <x:c r="I710" s="12" t="n"/>
      <x:c r="J710" s="12" t="n"/>
      <x:c r="K710" s="12" t="n"/>
      <x:c r="L710" s="11" t="n"/>
      <x:c r="M710" s="9" t="n"/>
      <x:c r="N710" s="12" t="n"/>
      <x:c r="O710" s="6">
        <x:f>IF(N710="","",IFERROR(VLOOKUP(N710,Master_Data!$A$5:$C$8,3,FALSE),0))</x:f>
      </x:c>
      <x:c r="P710" s="7">
        <x:f>IF(M710="","",M710*O710)</x:f>
      </x:c>
      <x:c r="Q710" s="7">
        <x:f>IF(M710="","",M710+P710)</x:f>
      </x:c>
      <x:c r="R710" s="7">
        <x:f>IF(K710&lt;&gt;"Paid",0,IF(C710="Income",Q710,-Q710))</x:f>
      </x:c>
      <x:c r="S710" s="14">
        <x:f>IF(A710="","",DATE(YEAR(A710),MONTH(A710),1))</x:f>
      </x:c>
      <x:c r="T710" s="14">
        <x:f>IF(L710="","",DATE(YEAR(L710),MONTH(L710),1))</x:f>
      </x:c>
    </x:row>
    <x:row r="711">
      <x:c r="A711" s="11" t="n"/>
      <x:c r="B711" s="5" t="n"/>
      <x:c r="C711" s="12" t="n"/>
      <x:c r="D711" s="12" t="n"/>
      <x:c r="E711" s="12" t="n"/>
      <x:c r="F711" s="12" t="n"/>
      <x:c r="G711" s="13">
        <x:f>IF(F711="","",IFERROR(VLOOKUP(F711,Master_Data!$E$24:$G$33,2,FALSE),"9999"))</x:f>
      </x:c>
      <x:c r="H711" s="12" t="n"/>
      <x:c r="I711" s="12" t="n"/>
      <x:c r="J711" s="12" t="n"/>
      <x:c r="K711" s="12" t="n"/>
      <x:c r="L711" s="11" t="n"/>
      <x:c r="M711" s="9" t="n"/>
      <x:c r="N711" s="12" t="n"/>
      <x:c r="O711" s="6">
        <x:f>IF(N711="","",IFERROR(VLOOKUP(N711,Master_Data!$A$5:$C$8,3,FALSE),0))</x:f>
      </x:c>
      <x:c r="P711" s="7">
        <x:f>IF(M711="","",M711*O711)</x:f>
      </x:c>
      <x:c r="Q711" s="7">
        <x:f>IF(M711="","",M711+P711)</x:f>
      </x:c>
      <x:c r="R711" s="7">
        <x:f>IF(K711&lt;&gt;"Paid",0,IF(C711="Income",Q711,-Q711))</x:f>
      </x:c>
      <x:c r="S711" s="14">
        <x:f>IF(A711="","",DATE(YEAR(A711),MONTH(A711),1))</x:f>
      </x:c>
      <x:c r="T711" s="14">
        <x:f>IF(L711="","",DATE(YEAR(L711),MONTH(L711),1))</x:f>
      </x:c>
    </x:row>
    <x:row r="712">
      <x:c r="A712" s="11" t="n"/>
      <x:c r="B712" s="5" t="n"/>
      <x:c r="C712" s="12" t="n"/>
      <x:c r="D712" s="12" t="n"/>
      <x:c r="E712" s="12" t="n"/>
      <x:c r="F712" s="12" t="n"/>
      <x:c r="G712" s="13">
        <x:f>IF(F712="","",IFERROR(VLOOKUP(F712,Master_Data!$E$24:$G$33,2,FALSE),"9999"))</x:f>
      </x:c>
      <x:c r="H712" s="12" t="n"/>
      <x:c r="I712" s="12" t="n"/>
      <x:c r="J712" s="12" t="n"/>
      <x:c r="K712" s="12" t="n"/>
      <x:c r="L712" s="11" t="n"/>
      <x:c r="M712" s="9" t="n"/>
      <x:c r="N712" s="12" t="n"/>
      <x:c r="O712" s="6">
        <x:f>IF(N712="","",IFERROR(VLOOKUP(N712,Master_Data!$A$5:$C$8,3,FALSE),0))</x:f>
      </x:c>
      <x:c r="P712" s="7">
        <x:f>IF(M712="","",M712*O712)</x:f>
      </x:c>
      <x:c r="Q712" s="7">
        <x:f>IF(M712="","",M712+P712)</x:f>
      </x:c>
      <x:c r="R712" s="7">
        <x:f>IF(K712&lt;&gt;"Paid",0,IF(C712="Income",Q712,-Q712))</x:f>
      </x:c>
      <x:c r="S712" s="14">
        <x:f>IF(A712="","",DATE(YEAR(A712),MONTH(A712),1))</x:f>
      </x:c>
      <x:c r="T712" s="14">
        <x:f>IF(L712="","",DATE(YEAR(L712),MONTH(L712),1))</x:f>
      </x:c>
    </x:row>
    <x:row r="713">
      <x:c r="A713" s="11" t="n"/>
      <x:c r="B713" s="5" t="n"/>
      <x:c r="C713" s="12" t="n"/>
      <x:c r="D713" s="12" t="n"/>
      <x:c r="E713" s="12" t="n"/>
      <x:c r="F713" s="12" t="n"/>
      <x:c r="G713" s="13">
        <x:f>IF(F713="","",IFERROR(VLOOKUP(F713,Master_Data!$E$24:$G$33,2,FALSE),"9999"))</x:f>
      </x:c>
      <x:c r="H713" s="12" t="n"/>
      <x:c r="I713" s="12" t="n"/>
      <x:c r="J713" s="12" t="n"/>
      <x:c r="K713" s="12" t="n"/>
      <x:c r="L713" s="11" t="n"/>
      <x:c r="M713" s="9" t="n"/>
      <x:c r="N713" s="12" t="n"/>
      <x:c r="O713" s="6">
        <x:f>IF(N713="","",IFERROR(VLOOKUP(N713,Master_Data!$A$5:$C$8,3,FALSE),0))</x:f>
      </x:c>
      <x:c r="P713" s="7">
        <x:f>IF(M713="","",M713*O713)</x:f>
      </x:c>
      <x:c r="Q713" s="7">
        <x:f>IF(M713="","",M713+P713)</x:f>
      </x:c>
      <x:c r="R713" s="7">
        <x:f>IF(K713&lt;&gt;"Paid",0,IF(C713="Income",Q713,-Q713))</x:f>
      </x:c>
      <x:c r="S713" s="14">
        <x:f>IF(A713="","",DATE(YEAR(A713),MONTH(A713),1))</x:f>
      </x:c>
      <x:c r="T713" s="14">
        <x:f>IF(L713="","",DATE(YEAR(L713),MONTH(L713),1))</x:f>
      </x:c>
    </x:row>
    <x:row r="714">
      <x:c r="A714" s="11" t="n"/>
      <x:c r="B714" s="5" t="n"/>
      <x:c r="C714" s="12" t="n"/>
      <x:c r="D714" s="12" t="n"/>
      <x:c r="E714" s="12" t="n"/>
      <x:c r="F714" s="12" t="n"/>
      <x:c r="G714" s="13">
        <x:f>IF(F714="","",IFERROR(VLOOKUP(F714,Master_Data!$E$24:$G$33,2,FALSE),"9999"))</x:f>
      </x:c>
      <x:c r="H714" s="12" t="n"/>
      <x:c r="I714" s="12" t="n"/>
      <x:c r="J714" s="12" t="n"/>
      <x:c r="K714" s="12" t="n"/>
      <x:c r="L714" s="11" t="n"/>
      <x:c r="M714" s="9" t="n"/>
      <x:c r="N714" s="12" t="n"/>
      <x:c r="O714" s="6">
        <x:f>IF(N714="","",IFERROR(VLOOKUP(N714,Master_Data!$A$5:$C$8,3,FALSE),0))</x:f>
      </x:c>
      <x:c r="P714" s="7">
        <x:f>IF(M714="","",M714*O714)</x:f>
      </x:c>
      <x:c r="Q714" s="7">
        <x:f>IF(M714="","",M714+P714)</x:f>
      </x:c>
      <x:c r="R714" s="7">
        <x:f>IF(K714&lt;&gt;"Paid",0,IF(C714="Income",Q714,-Q714))</x:f>
      </x:c>
      <x:c r="S714" s="14">
        <x:f>IF(A714="","",DATE(YEAR(A714),MONTH(A714),1))</x:f>
      </x:c>
      <x:c r="T714" s="14">
        <x:f>IF(L714="","",DATE(YEAR(L714),MONTH(L714),1))</x:f>
      </x:c>
    </x:row>
    <x:row r="715">
      <x:c r="A715" s="11" t="n"/>
      <x:c r="B715" s="5" t="n"/>
      <x:c r="C715" s="12" t="n"/>
      <x:c r="D715" s="12" t="n"/>
      <x:c r="E715" s="12" t="n"/>
      <x:c r="F715" s="12" t="n"/>
      <x:c r="G715" s="13">
        <x:f>IF(F715="","",IFERROR(VLOOKUP(F715,Master_Data!$E$24:$G$33,2,FALSE),"9999"))</x:f>
      </x:c>
      <x:c r="H715" s="12" t="n"/>
      <x:c r="I715" s="12" t="n"/>
      <x:c r="J715" s="12" t="n"/>
      <x:c r="K715" s="12" t="n"/>
      <x:c r="L715" s="11" t="n"/>
      <x:c r="M715" s="9" t="n"/>
      <x:c r="N715" s="12" t="n"/>
      <x:c r="O715" s="6">
        <x:f>IF(N715="","",IFERROR(VLOOKUP(N715,Master_Data!$A$5:$C$8,3,FALSE),0))</x:f>
      </x:c>
      <x:c r="P715" s="7">
        <x:f>IF(M715="","",M715*O715)</x:f>
      </x:c>
      <x:c r="Q715" s="7">
        <x:f>IF(M715="","",M715+P715)</x:f>
      </x:c>
      <x:c r="R715" s="7">
        <x:f>IF(K715&lt;&gt;"Paid",0,IF(C715="Income",Q715,-Q715))</x:f>
      </x:c>
      <x:c r="S715" s="14">
        <x:f>IF(A715="","",DATE(YEAR(A715),MONTH(A715),1))</x:f>
      </x:c>
      <x:c r="T715" s="14">
        <x:f>IF(L715="","",DATE(YEAR(L715),MONTH(L715),1))</x:f>
      </x:c>
    </x:row>
    <x:row r="716">
      <x:c r="A716" s="11" t="n"/>
      <x:c r="B716" s="5" t="n"/>
      <x:c r="C716" s="12" t="n"/>
      <x:c r="D716" s="12" t="n"/>
      <x:c r="E716" s="12" t="n"/>
      <x:c r="F716" s="12" t="n"/>
      <x:c r="G716" s="13">
        <x:f>IF(F716="","",IFERROR(VLOOKUP(F716,Master_Data!$E$24:$G$33,2,FALSE),"9999"))</x:f>
      </x:c>
      <x:c r="H716" s="12" t="n"/>
      <x:c r="I716" s="12" t="n"/>
      <x:c r="J716" s="12" t="n"/>
      <x:c r="K716" s="12" t="n"/>
      <x:c r="L716" s="11" t="n"/>
      <x:c r="M716" s="9" t="n"/>
      <x:c r="N716" s="12" t="n"/>
      <x:c r="O716" s="6">
        <x:f>IF(N716="","",IFERROR(VLOOKUP(N716,Master_Data!$A$5:$C$8,3,FALSE),0))</x:f>
      </x:c>
      <x:c r="P716" s="7">
        <x:f>IF(M716="","",M716*O716)</x:f>
      </x:c>
      <x:c r="Q716" s="7">
        <x:f>IF(M716="","",M716+P716)</x:f>
      </x:c>
      <x:c r="R716" s="7">
        <x:f>IF(K716&lt;&gt;"Paid",0,IF(C716="Income",Q716,-Q716))</x:f>
      </x:c>
      <x:c r="S716" s="14">
        <x:f>IF(A716="","",DATE(YEAR(A716),MONTH(A716),1))</x:f>
      </x:c>
      <x:c r="T716" s="14">
        <x:f>IF(L716="","",DATE(YEAR(L716),MONTH(L716),1))</x:f>
      </x:c>
    </x:row>
    <x:row r="717">
      <x:c r="A717" s="11" t="n"/>
      <x:c r="B717" s="5" t="n"/>
      <x:c r="C717" s="12" t="n"/>
      <x:c r="D717" s="12" t="n"/>
      <x:c r="E717" s="12" t="n"/>
      <x:c r="F717" s="12" t="n"/>
      <x:c r="G717" s="13">
        <x:f>IF(F717="","",IFERROR(VLOOKUP(F717,Master_Data!$E$24:$G$33,2,FALSE),"9999"))</x:f>
      </x:c>
      <x:c r="H717" s="12" t="n"/>
      <x:c r="I717" s="12" t="n"/>
      <x:c r="J717" s="12" t="n"/>
      <x:c r="K717" s="12" t="n"/>
      <x:c r="L717" s="11" t="n"/>
      <x:c r="M717" s="9" t="n"/>
      <x:c r="N717" s="12" t="n"/>
      <x:c r="O717" s="6">
        <x:f>IF(N717="","",IFERROR(VLOOKUP(N717,Master_Data!$A$5:$C$8,3,FALSE),0))</x:f>
      </x:c>
      <x:c r="P717" s="7">
        <x:f>IF(M717="","",M717*O717)</x:f>
      </x:c>
      <x:c r="Q717" s="7">
        <x:f>IF(M717="","",M717+P717)</x:f>
      </x:c>
      <x:c r="R717" s="7">
        <x:f>IF(K717&lt;&gt;"Paid",0,IF(C717="Income",Q717,-Q717))</x:f>
      </x:c>
      <x:c r="S717" s="14">
        <x:f>IF(A717="","",DATE(YEAR(A717),MONTH(A717),1))</x:f>
      </x:c>
      <x:c r="T717" s="14">
        <x:f>IF(L717="","",DATE(YEAR(L717),MONTH(L717),1))</x:f>
      </x:c>
    </x:row>
    <x:row r="718">
      <x:c r="A718" s="11" t="n"/>
      <x:c r="B718" s="5" t="n"/>
      <x:c r="C718" s="12" t="n"/>
      <x:c r="D718" s="12" t="n"/>
      <x:c r="E718" s="12" t="n"/>
      <x:c r="F718" s="12" t="n"/>
      <x:c r="G718" s="13">
        <x:f>IF(F718="","",IFERROR(VLOOKUP(F718,Master_Data!$E$24:$G$33,2,FALSE),"9999"))</x:f>
      </x:c>
      <x:c r="H718" s="12" t="n"/>
      <x:c r="I718" s="12" t="n"/>
      <x:c r="J718" s="12" t="n"/>
      <x:c r="K718" s="12" t="n"/>
      <x:c r="L718" s="11" t="n"/>
      <x:c r="M718" s="9" t="n"/>
      <x:c r="N718" s="12" t="n"/>
      <x:c r="O718" s="6">
        <x:f>IF(N718="","",IFERROR(VLOOKUP(N718,Master_Data!$A$5:$C$8,3,FALSE),0))</x:f>
      </x:c>
      <x:c r="P718" s="7">
        <x:f>IF(M718="","",M718*O718)</x:f>
      </x:c>
      <x:c r="Q718" s="7">
        <x:f>IF(M718="","",M718+P718)</x:f>
      </x:c>
      <x:c r="R718" s="7">
        <x:f>IF(K718&lt;&gt;"Paid",0,IF(C718="Income",Q718,-Q718))</x:f>
      </x:c>
      <x:c r="S718" s="14">
        <x:f>IF(A718="","",DATE(YEAR(A718),MONTH(A718),1))</x:f>
      </x:c>
      <x:c r="T718" s="14">
        <x:f>IF(L718="","",DATE(YEAR(L718),MONTH(L718),1))</x:f>
      </x:c>
    </x:row>
    <x:row r="719">
      <x:c r="A719" s="11" t="n"/>
      <x:c r="B719" s="5" t="n"/>
      <x:c r="C719" s="12" t="n"/>
      <x:c r="D719" s="12" t="n"/>
      <x:c r="E719" s="12" t="n"/>
      <x:c r="F719" s="12" t="n"/>
      <x:c r="G719" s="13">
        <x:f>IF(F719="","",IFERROR(VLOOKUP(F719,Master_Data!$E$24:$G$33,2,FALSE),"9999"))</x:f>
      </x:c>
      <x:c r="H719" s="12" t="n"/>
      <x:c r="I719" s="12" t="n"/>
      <x:c r="J719" s="12" t="n"/>
      <x:c r="K719" s="12" t="n"/>
      <x:c r="L719" s="11" t="n"/>
      <x:c r="M719" s="9" t="n"/>
      <x:c r="N719" s="12" t="n"/>
      <x:c r="O719" s="6">
        <x:f>IF(N719="","",IFERROR(VLOOKUP(N719,Master_Data!$A$5:$C$8,3,FALSE),0))</x:f>
      </x:c>
      <x:c r="P719" s="7">
        <x:f>IF(M719="","",M719*O719)</x:f>
      </x:c>
      <x:c r="Q719" s="7">
        <x:f>IF(M719="","",M719+P719)</x:f>
      </x:c>
      <x:c r="R719" s="7">
        <x:f>IF(K719&lt;&gt;"Paid",0,IF(C719="Income",Q719,-Q719))</x:f>
      </x:c>
      <x:c r="S719" s="14">
        <x:f>IF(A719="","",DATE(YEAR(A719),MONTH(A719),1))</x:f>
      </x:c>
      <x:c r="T719" s="14">
        <x:f>IF(L719="","",DATE(YEAR(L719),MONTH(L719),1))</x:f>
      </x:c>
    </x:row>
    <x:row r="720">
      <x:c r="A720" s="11" t="n"/>
      <x:c r="B720" s="5" t="n"/>
      <x:c r="C720" s="12" t="n"/>
      <x:c r="D720" s="12" t="n"/>
      <x:c r="E720" s="12" t="n"/>
      <x:c r="F720" s="12" t="n"/>
      <x:c r="G720" s="13">
        <x:f>IF(F720="","",IFERROR(VLOOKUP(F720,Master_Data!$E$24:$G$33,2,FALSE),"9999"))</x:f>
      </x:c>
      <x:c r="H720" s="12" t="n"/>
      <x:c r="I720" s="12" t="n"/>
      <x:c r="J720" s="12" t="n"/>
      <x:c r="K720" s="12" t="n"/>
      <x:c r="L720" s="11" t="n"/>
      <x:c r="M720" s="9" t="n"/>
      <x:c r="N720" s="12" t="n"/>
      <x:c r="O720" s="6">
        <x:f>IF(N720="","",IFERROR(VLOOKUP(N720,Master_Data!$A$5:$C$8,3,FALSE),0))</x:f>
      </x:c>
      <x:c r="P720" s="7">
        <x:f>IF(M720="","",M720*O720)</x:f>
      </x:c>
      <x:c r="Q720" s="7">
        <x:f>IF(M720="","",M720+P720)</x:f>
      </x:c>
      <x:c r="R720" s="7">
        <x:f>IF(K720&lt;&gt;"Paid",0,IF(C720="Income",Q720,-Q720))</x:f>
      </x:c>
      <x:c r="S720" s="14">
        <x:f>IF(A720="","",DATE(YEAR(A720),MONTH(A720),1))</x:f>
      </x:c>
      <x:c r="T720" s="14">
        <x:f>IF(L720="","",DATE(YEAR(L720),MONTH(L720),1))</x:f>
      </x:c>
    </x:row>
    <x:row r="721">
      <x:c r="A721" s="11" t="n"/>
      <x:c r="B721" s="5" t="n"/>
      <x:c r="C721" s="12" t="n"/>
      <x:c r="D721" s="12" t="n"/>
      <x:c r="E721" s="12" t="n"/>
      <x:c r="F721" s="12" t="n"/>
      <x:c r="G721" s="13">
        <x:f>IF(F721="","",IFERROR(VLOOKUP(F721,Master_Data!$E$24:$G$33,2,FALSE),"9999"))</x:f>
      </x:c>
      <x:c r="H721" s="12" t="n"/>
      <x:c r="I721" s="12" t="n"/>
      <x:c r="J721" s="12" t="n"/>
      <x:c r="K721" s="12" t="n"/>
      <x:c r="L721" s="11" t="n"/>
      <x:c r="M721" s="9" t="n"/>
      <x:c r="N721" s="12" t="n"/>
      <x:c r="O721" s="6">
        <x:f>IF(N721="","",IFERROR(VLOOKUP(N721,Master_Data!$A$5:$C$8,3,FALSE),0))</x:f>
      </x:c>
      <x:c r="P721" s="7">
        <x:f>IF(M721="","",M721*O721)</x:f>
      </x:c>
      <x:c r="Q721" s="7">
        <x:f>IF(M721="","",M721+P721)</x:f>
      </x:c>
      <x:c r="R721" s="7">
        <x:f>IF(K721&lt;&gt;"Paid",0,IF(C721="Income",Q721,-Q721))</x:f>
      </x:c>
      <x:c r="S721" s="14">
        <x:f>IF(A721="","",DATE(YEAR(A721),MONTH(A721),1))</x:f>
      </x:c>
      <x:c r="T721" s="14">
        <x:f>IF(L721="","",DATE(YEAR(L721),MONTH(L721),1))</x:f>
      </x:c>
    </x:row>
    <x:row r="722">
      <x:c r="A722" s="11" t="n"/>
      <x:c r="B722" s="5" t="n"/>
      <x:c r="C722" s="12" t="n"/>
      <x:c r="D722" s="12" t="n"/>
      <x:c r="E722" s="12" t="n"/>
      <x:c r="F722" s="12" t="n"/>
      <x:c r="G722" s="13">
        <x:f>IF(F722="","",IFERROR(VLOOKUP(F722,Master_Data!$E$24:$G$33,2,FALSE),"9999"))</x:f>
      </x:c>
      <x:c r="H722" s="12" t="n"/>
      <x:c r="I722" s="12" t="n"/>
      <x:c r="J722" s="12" t="n"/>
      <x:c r="K722" s="12" t="n"/>
      <x:c r="L722" s="11" t="n"/>
      <x:c r="M722" s="9" t="n"/>
      <x:c r="N722" s="12" t="n"/>
      <x:c r="O722" s="6">
        <x:f>IF(N722="","",IFERROR(VLOOKUP(N722,Master_Data!$A$5:$C$8,3,FALSE),0))</x:f>
      </x:c>
      <x:c r="P722" s="7">
        <x:f>IF(M722="","",M722*O722)</x:f>
      </x:c>
      <x:c r="Q722" s="7">
        <x:f>IF(M722="","",M722+P722)</x:f>
      </x:c>
      <x:c r="R722" s="7">
        <x:f>IF(K722&lt;&gt;"Paid",0,IF(C722="Income",Q722,-Q722))</x:f>
      </x:c>
      <x:c r="S722" s="14">
        <x:f>IF(A722="","",DATE(YEAR(A722),MONTH(A722),1))</x:f>
      </x:c>
      <x:c r="T722" s="14">
        <x:f>IF(L722="","",DATE(YEAR(L722),MONTH(L722),1))</x:f>
      </x:c>
    </x:row>
    <x:row r="723">
      <x:c r="A723" s="11" t="n"/>
      <x:c r="B723" s="5" t="n"/>
      <x:c r="C723" s="12" t="n"/>
      <x:c r="D723" s="12" t="n"/>
      <x:c r="E723" s="12" t="n"/>
      <x:c r="F723" s="12" t="n"/>
      <x:c r="G723" s="13">
        <x:f>IF(F723="","",IFERROR(VLOOKUP(F723,Master_Data!$E$24:$G$33,2,FALSE),"9999"))</x:f>
      </x:c>
      <x:c r="H723" s="12" t="n"/>
      <x:c r="I723" s="12" t="n"/>
      <x:c r="J723" s="12" t="n"/>
      <x:c r="K723" s="12" t="n"/>
      <x:c r="L723" s="11" t="n"/>
      <x:c r="M723" s="9" t="n"/>
      <x:c r="N723" s="12" t="n"/>
      <x:c r="O723" s="6">
        <x:f>IF(N723="","",IFERROR(VLOOKUP(N723,Master_Data!$A$5:$C$8,3,FALSE),0))</x:f>
      </x:c>
      <x:c r="P723" s="7">
        <x:f>IF(M723="","",M723*O723)</x:f>
      </x:c>
      <x:c r="Q723" s="7">
        <x:f>IF(M723="","",M723+P723)</x:f>
      </x:c>
      <x:c r="R723" s="7">
        <x:f>IF(K723&lt;&gt;"Paid",0,IF(C723="Income",Q723,-Q723))</x:f>
      </x:c>
      <x:c r="S723" s="14">
        <x:f>IF(A723="","",DATE(YEAR(A723),MONTH(A723),1))</x:f>
      </x:c>
      <x:c r="T723" s="14">
        <x:f>IF(L723="","",DATE(YEAR(L723),MONTH(L723),1))</x:f>
      </x:c>
    </x:row>
    <x:row r="724">
      <x:c r="A724" s="11" t="n"/>
      <x:c r="B724" s="5" t="n"/>
      <x:c r="C724" s="12" t="n"/>
      <x:c r="D724" s="12" t="n"/>
      <x:c r="E724" s="12" t="n"/>
      <x:c r="F724" s="12" t="n"/>
      <x:c r="G724" s="13">
        <x:f>IF(F724="","",IFERROR(VLOOKUP(F724,Master_Data!$E$24:$G$33,2,FALSE),"9999"))</x:f>
      </x:c>
      <x:c r="H724" s="12" t="n"/>
      <x:c r="I724" s="12" t="n"/>
      <x:c r="J724" s="12" t="n"/>
      <x:c r="K724" s="12" t="n"/>
      <x:c r="L724" s="11" t="n"/>
      <x:c r="M724" s="9" t="n"/>
      <x:c r="N724" s="12" t="n"/>
      <x:c r="O724" s="6">
        <x:f>IF(N724="","",IFERROR(VLOOKUP(N724,Master_Data!$A$5:$C$8,3,FALSE),0))</x:f>
      </x:c>
      <x:c r="P724" s="7">
        <x:f>IF(M724="","",M724*O724)</x:f>
      </x:c>
      <x:c r="Q724" s="7">
        <x:f>IF(M724="","",M724+P724)</x:f>
      </x:c>
      <x:c r="R724" s="7">
        <x:f>IF(K724&lt;&gt;"Paid",0,IF(C724="Income",Q724,-Q724))</x:f>
      </x:c>
      <x:c r="S724" s="14">
        <x:f>IF(A724="","",DATE(YEAR(A724),MONTH(A724),1))</x:f>
      </x:c>
      <x:c r="T724" s="14">
        <x:f>IF(L724="","",DATE(YEAR(L724),MONTH(L724),1))</x:f>
      </x:c>
    </x:row>
    <x:row r="725">
      <x:c r="A725" s="11" t="n"/>
      <x:c r="B725" s="5" t="n"/>
      <x:c r="C725" s="12" t="n"/>
      <x:c r="D725" s="12" t="n"/>
      <x:c r="E725" s="12" t="n"/>
      <x:c r="F725" s="12" t="n"/>
      <x:c r="G725" s="13">
        <x:f>IF(F725="","",IFERROR(VLOOKUP(F725,Master_Data!$E$24:$G$33,2,FALSE),"9999"))</x:f>
      </x:c>
      <x:c r="H725" s="12" t="n"/>
      <x:c r="I725" s="12" t="n"/>
      <x:c r="J725" s="12" t="n"/>
      <x:c r="K725" s="12" t="n"/>
      <x:c r="L725" s="11" t="n"/>
      <x:c r="M725" s="9" t="n"/>
      <x:c r="N725" s="12" t="n"/>
      <x:c r="O725" s="6">
        <x:f>IF(N725="","",IFERROR(VLOOKUP(N725,Master_Data!$A$5:$C$8,3,FALSE),0))</x:f>
      </x:c>
      <x:c r="P725" s="7">
        <x:f>IF(M725="","",M725*O725)</x:f>
      </x:c>
      <x:c r="Q725" s="7">
        <x:f>IF(M725="","",M725+P725)</x:f>
      </x:c>
      <x:c r="R725" s="7">
        <x:f>IF(K725&lt;&gt;"Paid",0,IF(C725="Income",Q725,-Q725))</x:f>
      </x:c>
      <x:c r="S725" s="14">
        <x:f>IF(A725="","",DATE(YEAR(A725),MONTH(A725),1))</x:f>
      </x:c>
      <x:c r="T725" s="14">
        <x:f>IF(L725="","",DATE(YEAR(L725),MONTH(L725),1))</x:f>
      </x:c>
    </x:row>
    <x:row r="726">
      <x:c r="A726" s="11" t="n"/>
      <x:c r="B726" s="5" t="n"/>
      <x:c r="C726" s="12" t="n"/>
      <x:c r="D726" s="12" t="n"/>
      <x:c r="E726" s="12" t="n"/>
      <x:c r="F726" s="12" t="n"/>
      <x:c r="G726" s="13">
        <x:f>IF(F726="","",IFERROR(VLOOKUP(F726,Master_Data!$E$24:$G$33,2,FALSE),"9999"))</x:f>
      </x:c>
      <x:c r="H726" s="12" t="n"/>
      <x:c r="I726" s="12" t="n"/>
      <x:c r="J726" s="12" t="n"/>
      <x:c r="K726" s="12" t="n"/>
      <x:c r="L726" s="11" t="n"/>
      <x:c r="M726" s="9" t="n"/>
      <x:c r="N726" s="12" t="n"/>
      <x:c r="O726" s="6">
        <x:f>IF(N726="","",IFERROR(VLOOKUP(N726,Master_Data!$A$5:$C$8,3,FALSE),0))</x:f>
      </x:c>
      <x:c r="P726" s="7">
        <x:f>IF(M726="","",M726*O726)</x:f>
      </x:c>
      <x:c r="Q726" s="7">
        <x:f>IF(M726="","",M726+P726)</x:f>
      </x:c>
      <x:c r="R726" s="7">
        <x:f>IF(K726&lt;&gt;"Paid",0,IF(C726="Income",Q726,-Q726))</x:f>
      </x:c>
      <x:c r="S726" s="14">
        <x:f>IF(A726="","",DATE(YEAR(A726),MONTH(A726),1))</x:f>
      </x:c>
      <x:c r="T726" s="14">
        <x:f>IF(L726="","",DATE(YEAR(L726),MONTH(L726),1))</x:f>
      </x:c>
    </x:row>
    <x:row r="727">
      <x:c r="A727" s="11" t="n"/>
      <x:c r="B727" s="5" t="n"/>
      <x:c r="C727" s="12" t="n"/>
      <x:c r="D727" s="12" t="n"/>
      <x:c r="E727" s="12" t="n"/>
      <x:c r="F727" s="12" t="n"/>
      <x:c r="G727" s="13">
        <x:f>IF(F727="","",IFERROR(VLOOKUP(F727,Master_Data!$E$24:$G$33,2,FALSE),"9999"))</x:f>
      </x:c>
      <x:c r="H727" s="12" t="n"/>
      <x:c r="I727" s="12" t="n"/>
      <x:c r="J727" s="12" t="n"/>
      <x:c r="K727" s="12" t="n"/>
      <x:c r="L727" s="11" t="n"/>
      <x:c r="M727" s="9" t="n"/>
      <x:c r="N727" s="12" t="n"/>
      <x:c r="O727" s="6">
        <x:f>IF(N727="","",IFERROR(VLOOKUP(N727,Master_Data!$A$5:$C$8,3,FALSE),0))</x:f>
      </x:c>
      <x:c r="P727" s="7">
        <x:f>IF(M727="","",M727*O727)</x:f>
      </x:c>
      <x:c r="Q727" s="7">
        <x:f>IF(M727="","",M727+P727)</x:f>
      </x:c>
      <x:c r="R727" s="7">
        <x:f>IF(K727&lt;&gt;"Paid",0,IF(C727="Income",Q727,-Q727))</x:f>
      </x:c>
      <x:c r="S727" s="14">
        <x:f>IF(A727="","",DATE(YEAR(A727),MONTH(A727),1))</x:f>
      </x:c>
      <x:c r="T727" s="14">
        <x:f>IF(L727="","",DATE(YEAR(L727),MONTH(L727),1))</x:f>
      </x:c>
    </x:row>
    <x:row r="728">
      <x:c r="A728" s="11" t="n"/>
      <x:c r="B728" s="5" t="n"/>
      <x:c r="C728" s="12" t="n"/>
      <x:c r="D728" s="12" t="n"/>
      <x:c r="E728" s="12" t="n"/>
      <x:c r="F728" s="12" t="n"/>
      <x:c r="G728" s="13">
        <x:f>IF(F728="","",IFERROR(VLOOKUP(F728,Master_Data!$E$24:$G$33,2,FALSE),"9999"))</x:f>
      </x:c>
      <x:c r="H728" s="12" t="n"/>
      <x:c r="I728" s="12" t="n"/>
      <x:c r="J728" s="12" t="n"/>
      <x:c r="K728" s="12" t="n"/>
      <x:c r="L728" s="11" t="n"/>
      <x:c r="M728" s="9" t="n"/>
      <x:c r="N728" s="12" t="n"/>
      <x:c r="O728" s="6">
        <x:f>IF(N728="","",IFERROR(VLOOKUP(N728,Master_Data!$A$5:$C$8,3,FALSE),0))</x:f>
      </x:c>
      <x:c r="P728" s="7">
        <x:f>IF(M728="","",M728*O728)</x:f>
      </x:c>
      <x:c r="Q728" s="7">
        <x:f>IF(M728="","",M728+P728)</x:f>
      </x:c>
      <x:c r="R728" s="7">
        <x:f>IF(K728&lt;&gt;"Paid",0,IF(C728="Income",Q728,-Q728))</x:f>
      </x:c>
      <x:c r="S728" s="14">
        <x:f>IF(A728="","",DATE(YEAR(A728),MONTH(A728),1))</x:f>
      </x:c>
      <x:c r="T728" s="14">
        <x:f>IF(L728="","",DATE(YEAR(L728),MONTH(L728),1))</x:f>
      </x:c>
    </x:row>
    <x:row r="729">
      <x:c r="A729" s="11" t="n"/>
      <x:c r="B729" s="5" t="n"/>
      <x:c r="C729" s="12" t="n"/>
      <x:c r="D729" s="12" t="n"/>
      <x:c r="E729" s="12" t="n"/>
      <x:c r="F729" s="12" t="n"/>
      <x:c r="G729" s="13">
        <x:f>IF(F729="","",IFERROR(VLOOKUP(F729,Master_Data!$E$24:$G$33,2,FALSE),"9999"))</x:f>
      </x:c>
      <x:c r="H729" s="12" t="n"/>
      <x:c r="I729" s="12" t="n"/>
      <x:c r="J729" s="12" t="n"/>
      <x:c r="K729" s="12" t="n"/>
      <x:c r="L729" s="11" t="n"/>
      <x:c r="M729" s="9" t="n"/>
      <x:c r="N729" s="12" t="n"/>
      <x:c r="O729" s="6">
        <x:f>IF(N729="","",IFERROR(VLOOKUP(N729,Master_Data!$A$5:$C$8,3,FALSE),0))</x:f>
      </x:c>
      <x:c r="P729" s="7">
        <x:f>IF(M729="","",M729*O729)</x:f>
      </x:c>
      <x:c r="Q729" s="7">
        <x:f>IF(M729="","",M729+P729)</x:f>
      </x:c>
      <x:c r="R729" s="7">
        <x:f>IF(K729&lt;&gt;"Paid",0,IF(C729="Income",Q729,-Q729))</x:f>
      </x:c>
      <x:c r="S729" s="14">
        <x:f>IF(A729="","",DATE(YEAR(A729),MONTH(A729),1))</x:f>
      </x:c>
      <x:c r="T729" s="14">
        <x:f>IF(L729="","",DATE(YEAR(L729),MONTH(L729),1))</x:f>
      </x:c>
    </x:row>
    <x:row r="730">
      <x:c r="A730" s="11" t="n"/>
      <x:c r="B730" s="5" t="n"/>
      <x:c r="C730" s="12" t="n"/>
      <x:c r="D730" s="12" t="n"/>
      <x:c r="E730" s="12" t="n"/>
      <x:c r="F730" s="12" t="n"/>
      <x:c r="G730" s="13">
        <x:f>IF(F730="","",IFERROR(VLOOKUP(F730,Master_Data!$E$24:$G$33,2,FALSE),"9999"))</x:f>
      </x:c>
      <x:c r="H730" s="12" t="n"/>
      <x:c r="I730" s="12" t="n"/>
      <x:c r="J730" s="12" t="n"/>
      <x:c r="K730" s="12" t="n"/>
      <x:c r="L730" s="11" t="n"/>
      <x:c r="M730" s="9" t="n"/>
      <x:c r="N730" s="12" t="n"/>
      <x:c r="O730" s="6">
        <x:f>IF(N730="","",IFERROR(VLOOKUP(N730,Master_Data!$A$5:$C$8,3,FALSE),0))</x:f>
      </x:c>
      <x:c r="P730" s="7">
        <x:f>IF(M730="","",M730*O730)</x:f>
      </x:c>
      <x:c r="Q730" s="7">
        <x:f>IF(M730="","",M730+P730)</x:f>
      </x:c>
      <x:c r="R730" s="7">
        <x:f>IF(K730&lt;&gt;"Paid",0,IF(C730="Income",Q730,-Q730))</x:f>
      </x:c>
      <x:c r="S730" s="14">
        <x:f>IF(A730="","",DATE(YEAR(A730),MONTH(A730),1))</x:f>
      </x:c>
      <x:c r="T730" s="14">
        <x:f>IF(L730="","",DATE(YEAR(L730),MONTH(L730),1))</x:f>
      </x:c>
    </x:row>
    <x:row r="731">
      <x:c r="A731" s="11" t="n"/>
      <x:c r="B731" s="5" t="n"/>
      <x:c r="C731" s="12" t="n"/>
      <x:c r="D731" s="12" t="n"/>
      <x:c r="E731" s="12" t="n"/>
      <x:c r="F731" s="12" t="n"/>
      <x:c r="G731" s="13">
        <x:f>IF(F731="","",IFERROR(VLOOKUP(F731,Master_Data!$E$24:$G$33,2,FALSE),"9999"))</x:f>
      </x:c>
      <x:c r="H731" s="12" t="n"/>
      <x:c r="I731" s="12" t="n"/>
      <x:c r="J731" s="12" t="n"/>
      <x:c r="K731" s="12" t="n"/>
      <x:c r="L731" s="11" t="n"/>
      <x:c r="M731" s="9" t="n"/>
      <x:c r="N731" s="12" t="n"/>
      <x:c r="O731" s="6">
        <x:f>IF(N731="","",IFERROR(VLOOKUP(N731,Master_Data!$A$5:$C$8,3,FALSE),0))</x:f>
      </x:c>
      <x:c r="P731" s="7">
        <x:f>IF(M731="","",M731*O731)</x:f>
      </x:c>
      <x:c r="Q731" s="7">
        <x:f>IF(M731="","",M731+P731)</x:f>
      </x:c>
      <x:c r="R731" s="7">
        <x:f>IF(K731&lt;&gt;"Paid",0,IF(C731="Income",Q731,-Q731))</x:f>
      </x:c>
      <x:c r="S731" s="14">
        <x:f>IF(A731="","",DATE(YEAR(A731),MONTH(A731),1))</x:f>
      </x:c>
      <x:c r="T731" s="14">
        <x:f>IF(L731="","",DATE(YEAR(L731),MONTH(L731),1))</x:f>
      </x:c>
    </x:row>
    <x:row r="732">
      <x:c r="A732" s="11" t="n"/>
      <x:c r="B732" s="5" t="n"/>
      <x:c r="C732" s="12" t="n"/>
      <x:c r="D732" s="12" t="n"/>
      <x:c r="E732" s="12" t="n"/>
      <x:c r="F732" s="12" t="n"/>
      <x:c r="G732" s="13">
        <x:f>IF(F732="","",IFERROR(VLOOKUP(F732,Master_Data!$E$24:$G$33,2,FALSE),"9999"))</x:f>
      </x:c>
      <x:c r="H732" s="12" t="n"/>
      <x:c r="I732" s="12" t="n"/>
      <x:c r="J732" s="12" t="n"/>
      <x:c r="K732" s="12" t="n"/>
      <x:c r="L732" s="11" t="n"/>
      <x:c r="M732" s="9" t="n"/>
      <x:c r="N732" s="12" t="n"/>
      <x:c r="O732" s="6">
        <x:f>IF(N732="","",IFERROR(VLOOKUP(N732,Master_Data!$A$5:$C$8,3,FALSE),0))</x:f>
      </x:c>
      <x:c r="P732" s="7">
        <x:f>IF(M732="","",M732*O732)</x:f>
      </x:c>
      <x:c r="Q732" s="7">
        <x:f>IF(M732="","",M732+P732)</x:f>
      </x:c>
      <x:c r="R732" s="7">
        <x:f>IF(K732&lt;&gt;"Paid",0,IF(C732="Income",Q732,-Q732))</x:f>
      </x:c>
      <x:c r="S732" s="14">
        <x:f>IF(A732="","",DATE(YEAR(A732),MONTH(A732),1))</x:f>
      </x:c>
      <x:c r="T732" s="14">
        <x:f>IF(L732="","",DATE(YEAR(L732),MONTH(L732),1))</x:f>
      </x:c>
    </x:row>
    <x:row r="733">
      <x:c r="A733" s="11" t="n"/>
      <x:c r="B733" s="5" t="n"/>
      <x:c r="C733" s="12" t="n"/>
      <x:c r="D733" s="12" t="n"/>
      <x:c r="E733" s="12" t="n"/>
      <x:c r="F733" s="12" t="n"/>
      <x:c r="G733" s="13">
        <x:f>IF(F733="","",IFERROR(VLOOKUP(F733,Master_Data!$E$24:$G$33,2,FALSE),"9999"))</x:f>
      </x:c>
      <x:c r="H733" s="12" t="n"/>
      <x:c r="I733" s="12" t="n"/>
      <x:c r="J733" s="12" t="n"/>
      <x:c r="K733" s="12" t="n"/>
      <x:c r="L733" s="11" t="n"/>
      <x:c r="M733" s="9" t="n"/>
      <x:c r="N733" s="12" t="n"/>
      <x:c r="O733" s="6">
        <x:f>IF(N733="","",IFERROR(VLOOKUP(N733,Master_Data!$A$5:$C$8,3,FALSE),0))</x:f>
      </x:c>
      <x:c r="P733" s="7">
        <x:f>IF(M733="","",M733*O733)</x:f>
      </x:c>
      <x:c r="Q733" s="7">
        <x:f>IF(M733="","",M733+P733)</x:f>
      </x:c>
      <x:c r="R733" s="7">
        <x:f>IF(K733&lt;&gt;"Paid",0,IF(C733="Income",Q733,-Q733))</x:f>
      </x:c>
      <x:c r="S733" s="14">
        <x:f>IF(A733="","",DATE(YEAR(A733),MONTH(A733),1))</x:f>
      </x:c>
      <x:c r="T733" s="14">
        <x:f>IF(L733="","",DATE(YEAR(L733),MONTH(L733),1))</x:f>
      </x:c>
    </x:row>
    <x:row r="734">
      <x:c r="A734" s="11" t="n"/>
      <x:c r="B734" s="5" t="n"/>
      <x:c r="C734" s="12" t="n"/>
      <x:c r="D734" s="12" t="n"/>
      <x:c r="E734" s="12" t="n"/>
      <x:c r="F734" s="12" t="n"/>
      <x:c r="G734" s="13">
        <x:f>IF(F734="","",IFERROR(VLOOKUP(F734,Master_Data!$E$24:$G$33,2,FALSE),"9999"))</x:f>
      </x:c>
      <x:c r="H734" s="12" t="n"/>
      <x:c r="I734" s="12" t="n"/>
      <x:c r="J734" s="12" t="n"/>
      <x:c r="K734" s="12" t="n"/>
      <x:c r="L734" s="11" t="n"/>
      <x:c r="M734" s="9" t="n"/>
      <x:c r="N734" s="12" t="n"/>
      <x:c r="O734" s="6">
        <x:f>IF(N734="","",IFERROR(VLOOKUP(N734,Master_Data!$A$5:$C$8,3,FALSE),0))</x:f>
      </x:c>
      <x:c r="P734" s="7">
        <x:f>IF(M734="","",M734*O734)</x:f>
      </x:c>
      <x:c r="Q734" s="7">
        <x:f>IF(M734="","",M734+P734)</x:f>
      </x:c>
      <x:c r="R734" s="7">
        <x:f>IF(K734&lt;&gt;"Paid",0,IF(C734="Income",Q734,-Q734))</x:f>
      </x:c>
      <x:c r="S734" s="14">
        <x:f>IF(A734="","",DATE(YEAR(A734),MONTH(A734),1))</x:f>
      </x:c>
      <x:c r="T734" s="14">
        <x:f>IF(L734="","",DATE(YEAR(L734),MONTH(L734),1))</x:f>
      </x:c>
    </x:row>
    <x:row r="735">
      <x:c r="A735" s="11" t="n"/>
      <x:c r="B735" s="5" t="n"/>
      <x:c r="C735" s="12" t="n"/>
      <x:c r="D735" s="12" t="n"/>
      <x:c r="E735" s="12" t="n"/>
      <x:c r="F735" s="12" t="n"/>
      <x:c r="G735" s="13">
        <x:f>IF(F735="","",IFERROR(VLOOKUP(F735,Master_Data!$E$24:$G$33,2,FALSE),"9999"))</x:f>
      </x:c>
      <x:c r="H735" s="12" t="n"/>
      <x:c r="I735" s="12" t="n"/>
      <x:c r="J735" s="12" t="n"/>
      <x:c r="K735" s="12" t="n"/>
      <x:c r="L735" s="11" t="n"/>
      <x:c r="M735" s="9" t="n"/>
      <x:c r="N735" s="12" t="n"/>
      <x:c r="O735" s="6">
        <x:f>IF(N735="","",IFERROR(VLOOKUP(N735,Master_Data!$A$5:$C$8,3,FALSE),0))</x:f>
      </x:c>
      <x:c r="P735" s="7">
        <x:f>IF(M735="","",M735*O735)</x:f>
      </x:c>
      <x:c r="Q735" s="7">
        <x:f>IF(M735="","",M735+P735)</x:f>
      </x:c>
      <x:c r="R735" s="7">
        <x:f>IF(K735&lt;&gt;"Paid",0,IF(C735="Income",Q735,-Q735))</x:f>
      </x:c>
      <x:c r="S735" s="14">
        <x:f>IF(A735="","",DATE(YEAR(A735),MONTH(A735),1))</x:f>
      </x:c>
      <x:c r="T735" s="14">
        <x:f>IF(L735="","",DATE(YEAR(L735),MONTH(L735),1))</x:f>
      </x:c>
    </x:row>
    <x:row r="736">
      <x:c r="A736" s="11" t="n"/>
      <x:c r="B736" s="5" t="n"/>
      <x:c r="C736" s="12" t="n"/>
      <x:c r="D736" s="12" t="n"/>
      <x:c r="E736" s="12" t="n"/>
      <x:c r="F736" s="12" t="n"/>
      <x:c r="G736" s="13">
        <x:f>IF(F736="","",IFERROR(VLOOKUP(F736,Master_Data!$E$24:$G$33,2,FALSE),"9999"))</x:f>
      </x:c>
      <x:c r="H736" s="12" t="n"/>
      <x:c r="I736" s="12" t="n"/>
      <x:c r="J736" s="12" t="n"/>
      <x:c r="K736" s="12" t="n"/>
      <x:c r="L736" s="11" t="n"/>
      <x:c r="M736" s="9" t="n"/>
      <x:c r="N736" s="12" t="n"/>
      <x:c r="O736" s="6">
        <x:f>IF(N736="","",IFERROR(VLOOKUP(N736,Master_Data!$A$5:$C$8,3,FALSE),0))</x:f>
      </x:c>
      <x:c r="P736" s="7">
        <x:f>IF(M736="","",M736*O736)</x:f>
      </x:c>
      <x:c r="Q736" s="7">
        <x:f>IF(M736="","",M736+P736)</x:f>
      </x:c>
      <x:c r="R736" s="7">
        <x:f>IF(K736&lt;&gt;"Paid",0,IF(C736="Income",Q736,-Q736))</x:f>
      </x:c>
      <x:c r="S736" s="14">
        <x:f>IF(A736="","",DATE(YEAR(A736),MONTH(A736),1))</x:f>
      </x:c>
      <x:c r="T736" s="14">
        <x:f>IF(L736="","",DATE(YEAR(L736),MONTH(L736),1))</x:f>
      </x:c>
    </x:row>
    <x:row r="737">
      <x:c r="A737" s="11" t="n"/>
      <x:c r="B737" s="5" t="n"/>
      <x:c r="C737" s="12" t="n"/>
      <x:c r="D737" s="12" t="n"/>
      <x:c r="E737" s="12" t="n"/>
      <x:c r="F737" s="12" t="n"/>
      <x:c r="G737" s="13">
        <x:f>IF(F737="","",IFERROR(VLOOKUP(F737,Master_Data!$E$24:$G$33,2,FALSE),"9999"))</x:f>
      </x:c>
      <x:c r="H737" s="12" t="n"/>
      <x:c r="I737" s="12" t="n"/>
      <x:c r="J737" s="12" t="n"/>
      <x:c r="K737" s="12" t="n"/>
      <x:c r="L737" s="11" t="n"/>
      <x:c r="M737" s="9" t="n"/>
      <x:c r="N737" s="12" t="n"/>
      <x:c r="O737" s="6">
        <x:f>IF(N737="","",IFERROR(VLOOKUP(N737,Master_Data!$A$5:$C$8,3,FALSE),0))</x:f>
      </x:c>
      <x:c r="P737" s="7">
        <x:f>IF(M737="","",M737*O737)</x:f>
      </x:c>
      <x:c r="Q737" s="7">
        <x:f>IF(M737="","",M737+P737)</x:f>
      </x:c>
      <x:c r="R737" s="7">
        <x:f>IF(K737&lt;&gt;"Paid",0,IF(C737="Income",Q737,-Q737))</x:f>
      </x:c>
      <x:c r="S737" s="14">
        <x:f>IF(A737="","",DATE(YEAR(A737),MONTH(A737),1))</x:f>
      </x:c>
      <x:c r="T737" s="14">
        <x:f>IF(L737="","",DATE(YEAR(L737),MONTH(L737),1))</x:f>
      </x:c>
    </x:row>
    <x:row r="738">
      <x:c r="A738" s="11" t="n"/>
      <x:c r="B738" s="5" t="n"/>
      <x:c r="C738" s="12" t="n"/>
      <x:c r="D738" s="12" t="n"/>
      <x:c r="E738" s="12" t="n"/>
      <x:c r="F738" s="12" t="n"/>
      <x:c r="G738" s="13">
        <x:f>IF(F738="","",IFERROR(VLOOKUP(F738,Master_Data!$E$24:$G$33,2,FALSE),"9999"))</x:f>
      </x:c>
      <x:c r="H738" s="12" t="n"/>
      <x:c r="I738" s="12" t="n"/>
      <x:c r="J738" s="12" t="n"/>
      <x:c r="K738" s="12" t="n"/>
      <x:c r="L738" s="11" t="n"/>
      <x:c r="M738" s="9" t="n"/>
      <x:c r="N738" s="12" t="n"/>
      <x:c r="O738" s="6">
        <x:f>IF(N738="","",IFERROR(VLOOKUP(N738,Master_Data!$A$5:$C$8,3,FALSE),0))</x:f>
      </x:c>
      <x:c r="P738" s="7">
        <x:f>IF(M738="","",M738*O738)</x:f>
      </x:c>
      <x:c r="Q738" s="7">
        <x:f>IF(M738="","",M738+P738)</x:f>
      </x:c>
      <x:c r="R738" s="7">
        <x:f>IF(K738&lt;&gt;"Paid",0,IF(C738="Income",Q738,-Q738))</x:f>
      </x:c>
      <x:c r="S738" s="14">
        <x:f>IF(A738="","",DATE(YEAR(A738),MONTH(A738),1))</x:f>
      </x:c>
      <x:c r="T738" s="14">
        <x:f>IF(L738="","",DATE(YEAR(L738),MONTH(L738),1))</x:f>
      </x:c>
    </x:row>
    <x:row r="739">
      <x:c r="A739" s="11" t="n"/>
      <x:c r="B739" s="5" t="n"/>
      <x:c r="C739" s="12" t="n"/>
      <x:c r="D739" s="12" t="n"/>
      <x:c r="E739" s="12" t="n"/>
      <x:c r="F739" s="12" t="n"/>
      <x:c r="G739" s="13">
        <x:f>IF(F739="","",IFERROR(VLOOKUP(F739,Master_Data!$E$24:$G$33,2,FALSE),"9999"))</x:f>
      </x:c>
      <x:c r="H739" s="12" t="n"/>
      <x:c r="I739" s="12" t="n"/>
      <x:c r="J739" s="12" t="n"/>
      <x:c r="K739" s="12" t="n"/>
      <x:c r="L739" s="11" t="n"/>
      <x:c r="M739" s="9" t="n"/>
      <x:c r="N739" s="12" t="n"/>
      <x:c r="O739" s="6">
        <x:f>IF(N739="","",IFERROR(VLOOKUP(N739,Master_Data!$A$5:$C$8,3,FALSE),0))</x:f>
      </x:c>
      <x:c r="P739" s="7">
        <x:f>IF(M739="","",M739*O739)</x:f>
      </x:c>
      <x:c r="Q739" s="7">
        <x:f>IF(M739="","",M739+P739)</x:f>
      </x:c>
      <x:c r="R739" s="7">
        <x:f>IF(K739&lt;&gt;"Paid",0,IF(C739="Income",Q739,-Q739))</x:f>
      </x:c>
      <x:c r="S739" s="14">
        <x:f>IF(A739="","",DATE(YEAR(A739),MONTH(A739),1))</x:f>
      </x:c>
      <x:c r="T739" s="14">
        <x:f>IF(L739="","",DATE(YEAR(L739),MONTH(L739),1))</x:f>
      </x:c>
    </x:row>
    <x:row r="740">
      <x:c r="A740" s="11" t="n"/>
      <x:c r="B740" s="5" t="n"/>
      <x:c r="C740" s="12" t="n"/>
      <x:c r="D740" s="12" t="n"/>
      <x:c r="E740" s="12" t="n"/>
      <x:c r="F740" s="12" t="n"/>
      <x:c r="G740" s="13">
        <x:f>IF(F740="","",IFERROR(VLOOKUP(F740,Master_Data!$E$24:$G$33,2,FALSE),"9999"))</x:f>
      </x:c>
      <x:c r="H740" s="12" t="n"/>
      <x:c r="I740" s="12" t="n"/>
      <x:c r="J740" s="12" t="n"/>
      <x:c r="K740" s="12" t="n"/>
      <x:c r="L740" s="11" t="n"/>
      <x:c r="M740" s="9" t="n"/>
      <x:c r="N740" s="12" t="n"/>
      <x:c r="O740" s="6">
        <x:f>IF(N740="","",IFERROR(VLOOKUP(N740,Master_Data!$A$5:$C$8,3,FALSE),0))</x:f>
      </x:c>
      <x:c r="P740" s="7">
        <x:f>IF(M740="","",M740*O740)</x:f>
      </x:c>
      <x:c r="Q740" s="7">
        <x:f>IF(M740="","",M740+P740)</x:f>
      </x:c>
      <x:c r="R740" s="7">
        <x:f>IF(K740&lt;&gt;"Paid",0,IF(C740="Income",Q740,-Q740))</x:f>
      </x:c>
      <x:c r="S740" s="14">
        <x:f>IF(A740="","",DATE(YEAR(A740),MONTH(A740),1))</x:f>
      </x:c>
      <x:c r="T740" s="14">
        <x:f>IF(L740="","",DATE(YEAR(L740),MONTH(L740),1))</x:f>
      </x:c>
    </x:row>
    <x:row r="741">
      <x:c r="A741" s="11" t="n"/>
      <x:c r="B741" s="5" t="n"/>
      <x:c r="C741" s="12" t="n"/>
      <x:c r="D741" s="12" t="n"/>
      <x:c r="E741" s="12" t="n"/>
      <x:c r="F741" s="12" t="n"/>
      <x:c r="G741" s="13">
        <x:f>IF(F741="","",IFERROR(VLOOKUP(F741,Master_Data!$E$24:$G$33,2,FALSE),"9999"))</x:f>
      </x:c>
      <x:c r="H741" s="12" t="n"/>
      <x:c r="I741" s="12" t="n"/>
      <x:c r="J741" s="12" t="n"/>
      <x:c r="K741" s="12" t="n"/>
      <x:c r="L741" s="11" t="n"/>
      <x:c r="M741" s="9" t="n"/>
      <x:c r="N741" s="12" t="n"/>
      <x:c r="O741" s="6">
        <x:f>IF(N741="","",IFERROR(VLOOKUP(N741,Master_Data!$A$5:$C$8,3,FALSE),0))</x:f>
      </x:c>
      <x:c r="P741" s="7">
        <x:f>IF(M741="","",M741*O741)</x:f>
      </x:c>
      <x:c r="Q741" s="7">
        <x:f>IF(M741="","",M741+P741)</x:f>
      </x:c>
      <x:c r="R741" s="7">
        <x:f>IF(K741&lt;&gt;"Paid",0,IF(C741="Income",Q741,-Q741))</x:f>
      </x:c>
      <x:c r="S741" s="14">
        <x:f>IF(A741="","",DATE(YEAR(A741),MONTH(A741),1))</x:f>
      </x:c>
      <x:c r="T741" s="14">
        <x:f>IF(L741="","",DATE(YEAR(L741),MONTH(L741),1))</x:f>
      </x:c>
    </x:row>
    <x:row r="742">
      <x:c r="A742" s="11" t="n"/>
      <x:c r="B742" s="5" t="n"/>
      <x:c r="C742" s="12" t="n"/>
      <x:c r="D742" s="12" t="n"/>
      <x:c r="E742" s="12" t="n"/>
      <x:c r="F742" s="12" t="n"/>
      <x:c r="G742" s="13">
        <x:f>IF(F742="","",IFERROR(VLOOKUP(F742,Master_Data!$E$24:$G$33,2,FALSE),"9999"))</x:f>
      </x:c>
      <x:c r="H742" s="12" t="n"/>
      <x:c r="I742" s="12" t="n"/>
      <x:c r="J742" s="12" t="n"/>
      <x:c r="K742" s="12" t="n"/>
      <x:c r="L742" s="11" t="n"/>
      <x:c r="M742" s="9" t="n"/>
      <x:c r="N742" s="12" t="n"/>
      <x:c r="O742" s="6">
        <x:f>IF(N742="","",IFERROR(VLOOKUP(N742,Master_Data!$A$5:$C$8,3,FALSE),0))</x:f>
      </x:c>
      <x:c r="P742" s="7">
        <x:f>IF(M742="","",M742*O742)</x:f>
      </x:c>
      <x:c r="Q742" s="7">
        <x:f>IF(M742="","",M742+P742)</x:f>
      </x:c>
      <x:c r="R742" s="7">
        <x:f>IF(K742&lt;&gt;"Paid",0,IF(C742="Income",Q742,-Q742))</x:f>
      </x:c>
      <x:c r="S742" s="14">
        <x:f>IF(A742="","",DATE(YEAR(A742),MONTH(A742),1))</x:f>
      </x:c>
      <x:c r="T742" s="14">
        <x:f>IF(L742="","",DATE(YEAR(L742),MONTH(L742),1))</x:f>
      </x:c>
    </x:row>
    <x:row r="743">
      <x:c r="A743" s="11" t="n"/>
      <x:c r="B743" s="5" t="n"/>
      <x:c r="C743" s="12" t="n"/>
      <x:c r="D743" s="12" t="n"/>
      <x:c r="E743" s="12" t="n"/>
      <x:c r="F743" s="12" t="n"/>
      <x:c r="G743" s="13">
        <x:f>IF(F743="","",IFERROR(VLOOKUP(F743,Master_Data!$E$24:$G$33,2,FALSE),"9999"))</x:f>
      </x:c>
      <x:c r="H743" s="12" t="n"/>
      <x:c r="I743" s="12" t="n"/>
      <x:c r="J743" s="12" t="n"/>
      <x:c r="K743" s="12" t="n"/>
      <x:c r="L743" s="11" t="n"/>
      <x:c r="M743" s="9" t="n"/>
      <x:c r="N743" s="12" t="n"/>
      <x:c r="O743" s="6">
        <x:f>IF(N743="","",IFERROR(VLOOKUP(N743,Master_Data!$A$5:$C$8,3,FALSE),0))</x:f>
      </x:c>
      <x:c r="P743" s="7">
        <x:f>IF(M743="","",M743*O743)</x:f>
      </x:c>
      <x:c r="Q743" s="7">
        <x:f>IF(M743="","",M743+P743)</x:f>
      </x:c>
      <x:c r="R743" s="7">
        <x:f>IF(K743&lt;&gt;"Paid",0,IF(C743="Income",Q743,-Q743))</x:f>
      </x:c>
      <x:c r="S743" s="14">
        <x:f>IF(A743="","",DATE(YEAR(A743),MONTH(A743),1))</x:f>
      </x:c>
      <x:c r="T743" s="14">
        <x:f>IF(L743="","",DATE(YEAR(L743),MONTH(L743),1))</x:f>
      </x:c>
    </x:row>
    <x:row r="744">
      <x:c r="A744" s="11" t="n"/>
      <x:c r="B744" s="5" t="n"/>
      <x:c r="C744" s="12" t="n"/>
      <x:c r="D744" s="12" t="n"/>
      <x:c r="E744" s="12" t="n"/>
      <x:c r="F744" s="12" t="n"/>
      <x:c r="G744" s="13">
        <x:f>IF(F744="","",IFERROR(VLOOKUP(F744,Master_Data!$E$24:$G$33,2,FALSE),"9999"))</x:f>
      </x:c>
      <x:c r="H744" s="12" t="n"/>
      <x:c r="I744" s="12" t="n"/>
      <x:c r="J744" s="12" t="n"/>
      <x:c r="K744" s="12" t="n"/>
      <x:c r="L744" s="11" t="n"/>
      <x:c r="M744" s="9" t="n"/>
      <x:c r="N744" s="12" t="n"/>
      <x:c r="O744" s="6">
        <x:f>IF(N744="","",IFERROR(VLOOKUP(N744,Master_Data!$A$5:$C$8,3,FALSE),0))</x:f>
      </x:c>
      <x:c r="P744" s="7">
        <x:f>IF(M744="","",M744*O744)</x:f>
      </x:c>
      <x:c r="Q744" s="7">
        <x:f>IF(M744="","",M744+P744)</x:f>
      </x:c>
      <x:c r="R744" s="7">
        <x:f>IF(K744&lt;&gt;"Paid",0,IF(C744="Income",Q744,-Q744))</x:f>
      </x:c>
      <x:c r="S744" s="14">
        <x:f>IF(A744="","",DATE(YEAR(A744),MONTH(A744),1))</x:f>
      </x:c>
      <x:c r="T744" s="14">
        <x:f>IF(L744="","",DATE(YEAR(L744),MONTH(L744),1))</x:f>
      </x:c>
    </x:row>
    <x:row r="745">
      <x:c r="A745" s="11" t="n"/>
      <x:c r="B745" s="5" t="n"/>
      <x:c r="C745" s="12" t="n"/>
      <x:c r="D745" s="12" t="n"/>
      <x:c r="E745" s="12" t="n"/>
      <x:c r="F745" s="12" t="n"/>
      <x:c r="G745" s="13">
        <x:f>IF(F745="","",IFERROR(VLOOKUP(F745,Master_Data!$E$24:$G$33,2,FALSE),"9999"))</x:f>
      </x:c>
      <x:c r="H745" s="12" t="n"/>
      <x:c r="I745" s="12" t="n"/>
      <x:c r="J745" s="12" t="n"/>
      <x:c r="K745" s="12" t="n"/>
      <x:c r="L745" s="11" t="n"/>
      <x:c r="M745" s="9" t="n"/>
      <x:c r="N745" s="12" t="n"/>
      <x:c r="O745" s="6">
        <x:f>IF(N745="","",IFERROR(VLOOKUP(N745,Master_Data!$A$5:$C$8,3,FALSE),0))</x:f>
      </x:c>
      <x:c r="P745" s="7">
        <x:f>IF(M745="","",M745*O745)</x:f>
      </x:c>
      <x:c r="Q745" s="7">
        <x:f>IF(M745="","",M745+P745)</x:f>
      </x:c>
      <x:c r="R745" s="7">
        <x:f>IF(K745&lt;&gt;"Paid",0,IF(C745="Income",Q745,-Q745))</x:f>
      </x:c>
      <x:c r="S745" s="14">
        <x:f>IF(A745="","",DATE(YEAR(A745),MONTH(A745),1))</x:f>
      </x:c>
      <x:c r="T745" s="14">
        <x:f>IF(L745="","",DATE(YEAR(L745),MONTH(L745),1))</x:f>
      </x:c>
    </x:row>
    <x:row r="746">
      <x:c r="A746" s="11" t="n"/>
      <x:c r="B746" s="5" t="n"/>
      <x:c r="C746" s="12" t="n"/>
      <x:c r="D746" s="12" t="n"/>
      <x:c r="E746" s="12" t="n"/>
      <x:c r="F746" s="12" t="n"/>
      <x:c r="G746" s="13">
        <x:f>IF(F746="","",IFERROR(VLOOKUP(F746,Master_Data!$E$24:$G$33,2,FALSE),"9999"))</x:f>
      </x:c>
      <x:c r="H746" s="12" t="n"/>
      <x:c r="I746" s="12" t="n"/>
      <x:c r="J746" s="12" t="n"/>
      <x:c r="K746" s="12" t="n"/>
      <x:c r="L746" s="11" t="n"/>
      <x:c r="M746" s="9" t="n"/>
      <x:c r="N746" s="12" t="n"/>
      <x:c r="O746" s="6">
        <x:f>IF(N746="","",IFERROR(VLOOKUP(N746,Master_Data!$A$5:$C$8,3,FALSE),0))</x:f>
      </x:c>
      <x:c r="P746" s="7">
        <x:f>IF(M746="","",M746*O746)</x:f>
      </x:c>
      <x:c r="Q746" s="7">
        <x:f>IF(M746="","",M746+P746)</x:f>
      </x:c>
      <x:c r="R746" s="7">
        <x:f>IF(K746&lt;&gt;"Paid",0,IF(C746="Income",Q746,-Q746))</x:f>
      </x:c>
      <x:c r="S746" s="14">
        <x:f>IF(A746="","",DATE(YEAR(A746),MONTH(A746),1))</x:f>
      </x:c>
      <x:c r="T746" s="14">
        <x:f>IF(L746="","",DATE(YEAR(L746),MONTH(L746),1))</x:f>
      </x:c>
    </x:row>
    <x:row r="747">
      <x:c r="A747" s="11" t="n"/>
      <x:c r="B747" s="5" t="n"/>
      <x:c r="C747" s="12" t="n"/>
      <x:c r="D747" s="12" t="n"/>
      <x:c r="E747" s="12" t="n"/>
      <x:c r="F747" s="12" t="n"/>
      <x:c r="G747" s="13">
        <x:f>IF(F747="","",IFERROR(VLOOKUP(F747,Master_Data!$E$24:$G$33,2,FALSE),"9999"))</x:f>
      </x:c>
      <x:c r="H747" s="12" t="n"/>
      <x:c r="I747" s="12" t="n"/>
      <x:c r="J747" s="12" t="n"/>
      <x:c r="K747" s="12" t="n"/>
      <x:c r="L747" s="11" t="n"/>
      <x:c r="M747" s="9" t="n"/>
      <x:c r="N747" s="12" t="n"/>
      <x:c r="O747" s="6">
        <x:f>IF(N747="","",IFERROR(VLOOKUP(N747,Master_Data!$A$5:$C$8,3,FALSE),0))</x:f>
      </x:c>
      <x:c r="P747" s="7">
        <x:f>IF(M747="","",M747*O747)</x:f>
      </x:c>
      <x:c r="Q747" s="7">
        <x:f>IF(M747="","",M747+P747)</x:f>
      </x:c>
      <x:c r="R747" s="7">
        <x:f>IF(K747&lt;&gt;"Paid",0,IF(C747="Income",Q747,-Q747))</x:f>
      </x:c>
      <x:c r="S747" s="14">
        <x:f>IF(A747="","",DATE(YEAR(A747),MONTH(A747),1))</x:f>
      </x:c>
      <x:c r="T747" s="14">
        <x:f>IF(L747="","",DATE(YEAR(L747),MONTH(L747),1))</x:f>
      </x:c>
    </x:row>
    <x:row r="748">
      <x:c r="A748" s="11" t="n"/>
      <x:c r="B748" s="5" t="n"/>
      <x:c r="C748" s="12" t="n"/>
      <x:c r="D748" s="12" t="n"/>
      <x:c r="E748" s="12" t="n"/>
      <x:c r="F748" s="12" t="n"/>
      <x:c r="G748" s="13">
        <x:f>IF(F748="","",IFERROR(VLOOKUP(F748,Master_Data!$E$24:$G$33,2,FALSE),"9999"))</x:f>
      </x:c>
      <x:c r="H748" s="12" t="n"/>
      <x:c r="I748" s="12" t="n"/>
      <x:c r="J748" s="12" t="n"/>
      <x:c r="K748" s="12" t="n"/>
      <x:c r="L748" s="11" t="n"/>
      <x:c r="M748" s="9" t="n"/>
      <x:c r="N748" s="12" t="n"/>
      <x:c r="O748" s="6">
        <x:f>IF(N748="","",IFERROR(VLOOKUP(N748,Master_Data!$A$5:$C$8,3,FALSE),0))</x:f>
      </x:c>
      <x:c r="P748" s="7">
        <x:f>IF(M748="","",M748*O748)</x:f>
      </x:c>
      <x:c r="Q748" s="7">
        <x:f>IF(M748="","",M748+P748)</x:f>
      </x:c>
      <x:c r="R748" s="7">
        <x:f>IF(K748&lt;&gt;"Paid",0,IF(C748="Income",Q748,-Q748))</x:f>
      </x:c>
      <x:c r="S748" s="14">
        <x:f>IF(A748="","",DATE(YEAR(A748),MONTH(A748),1))</x:f>
      </x:c>
      <x:c r="T748" s="14">
        <x:f>IF(L748="","",DATE(YEAR(L748),MONTH(L748),1))</x:f>
      </x:c>
    </x:row>
    <x:row r="749">
      <x:c r="A749" s="11" t="n"/>
      <x:c r="B749" s="5" t="n"/>
      <x:c r="C749" s="12" t="n"/>
      <x:c r="D749" s="12" t="n"/>
      <x:c r="E749" s="12" t="n"/>
      <x:c r="F749" s="12" t="n"/>
      <x:c r="G749" s="13">
        <x:f>IF(F749="","",IFERROR(VLOOKUP(F749,Master_Data!$E$24:$G$33,2,FALSE),"9999"))</x:f>
      </x:c>
      <x:c r="H749" s="12" t="n"/>
      <x:c r="I749" s="12" t="n"/>
      <x:c r="J749" s="12" t="n"/>
      <x:c r="K749" s="12" t="n"/>
      <x:c r="L749" s="11" t="n"/>
      <x:c r="M749" s="9" t="n"/>
      <x:c r="N749" s="12" t="n"/>
      <x:c r="O749" s="6">
        <x:f>IF(N749="","",IFERROR(VLOOKUP(N749,Master_Data!$A$5:$C$8,3,FALSE),0))</x:f>
      </x:c>
      <x:c r="P749" s="7">
        <x:f>IF(M749="","",M749*O749)</x:f>
      </x:c>
      <x:c r="Q749" s="7">
        <x:f>IF(M749="","",M749+P749)</x:f>
      </x:c>
      <x:c r="R749" s="7">
        <x:f>IF(K749&lt;&gt;"Paid",0,IF(C749="Income",Q749,-Q749))</x:f>
      </x:c>
      <x:c r="S749" s="14">
        <x:f>IF(A749="","",DATE(YEAR(A749),MONTH(A749),1))</x:f>
      </x:c>
      <x:c r="T749" s="14">
        <x:f>IF(L749="","",DATE(YEAR(L749),MONTH(L749),1))</x:f>
      </x:c>
    </x:row>
    <x:row r="750">
      <x:c r="A750" s="11" t="n"/>
      <x:c r="B750" s="5" t="n"/>
      <x:c r="C750" s="12" t="n"/>
      <x:c r="D750" s="12" t="n"/>
      <x:c r="E750" s="12" t="n"/>
      <x:c r="F750" s="12" t="n"/>
      <x:c r="G750" s="13">
        <x:f>IF(F750="","",IFERROR(VLOOKUP(F750,Master_Data!$E$24:$G$33,2,FALSE),"9999"))</x:f>
      </x:c>
      <x:c r="H750" s="12" t="n"/>
      <x:c r="I750" s="12" t="n"/>
      <x:c r="J750" s="12" t="n"/>
      <x:c r="K750" s="12" t="n"/>
      <x:c r="L750" s="11" t="n"/>
      <x:c r="M750" s="9" t="n"/>
      <x:c r="N750" s="12" t="n"/>
      <x:c r="O750" s="6">
        <x:f>IF(N750="","",IFERROR(VLOOKUP(N750,Master_Data!$A$5:$C$8,3,FALSE),0))</x:f>
      </x:c>
      <x:c r="P750" s="7">
        <x:f>IF(M750="","",M750*O750)</x:f>
      </x:c>
      <x:c r="Q750" s="7">
        <x:f>IF(M750="","",M750+P750)</x:f>
      </x:c>
      <x:c r="R750" s="7">
        <x:f>IF(K750&lt;&gt;"Paid",0,IF(C750="Income",Q750,-Q750))</x:f>
      </x:c>
      <x:c r="S750" s="14">
        <x:f>IF(A750="","",DATE(YEAR(A750),MONTH(A750),1))</x:f>
      </x:c>
      <x:c r="T750" s="14">
        <x:f>IF(L750="","",DATE(YEAR(L750),MONTH(L750),1))</x:f>
      </x:c>
    </x:row>
    <x:row r="751">
      <x:c r="A751" s="11" t="n"/>
      <x:c r="B751" s="5" t="n"/>
      <x:c r="C751" s="12" t="n"/>
      <x:c r="D751" s="12" t="n"/>
      <x:c r="E751" s="12" t="n"/>
      <x:c r="F751" s="12" t="n"/>
      <x:c r="G751" s="13">
        <x:f>IF(F751="","",IFERROR(VLOOKUP(F751,Master_Data!$E$24:$G$33,2,FALSE),"9999"))</x:f>
      </x:c>
      <x:c r="H751" s="12" t="n"/>
      <x:c r="I751" s="12" t="n"/>
      <x:c r="J751" s="12" t="n"/>
      <x:c r="K751" s="12" t="n"/>
      <x:c r="L751" s="11" t="n"/>
      <x:c r="M751" s="9" t="n"/>
      <x:c r="N751" s="12" t="n"/>
      <x:c r="O751" s="6">
        <x:f>IF(N751="","",IFERROR(VLOOKUP(N751,Master_Data!$A$5:$C$8,3,FALSE),0))</x:f>
      </x:c>
      <x:c r="P751" s="7">
        <x:f>IF(M751="","",M751*O751)</x:f>
      </x:c>
      <x:c r="Q751" s="7">
        <x:f>IF(M751="","",M751+P751)</x:f>
      </x:c>
      <x:c r="R751" s="7">
        <x:f>IF(K751&lt;&gt;"Paid",0,IF(C751="Income",Q751,-Q751))</x:f>
      </x:c>
      <x:c r="S751" s="14">
        <x:f>IF(A751="","",DATE(YEAR(A751),MONTH(A751),1))</x:f>
      </x:c>
      <x:c r="T751" s="14">
        <x:f>IF(L751="","",DATE(YEAR(L751),MONTH(L751),1))</x:f>
      </x:c>
    </x:row>
    <x:row r="752">
      <x:c r="A752" s="11" t="n"/>
      <x:c r="B752" s="5" t="n"/>
      <x:c r="C752" s="12" t="n"/>
      <x:c r="D752" s="12" t="n"/>
      <x:c r="E752" s="12" t="n"/>
      <x:c r="F752" s="12" t="n"/>
      <x:c r="G752" s="13">
        <x:f>IF(F752="","",IFERROR(VLOOKUP(F752,Master_Data!$E$24:$G$33,2,FALSE),"9999"))</x:f>
      </x:c>
      <x:c r="H752" s="12" t="n"/>
      <x:c r="I752" s="12" t="n"/>
      <x:c r="J752" s="12" t="n"/>
      <x:c r="K752" s="12" t="n"/>
      <x:c r="L752" s="11" t="n"/>
      <x:c r="M752" s="9" t="n"/>
      <x:c r="N752" s="12" t="n"/>
      <x:c r="O752" s="6">
        <x:f>IF(N752="","",IFERROR(VLOOKUP(N752,Master_Data!$A$5:$C$8,3,FALSE),0))</x:f>
      </x:c>
      <x:c r="P752" s="7">
        <x:f>IF(M752="","",M752*O752)</x:f>
      </x:c>
      <x:c r="Q752" s="7">
        <x:f>IF(M752="","",M752+P752)</x:f>
      </x:c>
      <x:c r="R752" s="7">
        <x:f>IF(K752&lt;&gt;"Paid",0,IF(C752="Income",Q752,-Q752))</x:f>
      </x:c>
      <x:c r="S752" s="14">
        <x:f>IF(A752="","",DATE(YEAR(A752),MONTH(A752),1))</x:f>
      </x:c>
      <x:c r="T752" s="14">
        <x:f>IF(L752="","",DATE(YEAR(L752),MONTH(L752),1))</x:f>
      </x:c>
    </x:row>
    <x:row r="753">
      <x:c r="A753" s="11" t="n"/>
      <x:c r="B753" s="5" t="n"/>
      <x:c r="C753" s="12" t="n"/>
      <x:c r="D753" s="12" t="n"/>
      <x:c r="E753" s="12" t="n"/>
      <x:c r="F753" s="12" t="n"/>
      <x:c r="G753" s="13">
        <x:f>IF(F753="","",IFERROR(VLOOKUP(F753,Master_Data!$E$24:$G$33,2,FALSE),"9999"))</x:f>
      </x:c>
      <x:c r="H753" s="12" t="n"/>
      <x:c r="I753" s="12" t="n"/>
      <x:c r="J753" s="12" t="n"/>
      <x:c r="K753" s="12" t="n"/>
      <x:c r="L753" s="11" t="n"/>
      <x:c r="M753" s="9" t="n"/>
      <x:c r="N753" s="12" t="n"/>
      <x:c r="O753" s="6">
        <x:f>IF(N753="","",IFERROR(VLOOKUP(N753,Master_Data!$A$5:$C$8,3,FALSE),0))</x:f>
      </x:c>
      <x:c r="P753" s="7">
        <x:f>IF(M753="","",M753*O753)</x:f>
      </x:c>
      <x:c r="Q753" s="7">
        <x:f>IF(M753="","",M753+P753)</x:f>
      </x:c>
      <x:c r="R753" s="7">
        <x:f>IF(K753&lt;&gt;"Paid",0,IF(C753="Income",Q753,-Q753))</x:f>
      </x:c>
      <x:c r="S753" s="14">
        <x:f>IF(A753="","",DATE(YEAR(A753),MONTH(A753),1))</x:f>
      </x:c>
      <x:c r="T753" s="14">
        <x:f>IF(L753="","",DATE(YEAR(L753),MONTH(L753),1))</x:f>
      </x:c>
    </x:row>
    <x:row r="754">
      <x:c r="A754" s="11" t="n"/>
      <x:c r="B754" s="5" t="n"/>
      <x:c r="C754" s="12" t="n"/>
      <x:c r="D754" s="12" t="n"/>
      <x:c r="E754" s="12" t="n"/>
      <x:c r="F754" s="12" t="n"/>
      <x:c r="G754" s="13">
        <x:f>IF(F754="","",IFERROR(VLOOKUP(F754,Master_Data!$E$24:$G$33,2,FALSE),"9999"))</x:f>
      </x:c>
      <x:c r="H754" s="12" t="n"/>
      <x:c r="I754" s="12" t="n"/>
      <x:c r="J754" s="12" t="n"/>
      <x:c r="K754" s="12" t="n"/>
      <x:c r="L754" s="11" t="n"/>
      <x:c r="M754" s="9" t="n"/>
      <x:c r="N754" s="12" t="n"/>
      <x:c r="O754" s="6">
        <x:f>IF(N754="","",IFERROR(VLOOKUP(N754,Master_Data!$A$5:$C$8,3,FALSE),0))</x:f>
      </x:c>
      <x:c r="P754" s="7">
        <x:f>IF(M754="","",M754*O754)</x:f>
      </x:c>
      <x:c r="Q754" s="7">
        <x:f>IF(M754="","",M754+P754)</x:f>
      </x:c>
      <x:c r="R754" s="7">
        <x:f>IF(K754&lt;&gt;"Paid",0,IF(C754="Income",Q754,-Q754))</x:f>
      </x:c>
      <x:c r="S754" s="14">
        <x:f>IF(A754="","",DATE(YEAR(A754),MONTH(A754),1))</x:f>
      </x:c>
      <x:c r="T754" s="14">
        <x:f>IF(L754="","",DATE(YEAR(L754),MONTH(L754),1))</x:f>
      </x:c>
    </x:row>
    <x:row r="755">
      <x:c r="A755" s="11" t="n"/>
      <x:c r="B755" s="5" t="n"/>
      <x:c r="C755" s="12" t="n"/>
      <x:c r="D755" s="12" t="n"/>
      <x:c r="E755" s="12" t="n"/>
      <x:c r="F755" s="12" t="n"/>
      <x:c r="G755" s="13">
        <x:f>IF(F755="","",IFERROR(VLOOKUP(F755,Master_Data!$E$24:$G$33,2,FALSE),"9999"))</x:f>
      </x:c>
      <x:c r="H755" s="12" t="n"/>
      <x:c r="I755" s="12" t="n"/>
      <x:c r="J755" s="12" t="n"/>
      <x:c r="K755" s="12" t="n"/>
      <x:c r="L755" s="11" t="n"/>
      <x:c r="M755" s="9" t="n"/>
      <x:c r="N755" s="12" t="n"/>
      <x:c r="O755" s="6">
        <x:f>IF(N755="","",IFERROR(VLOOKUP(N755,Master_Data!$A$5:$C$8,3,FALSE),0))</x:f>
      </x:c>
      <x:c r="P755" s="7">
        <x:f>IF(M755="","",M755*O755)</x:f>
      </x:c>
      <x:c r="Q755" s="7">
        <x:f>IF(M755="","",M755+P755)</x:f>
      </x:c>
      <x:c r="R755" s="7">
        <x:f>IF(K755&lt;&gt;"Paid",0,IF(C755="Income",Q755,-Q755))</x:f>
      </x:c>
      <x:c r="S755" s="14">
        <x:f>IF(A755="","",DATE(YEAR(A755),MONTH(A755),1))</x:f>
      </x:c>
      <x:c r="T755" s="14">
        <x:f>IF(L755="","",DATE(YEAR(L755),MONTH(L755),1))</x:f>
      </x:c>
    </x:row>
    <x:row r="756">
      <x:c r="A756" s="11" t="n"/>
      <x:c r="B756" s="5" t="n"/>
      <x:c r="C756" s="12" t="n"/>
      <x:c r="D756" s="12" t="n"/>
      <x:c r="E756" s="12" t="n"/>
      <x:c r="F756" s="12" t="n"/>
      <x:c r="G756" s="13">
        <x:f>IF(F756="","",IFERROR(VLOOKUP(F756,Master_Data!$E$24:$G$33,2,FALSE),"9999"))</x:f>
      </x:c>
      <x:c r="H756" s="12" t="n"/>
      <x:c r="I756" s="12" t="n"/>
      <x:c r="J756" s="12" t="n"/>
      <x:c r="K756" s="12" t="n"/>
      <x:c r="L756" s="11" t="n"/>
      <x:c r="M756" s="9" t="n"/>
      <x:c r="N756" s="12" t="n"/>
      <x:c r="O756" s="6">
        <x:f>IF(N756="","",IFERROR(VLOOKUP(N756,Master_Data!$A$5:$C$8,3,FALSE),0))</x:f>
      </x:c>
      <x:c r="P756" s="7">
        <x:f>IF(M756="","",M756*O756)</x:f>
      </x:c>
      <x:c r="Q756" s="7">
        <x:f>IF(M756="","",M756+P756)</x:f>
      </x:c>
      <x:c r="R756" s="7">
        <x:f>IF(K756&lt;&gt;"Paid",0,IF(C756="Income",Q756,-Q756))</x:f>
      </x:c>
      <x:c r="S756" s="14">
        <x:f>IF(A756="","",DATE(YEAR(A756),MONTH(A756),1))</x:f>
      </x:c>
      <x:c r="T756" s="14">
        <x:f>IF(L756="","",DATE(YEAR(L756),MONTH(L756),1))</x:f>
      </x:c>
    </x:row>
    <x:row r="757">
      <x:c r="A757" s="11" t="n"/>
      <x:c r="B757" s="5" t="n"/>
      <x:c r="C757" s="12" t="n"/>
      <x:c r="D757" s="12" t="n"/>
      <x:c r="E757" s="12" t="n"/>
      <x:c r="F757" s="12" t="n"/>
      <x:c r="G757" s="13">
        <x:f>IF(F757="","",IFERROR(VLOOKUP(F757,Master_Data!$E$24:$G$33,2,FALSE),"9999"))</x:f>
      </x:c>
      <x:c r="H757" s="12" t="n"/>
      <x:c r="I757" s="12" t="n"/>
      <x:c r="J757" s="12" t="n"/>
      <x:c r="K757" s="12" t="n"/>
      <x:c r="L757" s="11" t="n"/>
      <x:c r="M757" s="9" t="n"/>
      <x:c r="N757" s="12" t="n"/>
      <x:c r="O757" s="6">
        <x:f>IF(N757="","",IFERROR(VLOOKUP(N757,Master_Data!$A$5:$C$8,3,FALSE),0))</x:f>
      </x:c>
      <x:c r="P757" s="7">
        <x:f>IF(M757="","",M757*O757)</x:f>
      </x:c>
      <x:c r="Q757" s="7">
        <x:f>IF(M757="","",M757+P757)</x:f>
      </x:c>
      <x:c r="R757" s="7">
        <x:f>IF(K757&lt;&gt;"Paid",0,IF(C757="Income",Q757,-Q757))</x:f>
      </x:c>
      <x:c r="S757" s="14">
        <x:f>IF(A757="","",DATE(YEAR(A757),MONTH(A757),1))</x:f>
      </x:c>
      <x:c r="T757" s="14">
        <x:f>IF(L757="","",DATE(YEAR(L757),MONTH(L757),1))</x:f>
      </x:c>
    </x:row>
    <x:row r="758">
      <x:c r="A758" s="11" t="n"/>
      <x:c r="B758" s="5" t="n"/>
      <x:c r="C758" s="12" t="n"/>
      <x:c r="D758" s="12" t="n"/>
      <x:c r="E758" s="12" t="n"/>
      <x:c r="F758" s="12" t="n"/>
      <x:c r="G758" s="13">
        <x:f>IF(F758="","",IFERROR(VLOOKUP(F758,Master_Data!$E$24:$G$33,2,FALSE),"9999"))</x:f>
      </x:c>
      <x:c r="H758" s="12" t="n"/>
      <x:c r="I758" s="12" t="n"/>
      <x:c r="J758" s="12" t="n"/>
      <x:c r="K758" s="12" t="n"/>
      <x:c r="L758" s="11" t="n"/>
      <x:c r="M758" s="9" t="n"/>
      <x:c r="N758" s="12" t="n"/>
      <x:c r="O758" s="6">
        <x:f>IF(N758="","",IFERROR(VLOOKUP(N758,Master_Data!$A$5:$C$8,3,FALSE),0))</x:f>
      </x:c>
      <x:c r="P758" s="7">
        <x:f>IF(M758="","",M758*O758)</x:f>
      </x:c>
      <x:c r="Q758" s="7">
        <x:f>IF(M758="","",M758+P758)</x:f>
      </x:c>
      <x:c r="R758" s="7">
        <x:f>IF(K758&lt;&gt;"Paid",0,IF(C758="Income",Q758,-Q758))</x:f>
      </x:c>
      <x:c r="S758" s="14">
        <x:f>IF(A758="","",DATE(YEAR(A758),MONTH(A758),1))</x:f>
      </x:c>
      <x:c r="T758" s="14">
        <x:f>IF(L758="","",DATE(YEAR(L758),MONTH(L758),1))</x:f>
      </x:c>
    </x:row>
    <x:row r="759">
      <x:c r="A759" s="11" t="n"/>
      <x:c r="B759" s="5" t="n"/>
      <x:c r="C759" s="12" t="n"/>
      <x:c r="D759" s="12" t="n"/>
      <x:c r="E759" s="12" t="n"/>
      <x:c r="F759" s="12" t="n"/>
      <x:c r="G759" s="13">
        <x:f>IF(F759="","",IFERROR(VLOOKUP(F759,Master_Data!$E$24:$G$33,2,FALSE),"9999"))</x:f>
      </x:c>
      <x:c r="H759" s="12" t="n"/>
      <x:c r="I759" s="12" t="n"/>
      <x:c r="J759" s="12" t="n"/>
      <x:c r="K759" s="12" t="n"/>
      <x:c r="L759" s="11" t="n"/>
      <x:c r="M759" s="9" t="n"/>
      <x:c r="N759" s="12" t="n"/>
      <x:c r="O759" s="6">
        <x:f>IF(N759="","",IFERROR(VLOOKUP(N759,Master_Data!$A$5:$C$8,3,FALSE),0))</x:f>
      </x:c>
      <x:c r="P759" s="7">
        <x:f>IF(M759="","",M759*O759)</x:f>
      </x:c>
      <x:c r="Q759" s="7">
        <x:f>IF(M759="","",M759+P759)</x:f>
      </x:c>
      <x:c r="R759" s="7">
        <x:f>IF(K759&lt;&gt;"Paid",0,IF(C759="Income",Q759,-Q759))</x:f>
      </x:c>
      <x:c r="S759" s="14">
        <x:f>IF(A759="","",DATE(YEAR(A759),MONTH(A759),1))</x:f>
      </x:c>
      <x:c r="T759" s="14">
        <x:f>IF(L759="","",DATE(YEAR(L759),MONTH(L759),1))</x:f>
      </x:c>
    </x:row>
    <x:row r="760">
      <x:c r="A760" s="11" t="n"/>
      <x:c r="B760" s="5" t="n"/>
      <x:c r="C760" s="12" t="n"/>
      <x:c r="D760" s="12" t="n"/>
      <x:c r="E760" s="12" t="n"/>
      <x:c r="F760" s="12" t="n"/>
      <x:c r="G760" s="13">
        <x:f>IF(F760="","",IFERROR(VLOOKUP(F760,Master_Data!$E$24:$G$33,2,FALSE),"9999"))</x:f>
      </x:c>
      <x:c r="H760" s="12" t="n"/>
      <x:c r="I760" s="12" t="n"/>
      <x:c r="J760" s="12" t="n"/>
      <x:c r="K760" s="12" t="n"/>
      <x:c r="L760" s="11" t="n"/>
      <x:c r="M760" s="9" t="n"/>
      <x:c r="N760" s="12" t="n"/>
      <x:c r="O760" s="6">
        <x:f>IF(N760="","",IFERROR(VLOOKUP(N760,Master_Data!$A$5:$C$8,3,FALSE),0))</x:f>
      </x:c>
      <x:c r="P760" s="7">
        <x:f>IF(M760="","",M760*O760)</x:f>
      </x:c>
      <x:c r="Q760" s="7">
        <x:f>IF(M760="","",M760+P760)</x:f>
      </x:c>
      <x:c r="R760" s="7">
        <x:f>IF(K760&lt;&gt;"Paid",0,IF(C760="Income",Q760,-Q760))</x:f>
      </x:c>
      <x:c r="S760" s="14">
        <x:f>IF(A760="","",DATE(YEAR(A760),MONTH(A760),1))</x:f>
      </x:c>
      <x:c r="T760" s="14">
        <x:f>IF(L760="","",DATE(YEAR(L760),MONTH(L760),1))</x:f>
      </x:c>
    </x:row>
    <x:row r="761">
      <x:c r="A761" s="11" t="n"/>
      <x:c r="B761" s="5" t="n"/>
      <x:c r="C761" s="12" t="n"/>
      <x:c r="D761" s="12" t="n"/>
      <x:c r="E761" s="12" t="n"/>
      <x:c r="F761" s="12" t="n"/>
      <x:c r="G761" s="13">
        <x:f>IF(F761="","",IFERROR(VLOOKUP(F761,Master_Data!$E$24:$G$33,2,FALSE),"9999"))</x:f>
      </x:c>
      <x:c r="H761" s="12" t="n"/>
      <x:c r="I761" s="12" t="n"/>
      <x:c r="J761" s="12" t="n"/>
      <x:c r="K761" s="12" t="n"/>
      <x:c r="L761" s="11" t="n"/>
      <x:c r="M761" s="9" t="n"/>
      <x:c r="N761" s="12" t="n"/>
      <x:c r="O761" s="6">
        <x:f>IF(N761="","",IFERROR(VLOOKUP(N761,Master_Data!$A$5:$C$8,3,FALSE),0))</x:f>
      </x:c>
      <x:c r="P761" s="7">
        <x:f>IF(M761="","",M761*O761)</x:f>
      </x:c>
      <x:c r="Q761" s="7">
        <x:f>IF(M761="","",M761+P761)</x:f>
      </x:c>
      <x:c r="R761" s="7">
        <x:f>IF(K761&lt;&gt;"Paid",0,IF(C761="Income",Q761,-Q761))</x:f>
      </x:c>
      <x:c r="S761" s="14">
        <x:f>IF(A761="","",DATE(YEAR(A761),MONTH(A761),1))</x:f>
      </x:c>
      <x:c r="T761" s="14">
        <x:f>IF(L761="","",DATE(YEAR(L761),MONTH(L761),1))</x:f>
      </x:c>
    </x:row>
    <x:row r="762">
      <x:c r="A762" s="11" t="n"/>
      <x:c r="B762" s="5" t="n"/>
      <x:c r="C762" s="12" t="n"/>
      <x:c r="D762" s="12" t="n"/>
      <x:c r="E762" s="12" t="n"/>
      <x:c r="F762" s="12" t="n"/>
      <x:c r="G762" s="13">
        <x:f>IF(F762="","",IFERROR(VLOOKUP(F762,Master_Data!$E$24:$G$33,2,FALSE),"9999"))</x:f>
      </x:c>
      <x:c r="H762" s="12" t="n"/>
      <x:c r="I762" s="12" t="n"/>
      <x:c r="J762" s="12" t="n"/>
      <x:c r="K762" s="12" t="n"/>
      <x:c r="L762" s="11" t="n"/>
      <x:c r="M762" s="9" t="n"/>
      <x:c r="N762" s="12" t="n"/>
      <x:c r="O762" s="6">
        <x:f>IF(N762="","",IFERROR(VLOOKUP(N762,Master_Data!$A$5:$C$8,3,FALSE),0))</x:f>
      </x:c>
      <x:c r="P762" s="7">
        <x:f>IF(M762="","",M762*O762)</x:f>
      </x:c>
      <x:c r="Q762" s="7">
        <x:f>IF(M762="","",M762+P762)</x:f>
      </x:c>
      <x:c r="R762" s="7">
        <x:f>IF(K762&lt;&gt;"Paid",0,IF(C762="Income",Q762,-Q762))</x:f>
      </x:c>
      <x:c r="S762" s="14">
        <x:f>IF(A762="","",DATE(YEAR(A762),MONTH(A762),1))</x:f>
      </x:c>
      <x:c r="T762" s="14">
        <x:f>IF(L762="","",DATE(YEAR(L762),MONTH(L762),1))</x:f>
      </x:c>
    </x:row>
    <x:row r="763">
      <x:c r="A763" s="11" t="n"/>
      <x:c r="B763" s="5" t="n"/>
      <x:c r="C763" s="12" t="n"/>
      <x:c r="D763" s="12" t="n"/>
      <x:c r="E763" s="12" t="n"/>
      <x:c r="F763" s="12" t="n"/>
      <x:c r="G763" s="13">
        <x:f>IF(F763="","",IFERROR(VLOOKUP(F763,Master_Data!$E$24:$G$33,2,FALSE),"9999"))</x:f>
      </x:c>
      <x:c r="H763" s="12" t="n"/>
      <x:c r="I763" s="12" t="n"/>
      <x:c r="J763" s="12" t="n"/>
      <x:c r="K763" s="12" t="n"/>
      <x:c r="L763" s="11" t="n"/>
      <x:c r="M763" s="9" t="n"/>
      <x:c r="N763" s="12" t="n"/>
      <x:c r="O763" s="6">
        <x:f>IF(N763="","",IFERROR(VLOOKUP(N763,Master_Data!$A$5:$C$8,3,FALSE),0))</x:f>
      </x:c>
      <x:c r="P763" s="7">
        <x:f>IF(M763="","",M763*O763)</x:f>
      </x:c>
      <x:c r="Q763" s="7">
        <x:f>IF(M763="","",M763+P763)</x:f>
      </x:c>
      <x:c r="R763" s="7">
        <x:f>IF(K763&lt;&gt;"Paid",0,IF(C763="Income",Q763,-Q763))</x:f>
      </x:c>
      <x:c r="S763" s="14">
        <x:f>IF(A763="","",DATE(YEAR(A763),MONTH(A763),1))</x:f>
      </x:c>
      <x:c r="T763" s="14">
        <x:f>IF(L763="","",DATE(YEAR(L763),MONTH(L763),1))</x:f>
      </x:c>
    </x:row>
    <x:row r="764">
      <x:c r="A764" s="11" t="n"/>
      <x:c r="B764" s="5" t="n"/>
      <x:c r="C764" s="12" t="n"/>
      <x:c r="D764" s="12" t="n"/>
      <x:c r="E764" s="12" t="n"/>
      <x:c r="F764" s="12" t="n"/>
      <x:c r="G764" s="13">
        <x:f>IF(F764="","",IFERROR(VLOOKUP(F764,Master_Data!$E$24:$G$33,2,FALSE),"9999"))</x:f>
      </x:c>
      <x:c r="H764" s="12" t="n"/>
      <x:c r="I764" s="12" t="n"/>
      <x:c r="J764" s="12" t="n"/>
      <x:c r="K764" s="12" t="n"/>
      <x:c r="L764" s="11" t="n"/>
      <x:c r="M764" s="9" t="n"/>
      <x:c r="N764" s="12" t="n"/>
      <x:c r="O764" s="6">
        <x:f>IF(N764="","",IFERROR(VLOOKUP(N764,Master_Data!$A$5:$C$8,3,FALSE),0))</x:f>
      </x:c>
      <x:c r="P764" s="7">
        <x:f>IF(M764="","",M764*O764)</x:f>
      </x:c>
      <x:c r="Q764" s="7">
        <x:f>IF(M764="","",M764+P764)</x:f>
      </x:c>
      <x:c r="R764" s="7">
        <x:f>IF(K764&lt;&gt;"Paid",0,IF(C764="Income",Q764,-Q764))</x:f>
      </x:c>
      <x:c r="S764" s="14">
        <x:f>IF(A764="","",DATE(YEAR(A764),MONTH(A764),1))</x:f>
      </x:c>
      <x:c r="T764" s="14">
        <x:f>IF(L764="","",DATE(YEAR(L764),MONTH(L764),1))</x:f>
      </x:c>
    </x:row>
    <x:row r="765">
      <x:c r="A765" s="11" t="n"/>
      <x:c r="B765" s="5" t="n"/>
      <x:c r="C765" s="12" t="n"/>
      <x:c r="D765" s="12" t="n"/>
      <x:c r="E765" s="12" t="n"/>
      <x:c r="F765" s="12" t="n"/>
      <x:c r="G765" s="13">
        <x:f>IF(F765="","",IFERROR(VLOOKUP(F765,Master_Data!$E$24:$G$33,2,FALSE),"9999"))</x:f>
      </x:c>
      <x:c r="H765" s="12" t="n"/>
      <x:c r="I765" s="12" t="n"/>
      <x:c r="J765" s="12" t="n"/>
      <x:c r="K765" s="12" t="n"/>
      <x:c r="L765" s="11" t="n"/>
      <x:c r="M765" s="9" t="n"/>
      <x:c r="N765" s="12" t="n"/>
      <x:c r="O765" s="6">
        <x:f>IF(N765="","",IFERROR(VLOOKUP(N765,Master_Data!$A$5:$C$8,3,FALSE),0))</x:f>
      </x:c>
      <x:c r="P765" s="7">
        <x:f>IF(M765="","",M765*O765)</x:f>
      </x:c>
      <x:c r="Q765" s="7">
        <x:f>IF(M765="","",M765+P765)</x:f>
      </x:c>
      <x:c r="R765" s="7">
        <x:f>IF(K765&lt;&gt;"Paid",0,IF(C765="Income",Q765,-Q765))</x:f>
      </x:c>
      <x:c r="S765" s="14">
        <x:f>IF(A765="","",DATE(YEAR(A765),MONTH(A765),1))</x:f>
      </x:c>
      <x:c r="T765" s="14">
        <x:f>IF(L765="","",DATE(YEAR(L765),MONTH(L765),1))</x:f>
      </x:c>
    </x:row>
    <x:row r="766">
      <x:c r="A766" s="11" t="n"/>
      <x:c r="B766" s="5" t="n"/>
      <x:c r="C766" s="12" t="n"/>
      <x:c r="D766" s="12" t="n"/>
      <x:c r="E766" s="12" t="n"/>
      <x:c r="F766" s="12" t="n"/>
      <x:c r="G766" s="13">
        <x:f>IF(F766="","",IFERROR(VLOOKUP(F766,Master_Data!$E$24:$G$33,2,FALSE),"9999"))</x:f>
      </x:c>
      <x:c r="H766" s="12" t="n"/>
      <x:c r="I766" s="12" t="n"/>
      <x:c r="J766" s="12" t="n"/>
      <x:c r="K766" s="12" t="n"/>
      <x:c r="L766" s="11" t="n"/>
      <x:c r="M766" s="9" t="n"/>
      <x:c r="N766" s="12" t="n"/>
      <x:c r="O766" s="6">
        <x:f>IF(N766="","",IFERROR(VLOOKUP(N766,Master_Data!$A$5:$C$8,3,FALSE),0))</x:f>
      </x:c>
      <x:c r="P766" s="7">
        <x:f>IF(M766="","",M766*O766)</x:f>
      </x:c>
      <x:c r="Q766" s="7">
        <x:f>IF(M766="","",M766+P766)</x:f>
      </x:c>
      <x:c r="R766" s="7">
        <x:f>IF(K766&lt;&gt;"Paid",0,IF(C766="Income",Q766,-Q766))</x:f>
      </x:c>
      <x:c r="S766" s="14">
        <x:f>IF(A766="","",DATE(YEAR(A766),MONTH(A766),1))</x:f>
      </x:c>
      <x:c r="T766" s="14">
        <x:f>IF(L766="","",DATE(YEAR(L766),MONTH(L766),1))</x:f>
      </x:c>
    </x:row>
    <x:row r="767">
      <x:c r="A767" s="11" t="n"/>
      <x:c r="B767" s="5" t="n"/>
      <x:c r="C767" s="12" t="n"/>
      <x:c r="D767" s="12" t="n"/>
      <x:c r="E767" s="12" t="n"/>
      <x:c r="F767" s="12" t="n"/>
      <x:c r="G767" s="13">
        <x:f>IF(F767="","",IFERROR(VLOOKUP(F767,Master_Data!$E$24:$G$33,2,FALSE),"9999"))</x:f>
      </x:c>
      <x:c r="H767" s="12" t="n"/>
      <x:c r="I767" s="12" t="n"/>
      <x:c r="J767" s="12" t="n"/>
      <x:c r="K767" s="12" t="n"/>
      <x:c r="L767" s="11" t="n"/>
      <x:c r="M767" s="9" t="n"/>
      <x:c r="N767" s="12" t="n"/>
      <x:c r="O767" s="6">
        <x:f>IF(N767="","",IFERROR(VLOOKUP(N767,Master_Data!$A$5:$C$8,3,FALSE),0))</x:f>
      </x:c>
      <x:c r="P767" s="7">
        <x:f>IF(M767="","",M767*O767)</x:f>
      </x:c>
      <x:c r="Q767" s="7">
        <x:f>IF(M767="","",M767+P767)</x:f>
      </x:c>
      <x:c r="R767" s="7">
        <x:f>IF(K767&lt;&gt;"Paid",0,IF(C767="Income",Q767,-Q767))</x:f>
      </x:c>
      <x:c r="S767" s="14">
        <x:f>IF(A767="","",DATE(YEAR(A767),MONTH(A767),1))</x:f>
      </x:c>
      <x:c r="T767" s="14">
        <x:f>IF(L767="","",DATE(YEAR(L767),MONTH(L767),1))</x:f>
      </x:c>
    </x:row>
    <x:row r="768">
      <x:c r="A768" s="11" t="n"/>
      <x:c r="B768" s="5" t="n"/>
      <x:c r="C768" s="12" t="n"/>
      <x:c r="D768" s="12" t="n"/>
      <x:c r="E768" s="12" t="n"/>
      <x:c r="F768" s="12" t="n"/>
      <x:c r="G768" s="13">
        <x:f>IF(F768="","",IFERROR(VLOOKUP(F768,Master_Data!$E$24:$G$33,2,FALSE),"9999"))</x:f>
      </x:c>
      <x:c r="H768" s="12" t="n"/>
      <x:c r="I768" s="12" t="n"/>
      <x:c r="J768" s="12" t="n"/>
      <x:c r="K768" s="12" t="n"/>
      <x:c r="L768" s="11" t="n"/>
      <x:c r="M768" s="9" t="n"/>
      <x:c r="N768" s="12" t="n"/>
      <x:c r="O768" s="6">
        <x:f>IF(N768="","",IFERROR(VLOOKUP(N768,Master_Data!$A$5:$C$8,3,FALSE),0))</x:f>
      </x:c>
      <x:c r="P768" s="7">
        <x:f>IF(M768="","",M768*O768)</x:f>
      </x:c>
      <x:c r="Q768" s="7">
        <x:f>IF(M768="","",M768+P768)</x:f>
      </x:c>
      <x:c r="R768" s="7">
        <x:f>IF(K768&lt;&gt;"Paid",0,IF(C768="Income",Q768,-Q768))</x:f>
      </x:c>
      <x:c r="S768" s="14">
        <x:f>IF(A768="","",DATE(YEAR(A768),MONTH(A768),1))</x:f>
      </x:c>
      <x:c r="T768" s="14">
        <x:f>IF(L768="","",DATE(YEAR(L768),MONTH(L768),1))</x:f>
      </x:c>
    </x:row>
    <x:row r="769">
      <x:c r="A769" s="11" t="n"/>
      <x:c r="B769" s="5" t="n"/>
      <x:c r="C769" s="12" t="n"/>
      <x:c r="D769" s="12" t="n"/>
      <x:c r="E769" s="12" t="n"/>
      <x:c r="F769" s="12" t="n"/>
      <x:c r="G769" s="13">
        <x:f>IF(F769="","",IFERROR(VLOOKUP(F769,Master_Data!$E$24:$G$33,2,FALSE),"9999"))</x:f>
      </x:c>
      <x:c r="H769" s="12" t="n"/>
      <x:c r="I769" s="12" t="n"/>
      <x:c r="J769" s="12" t="n"/>
      <x:c r="K769" s="12" t="n"/>
      <x:c r="L769" s="11" t="n"/>
      <x:c r="M769" s="9" t="n"/>
      <x:c r="N769" s="12" t="n"/>
      <x:c r="O769" s="6">
        <x:f>IF(N769="","",IFERROR(VLOOKUP(N769,Master_Data!$A$5:$C$8,3,FALSE),0))</x:f>
      </x:c>
      <x:c r="P769" s="7">
        <x:f>IF(M769="","",M769*O769)</x:f>
      </x:c>
      <x:c r="Q769" s="7">
        <x:f>IF(M769="","",M769+P769)</x:f>
      </x:c>
      <x:c r="R769" s="7">
        <x:f>IF(K769&lt;&gt;"Paid",0,IF(C769="Income",Q769,-Q769))</x:f>
      </x:c>
      <x:c r="S769" s="14">
        <x:f>IF(A769="","",DATE(YEAR(A769),MONTH(A769),1))</x:f>
      </x:c>
      <x:c r="T769" s="14">
        <x:f>IF(L769="","",DATE(YEAR(L769),MONTH(L769),1))</x:f>
      </x:c>
    </x:row>
    <x:row r="770">
      <x:c r="A770" s="11" t="n"/>
      <x:c r="B770" s="5" t="n"/>
      <x:c r="C770" s="12" t="n"/>
      <x:c r="D770" s="12" t="n"/>
      <x:c r="E770" s="12" t="n"/>
      <x:c r="F770" s="12" t="n"/>
      <x:c r="G770" s="13">
        <x:f>IF(F770="","",IFERROR(VLOOKUP(F770,Master_Data!$E$24:$G$33,2,FALSE),"9999"))</x:f>
      </x:c>
      <x:c r="H770" s="12" t="n"/>
      <x:c r="I770" s="12" t="n"/>
      <x:c r="J770" s="12" t="n"/>
      <x:c r="K770" s="12" t="n"/>
      <x:c r="L770" s="11" t="n"/>
      <x:c r="M770" s="9" t="n"/>
      <x:c r="N770" s="12" t="n"/>
      <x:c r="O770" s="6">
        <x:f>IF(N770="","",IFERROR(VLOOKUP(N770,Master_Data!$A$5:$C$8,3,FALSE),0))</x:f>
      </x:c>
      <x:c r="P770" s="7">
        <x:f>IF(M770="","",M770*O770)</x:f>
      </x:c>
      <x:c r="Q770" s="7">
        <x:f>IF(M770="","",M770+P770)</x:f>
      </x:c>
      <x:c r="R770" s="7">
        <x:f>IF(K770&lt;&gt;"Paid",0,IF(C770="Income",Q770,-Q770))</x:f>
      </x:c>
      <x:c r="S770" s="14">
        <x:f>IF(A770="","",DATE(YEAR(A770),MONTH(A770),1))</x:f>
      </x:c>
      <x:c r="T770" s="14">
        <x:f>IF(L770="","",DATE(YEAR(L770),MONTH(L770),1))</x:f>
      </x:c>
    </x:row>
    <x:row r="771">
      <x:c r="A771" s="11" t="n"/>
      <x:c r="B771" s="5" t="n"/>
      <x:c r="C771" s="12" t="n"/>
      <x:c r="D771" s="12" t="n"/>
      <x:c r="E771" s="12" t="n"/>
      <x:c r="F771" s="12" t="n"/>
      <x:c r="G771" s="13">
        <x:f>IF(F771="","",IFERROR(VLOOKUP(F771,Master_Data!$E$24:$G$33,2,FALSE),"9999"))</x:f>
      </x:c>
      <x:c r="H771" s="12" t="n"/>
      <x:c r="I771" s="12" t="n"/>
      <x:c r="J771" s="12" t="n"/>
      <x:c r="K771" s="12" t="n"/>
      <x:c r="L771" s="11" t="n"/>
      <x:c r="M771" s="9" t="n"/>
      <x:c r="N771" s="12" t="n"/>
      <x:c r="O771" s="6">
        <x:f>IF(N771="","",IFERROR(VLOOKUP(N771,Master_Data!$A$5:$C$8,3,FALSE),0))</x:f>
      </x:c>
      <x:c r="P771" s="7">
        <x:f>IF(M771="","",M771*O771)</x:f>
      </x:c>
      <x:c r="Q771" s="7">
        <x:f>IF(M771="","",M771+P771)</x:f>
      </x:c>
      <x:c r="R771" s="7">
        <x:f>IF(K771&lt;&gt;"Paid",0,IF(C771="Income",Q771,-Q771))</x:f>
      </x:c>
      <x:c r="S771" s="14">
        <x:f>IF(A771="","",DATE(YEAR(A771),MONTH(A771),1))</x:f>
      </x:c>
      <x:c r="T771" s="14">
        <x:f>IF(L771="","",DATE(YEAR(L771),MONTH(L771),1))</x:f>
      </x:c>
    </x:row>
    <x:row r="772">
      <x:c r="A772" s="11" t="n"/>
      <x:c r="B772" s="5" t="n"/>
      <x:c r="C772" s="12" t="n"/>
      <x:c r="D772" s="12" t="n"/>
      <x:c r="E772" s="12" t="n"/>
      <x:c r="F772" s="12" t="n"/>
      <x:c r="G772" s="13">
        <x:f>IF(F772="","",IFERROR(VLOOKUP(F772,Master_Data!$E$24:$G$33,2,FALSE),"9999"))</x:f>
      </x:c>
      <x:c r="H772" s="12" t="n"/>
      <x:c r="I772" s="12" t="n"/>
      <x:c r="J772" s="12" t="n"/>
      <x:c r="K772" s="12" t="n"/>
      <x:c r="L772" s="11" t="n"/>
      <x:c r="M772" s="9" t="n"/>
      <x:c r="N772" s="12" t="n"/>
      <x:c r="O772" s="6">
        <x:f>IF(N772="","",IFERROR(VLOOKUP(N772,Master_Data!$A$5:$C$8,3,FALSE),0))</x:f>
      </x:c>
      <x:c r="P772" s="7">
        <x:f>IF(M772="","",M772*O772)</x:f>
      </x:c>
      <x:c r="Q772" s="7">
        <x:f>IF(M772="","",M772+P772)</x:f>
      </x:c>
      <x:c r="R772" s="7">
        <x:f>IF(K772&lt;&gt;"Paid",0,IF(C772="Income",Q772,-Q772))</x:f>
      </x:c>
      <x:c r="S772" s="14">
        <x:f>IF(A772="","",DATE(YEAR(A772),MONTH(A772),1))</x:f>
      </x:c>
      <x:c r="T772" s="14">
        <x:f>IF(L772="","",DATE(YEAR(L772),MONTH(L772),1))</x:f>
      </x:c>
    </x:row>
    <x:row r="773">
      <x:c r="A773" s="11" t="n"/>
      <x:c r="B773" s="5" t="n"/>
      <x:c r="C773" s="12" t="n"/>
      <x:c r="D773" s="12" t="n"/>
      <x:c r="E773" s="12" t="n"/>
      <x:c r="F773" s="12" t="n"/>
      <x:c r="G773" s="13">
        <x:f>IF(F773="","",IFERROR(VLOOKUP(F773,Master_Data!$E$24:$G$33,2,FALSE),"9999"))</x:f>
      </x:c>
      <x:c r="H773" s="12" t="n"/>
      <x:c r="I773" s="12" t="n"/>
      <x:c r="J773" s="12" t="n"/>
      <x:c r="K773" s="12" t="n"/>
      <x:c r="L773" s="11" t="n"/>
      <x:c r="M773" s="9" t="n"/>
      <x:c r="N773" s="12" t="n"/>
      <x:c r="O773" s="6">
        <x:f>IF(N773="","",IFERROR(VLOOKUP(N773,Master_Data!$A$5:$C$8,3,FALSE),0))</x:f>
      </x:c>
      <x:c r="P773" s="7">
        <x:f>IF(M773="","",M773*O773)</x:f>
      </x:c>
      <x:c r="Q773" s="7">
        <x:f>IF(M773="","",M773+P773)</x:f>
      </x:c>
      <x:c r="R773" s="7">
        <x:f>IF(K773&lt;&gt;"Paid",0,IF(C773="Income",Q773,-Q773))</x:f>
      </x:c>
      <x:c r="S773" s="14">
        <x:f>IF(A773="","",DATE(YEAR(A773),MONTH(A773),1))</x:f>
      </x:c>
      <x:c r="T773" s="14">
        <x:f>IF(L773="","",DATE(YEAR(L773),MONTH(L773),1))</x:f>
      </x:c>
    </x:row>
    <x:row r="774">
      <x:c r="A774" s="11" t="n"/>
      <x:c r="B774" s="5" t="n"/>
      <x:c r="C774" s="12" t="n"/>
      <x:c r="D774" s="12" t="n"/>
      <x:c r="E774" s="12" t="n"/>
      <x:c r="F774" s="12" t="n"/>
      <x:c r="G774" s="13">
        <x:f>IF(F774="","",IFERROR(VLOOKUP(F774,Master_Data!$E$24:$G$33,2,FALSE),"9999"))</x:f>
      </x:c>
      <x:c r="H774" s="12" t="n"/>
      <x:c r="I774" s="12" t="n"/>
      <x:c r="J774" s="12" t="n"/>
      <x:c r="K774" s="12" t="n"/>
      <x:c r="L774" s="11" t="n"/>
      <x:c r="M774" s="9" t="n"/>
      <x:c r="N774" s="12" t="n"/>
      <x:c r="O774" s="6">
        <x:f>IF(N774="","",IFERROR(VLOOKUP(N774,Master_Data!$A$5:$C$8,3,FALSE),0))</x:f>
      </x:c>
      <x:c r="P774" s="7">
        <x:f>IF(M774="","",M774*O774)</x:f>
      </x:c>
      <x:c r="Q774" s="7">
        <x:f>IF(M774="","",M774+P774)</x:f>
      </x:c>
      <x:c r="R774" s="7">
        <x:f>IF(K774&lt;&gt;"Paid",0,IF(C774="Income",Q774,-Q774))</x:f>
      </x:c>
      <x:c r="S774" s="14">
        <x:f>IF(A774="","",DATE(YEAR(A774),MONTH(A774),1))</x:f>
      </x:c>
      <x:c r="T774" s="14">
        <x:f>IF(L774="","",DATE(YEAR(L774),MONTH(L774),1))</x:f>
      </x:c>
    </x:row>
    <x:row r="775">
      <x:c r="A775" s="11" t="n"/>
      <x:c r="B775" s="5" t="n"/>
      <x:c r="C775" s="12" t="n"/>
      <x:c r="D775" s="12" t="n"/>
      <x:c r="E775" s="12" t="n"/>
      <x:c r="F775" s="12" t="n"/>
      <x:c r="G775" s="13">
        <x:f>IF(F775="","",IFERROR(VLOOKUP(F775,Master_Data!$E$24:$G$33,2,FALSE),"9999"))</x:f>
      </x:c>
      <x:c r="H775" s="12" t="n"/>
      <x:c r="I775" s="12" t="n"/>
      <x:c r="J775" s="12" t="n"/>
      <x:c r="K775" s="12" t="n"/>
      <x:c r="L775" s="11" t="n"/>
      <x:c r="M775" s="9" t="n"/>
      <x:c r="N775" s="12" t="n"/>
      <x:c r="O775" s="6">
        <x:f>IF(N775="","",IFERROR(VLOOKUP(N775,Master_Data!$A$5:$C$8,3,FALSE),0))</x:f>
      </x:c>
      <x:c r="P775" s="7">
        <x:f>IF(M775="","",M775*O775)</x:f>
      </x:c>
      <x:c r="Q775" s="7">
        <x:f>IF(M775="","",M775+P775)</x:f>
      </x:c>
      <x:c r="R775" s="7">
        <x:f>IF(K775&lt;&gt;"Paid",0,IF(C775="Income",Q775,-Q775))</x:f>
      </x:c>
      <x:c r="S775" s="14">
        <x:f>IF(A775="","",DATE(YEAR(A775),MONTH(A775),1))</x:f>
      </x:c>
      <x:c r="T775" s="14">
        <x:f>IF(L775="","",DATE(YEAR(L775),MONTH(L775),1))</x:f>
      </x:c>
    </x:row>
    <x:row r="776">
      <x:c r="A776" s="11" t="n"/>
      <x:c r="B776" s="5" t="n"/>
      <x:c r="C776" s="12" t="n"/>
      <x:c r="D776" s="12" t="n"/>
      <x:c r="E776" s="12" t="n"/>
      <x:c r="F776" s="12" t="n"/>
      <x:c r="G776" s="13">
        <x:f>IF(F776="","",IFERROR(VLOOKUP(F776,Master_Data!$E$24:$G$33,2,FALSE),"9999"))</x:f>
      </x:c>
      <x:c r="H776" s="12" t="n"/>
      <x:c r="I776" s="12" t="n"/>
      <x:c r="J776" s="12" t="n"/>
      <x:c r="K776" s="12" t="n"/>
      <x:c r="L776" s="11" t="n"/>
      <x:c r="M776" s="9" t="n"/>
      <x:c r="N776" s="12" t="n"/>
      <x:c r="O776" s="6">
        <x:f>IF(N776="","",IFERROR(VLOOKUP(N776,Master_Data!$A$5:$C$8,3,FALSE),0))</x:f>
      </x:c>
      <x:c r="P776" s="7">
        <x:f>IF(M776="","",M776*O776)</x:f>
      </x:c>
      <x:c r="Q776" s="7">
        <x:f>IF(M776="","",M776+P776)</x:f>
      </x:c>
      <x:c r="R776" s="7">
        <x:f>IF(K776&lt;&gt;"Paid",0,IF(C776="Income",Q776,-Q776))</x:f>
      </x:c>
      <x:c r="S776" s="14">
        <x:f>IF(A776="","",DATE(YEAR(A776),MONTH(A776),1))</x:f>
      </x:c>
      <x:c r="T776" s="14">
        <x:f>IF(L776="","",DATE(YEAR(L776),MONTH(L776),1))</x:f>
      </x:c>
    </x:row>
    <x:row r="777">
      <x:c r="A777" s="11" t="n"/>
      <x:c r="B777" s="5" t="n"/>
      <x:c r="C777" s="12" t="n"/>
      <x:c r="D777" s="12" t="n"/>
      <x:c r="E777" s="12" t="n"/>
      <x:c r="F777" s="12" t="n"/>
      <x:c r="G777" s="13">
        <x:f>IF(F777="","",IFERROR(VLOOKUP(F777,Master_Data!$E$24:$G$33,2,FALSE),"9999"))</x:f>
      </x:c>
      <x:c r="H777" s="12" t="n"/>
      <x:c r="I777" s="12" t="n"/>
      <x:c r="J777" s="12" t="n"/>
      <x:c r="K777" s="12" t="n"/>
      <x:c r="L777" s="11" t="n"/>
      <x:c r="M777" s="9" t="n"/>
      <x:c r="N777" s="12" t="n"/>
      <x:c r="O777" s="6">
        <x:f>IF(N777="","",IFERROR(VLOOKUP(N777,Master_Data!$A$5:$C$8,3,FALSE),0))</x:f>
      </x:c>
      <x:c r="P777" s="7">
        <x:f>IF(M777="","",M777*O777)</x:f>
      </x:c>
      <x:c r="Q777" s="7">
        <x:f>IF(M777="","",M777+P777)</x:f>
      </x:c>
      <x:c r="R777" s="7">
        <x:f>IF(K777&lt;&gt;"Paid",0,IF(C777="Income",Q777,-Q777))</x:f>
      </x:c>
      <x:c r="S777" s="14">
        <x:f>IF(A777="","",DATE(YEAR(A777),MONTH(A777),1))</x:f>
      </x:c>
      <x:c r="T777" s="14">
        <x:f>IF(L777="","",DATE(YEAR(L777),MONTH(L777),1))</x:f>
      </x:c>
    </x:row>
    <x:row r="778">
      <x:c r="A778" s="11" t="n"/>
      <x:c r="B778" s="5" t="n"/>
      <x:c r="C778" s="12" t="n"/>
      <x:c r="D778" s="12" t="n"/>
      <x:c r="E778" s="12" t="n"/>
      <x:c r="F778" s="12" t="n"/>
      <x:c r="G778" s="13">
        <x:f>IF(F778="","",IFERROR(VLOOKUP(F778,Master_Data!$E$24:$G$33,2,FALSE),"9999"))</x:f>
      </x:c>
      <x:c r="H778" s="12" t="n"/>
      <x:c r="I778" s="12" t="n"/>
      <x:c r="J778" s="12" t="n"/>
      <x:c r="K778" s="12" t="n"/>
      <x:c r="L778" s="11" t="n"/>
      <x:c r="M778" s="9" t="n"/>
      <x:c r="N778" s="12" t="n"/>
      <x:c r="O778" s="6">
        <x:f>IF(N778="","",IFERROR(VLOOKUP(N778,Master_Data!$A$5:$C$8,3,FALSE),0))</x:f>
      </x:c>
      <x:c r="P778" s="7">
        <x:f>IF(M778="","",M778*O778)</x:f>
      </x:c>
      <x:c r="Q778" s="7">
        <x:f>IF(M778="","",M778+P778)</x:f>
      </x:c>
      <x:c r="R778" s="7">
        <x:f>IF(K778&lt;&gt;"Paid",0,IF(C778="Income",Q778,-Q778))</x:f>
      </x:c>
      <x:c r="S778" s="14">
        <x:f>IF(A778="","",DATE(YEAR(A778),MONTH(A778),1))</x:f>
      </x:c>
      <x:c r="T778" s="14">
        <x:f>IF(L778="","",DATE(YEAR(L778),MONTH(L778),1))</x:f>
      </x:c>
    </x:row>
    <x:row r="779">
      <x:c r="A779" s="11" t="n"/>
      <x:c r="B779" s="5" t="n"/>
      <x:c r="C779" s="12" t="n"/>
      <x:c r="D779" s="12" t="n"/>
      <x:c r="E779" s="12" t="n"/>
      <x:c r="F779" s="12" t="n"/>
      <x:c r="G779" s="13">
        <x:f>IF(F779="","",IFERROR(VLOOKUP(F779,Master_Data!$E$24:$G$33,2,FALSE),"9999"))</x:f>
      </x:c>
      <x:c r="H779" s="12" t="n"/>
      <x:c r="I779" s="12" t="n"/>
      <x:c r="J779" s="12" t="n"/>
      <x:c r="K779" s="12" t="n"/>
      <x:c r="L779" s="11" t="n"/>
      <x:c r="M779" s="9" t="n"/>
      <x:c r="N779" s="12" t="n"/>
      <x:c r="O779" s="6">
        <x:f>IF(N779="","",IFERROR(VLOOKUP(N779,Master_Data!$A$5:$C$8,3,FALSE),0))</x:f>
      </x:c>
      <x:c r="P779" s="7">
        <x:f>IF(M779="","",M779*O779)</x:f>
      </x:c>
      <x:c r="Q779" s="7">
        <x:f>IF(M779="","",M779+P779)</x:f>
      </x:c>
      <x:c r="R779" s="7">
        <x:f>IF(K779&lt;&gt;"Paid",0,IF(C779="Income",Q779,-Q779))</x:f>
      </x:c>
      <x:c r="S779" s="14">
        <x:f>IF(A779="","",DATE(YEAR(A779),MONTH(A779),1))</x:f>
      </x:c>
      <x:c r="T779" s="14">
        <x:f>IF(L779="","",DATE(YEAR(L779),MONTH(L779),1))</x:f>
      </x:c>
    </x:row>
    <x:row r="780">
      <x:c r="A780" s="11" t="n"/>
      <x:c r="B780" s="5" t="n"/>
      <x:c r="C780" s="12" t="n"/>
      <x:c r="D780" s="12" t="n"/>
      <x:c r="E780" s="12" t="n"/>
      <x:c r="F780" s="12" t="n"/>
      <x:c r="G780" s="13">
        <x:f>IF(F780="","",IFERROR(VLOOKUP(F780,Master_Data!$E$24:$G$33,2,FALSE),"9999"))</x:f>
      </x:c>
      <x:c r="H780" s="12" t="n"/>
      <x:c r="I780" s="12" t="n"/>
      <x:c r="J780" s="12" t="n"/>
      <x:c r="K780" s="12" t="n"/>
      <x:c r="L780" s="11" t="n"/>
      <x:c r="M780" s="9" t="n"/>
      <x:c r="N780" s="12" t="n"/>
      <x:c r="O780" s="6">
        <x:f>IF(N780="","",IFERROR(VLOOKUP(N780,Master_Data!$A$5:$C$8,3,FALSE),0))</x:f>
      </x:c>
      <x:c r="P780" s="7">
        <x:f>IF(M780="","",M780*O780)</x:f>
      </x:c>
      <x:c r="Q780" s="7">
        <x:f>IF(M780="","",M780+P780)</x:f>
      </x:c>
      <x:c r="R780" s="7">
        <x:f>IF(K780&lt;&gt;"Paid",0,IF(C780="Income",Q780,-Q780))</x:f>
      </x:c>
      <x:c r="S780" s="14">
        <x:f>IF(A780="","",DATE(YEAR(A780),MONTH(A780),1))</x:f>
      </x:c>
      <x:c r="T780" s="14">
        <x:f>IF(L780="","",DATE(YEAR(L780),MONTH(L780),1))</x:f>
      </x:c>
    </x:row>
    <x:row r="781">
      <x:c r="A781" s="11" t="n"/>
      <x:c r="B781" s="5" t="n"/>
      <x:c r="C781" s="12" t="n"/>
      <x:c r="D781" s="12" t="n"/>
      <x:c r="E781" s="12" t="n"/>
      <x:c r="F781" s="12" t="n"/>
      <x:c r="G781" s="13">
        <x:f>IF(F781="","",IFERROR(VLOOKUP(F781,Master_Data!$E$24:$G$33,2,FALSE),"9999"))</x:f>
      </x:c>
      <x:c r="H781" s="12" t="n"/>
      <x:c r="I781" s="12" t="n"/>
      <x:c r="J781" s="12" t="n"/>
      <x:c r="K781" s="12" t="n"/>
      <x:c r="L781" s="11" t="n"/>
      <x:c r="M781" s="9" t="n"/>
      <x:c r="N781" s="12" t="n"/>
      <x:c r="O781" s="6">
        <x:f>IF(N781="","",IFERROR(VLOOKUP(N781,Master_Data!$A$5:$C$8,3,FALSE),0))</x:f>
      </x:c>
      <x:c r="P781" s="7">
        <x:f>IF(M781="","",M781*O781)</x:f>
      </x:c>
      <x:c r="Q781" s="7">
        <x:f>IF(M781="","",M781+P781)</x:f>
      </x:c>
      <x:c r="R781" s="7">
        <x:f>IF(K781&lt;&gt;"Paid",0,IF(C781="Income",Q781,-Q781))</x:f>
      </x:c>
      <x:c r="S781" s="14">
        <x:f>IF(A781="","",DATE(YEAR(A781),MONTH(A781),1))</x:f>
      </x:c>
      <x:c r="T781" s="14">
        <x:f>IF(L781="","",DATE(YEAR(L781),MONTH(L781),1))</x:f>
      </x:c>
    </x:row>
    <x:row r="782">
      <x:c r="A782" s="11" t="n"/>
      <x:c r="B782" s="5" t="n"/>
      <x:c r="C782" s="12" t="n"/>
      <x:c r="D782" s="12" t="n"/>
      <x:c r="E782" s="12" t="n"/>
      <x:c r="F782" s="12" t="n"/>
      <x:c r="G782" s="13">
        <x:f>IF(F782="","",IFERROR(VLOOKUP(F782,Master_Data!$E$24:$G$33,2,FALSE),"9999"))</x:f>
      </x:c>
      <x:c r="H782" s="12" t="n"/>
      <x:c r="I782" s="12" t="n"/>
      <x:c r="J782" s="12" t="n"/>
      <x:c r="K782" s="12" t="n"/>
      <x:c r="L782" s="11" t="n"/>
      <x:c r="M782" s="9" t="n"/>
      <x:c r="N782" s="12" t="n"/>
      <x:c r="O782" s="6">
        <x:f>IF(N782="","",IFERROR(VLOOKUP(N782,Master_Data!$A$5:$C$8,3,FALSE),0))</x:f>
      </x:c>
      <x:c r="P782" s="7">
        <x:f>IF(M782="","",M782*O782)</x:f>
      </x:c>
      <x:c r="Q782" s="7">
        <x:f>IF(M782="","",M782+P782)</x:f>
      </x:c>
      <x:c r="R782" s="7">
        <x:f>IF(K782&lt;&gt;"Paid",0,IF(C782="Income",Q782,-Q782))</x:f>
      </x:c>
      <x:c r="S782" s="14">
        <x:f>IF(A782="","",DATE(YEAR(A782),MONTH(A782),1))</x:f>
      </x:c>
      <x:c r="T782" s="14">
        <x:f>IF(L782="","",DATE(YEAR(L782),MONTH(L782),1))</x:f>
      </x:c>
    </x:row>
    <x:row r="783">
      <x:c r="A783" s="11" t="n"/>
      <x:c r="B783" s="5" t="n"/>
      <x:c r="C783" s="12" t="n"/>
      <x:c r="D783" s="12" t="n"/>
      <x:c r="E783" s="12" t="n"/>
      <x:c r="F783" s="12" t="n"/>
      <x:c r="G783" s="13">
        <x:f>IF(F783="","",IFERROR(VLOOKUP(F783,Master_Data!$E$24:$G$33,2,FALSE),"9999"))</x:f>
      </x:c>
      <x:c r="H783" s="12" t="n"/>
      <x:c r="I783" s="12" t="n"/>
      <x:c r="J783" s="12" t="n"/>
      <x:c r="K783" s="12" t="n"/>
      <x:c r="L783" s="11" t="n"/>
      <x:c r="M783" s="9" t="n"/>
      <x:c r="N783" s="12" t="n"/>
      <x:c r="O783" s="6">
        <x:f>IF(N783="","",IFERROR(VLOOKUP(N783,Master_Data!$A$5:$C$8,3,FALSE),0))</x:f>
      </x:c>
      <x:c r="P783" s="7">
        <x:f>IF(M783="","",M783*O783)</x:f>
      </x:c>
      <x:c r="Q783" s="7">
        <x:f>IF(M783="","",M783+P783)</x:f>
      </x:c>
      <x:c r="R783" s="7">
        <x:f>IF(K783&lt;&gt;"Paid",0,IF(C783="Income",Q783,-Q783))</x:f>
      </x:c>
      <x:c r="S783" s="14">
        <x:f>IF(A783="","",DATE(YEAR(A783),MONTH(A783),1))</x:f>
      </x:c>
      <x:c r="T783" s="14">
        <x:f>IF(L783="","",DATE(YEAR(L783),MONTH(L783),1))</x:f>
      </x:c>
    </x:row>
    <x:row r="784">
      <x:c r="A784" s="11" t="n"/>
      <x:c r="B784" s="5" t="n"/>
      <x:c r="C784" s="12" t="n"/>
      <x:c r="D784" s="12" t="n"/>
      <x:c r="E784" s="12" t="n"/>
      <x:c r="F784" s="12" t="n"/>
      <x:c r="G784" s="13">
        <x:f>IF(F784="","",IFERROR(VLOOKUP(F784,Master_Data!$E$24:$G$33,2,FALSE),"9999"))</x:f>
      </x:c>
      <x:c r="H784" s="12" t="n"/>
      <x:c r="I784" s="12" t="n"/>
      <x:c r="J784" s="12" t="n"/>
      <x:c r="K784" s="12" t="n"/>
      <x:c r="L784" s="11" t="n"/>
      <x:c r="M784" s="9" t="n"/>
      <x:c r="N784" s="12" t="n"/>
      <x:c r="O784" s="6">
        <x:f>IF(N784="","",IFERROR(VLOOKUP(N784,Master_Data!$A$5:$C$8,3,FALSE),0))</x:f>
      </x:c>
      <x:c r="P784" s="7">
        <x:f>IF(M784="","",M784*O784)</x:f>
      </x:c>
      <x:c r="Q784" s="7">
        <x:f>IF(M784="","",M784+P784)</x:f>
      </x:c>
      <x:c r="R784" s="7">
        <x:f>IF(K784&lt;&gt;"Paid",0,IF(C784="Income",Q784,-Q784))</x:f>
      </x:c>
      <x:c r="S784" s="14">
        <x:f>IF(A784="","",DATE(YEAR(A784),MONTH(A784),1))</x:f>
      </x:c>
      <x:c r="T784" s="14">
        <x:f>IF(L784="","",DATE(YEAR(L784),MONTH(L784),1))</x:f>
      </x:c>
    </x:row>
    <x:row r="785">
      <x:c r="A785" s="11" t="n"/>
      <x:c r="B785" s="5" t="n"/>
      <x:c r="C785" s="12" t="n"/>
      <x:c r="D785" s="12" t="n"/>
      <x:c r="E785" s="12" t="n"/>
      <x:c r="F785" s="12" t="n"/>
      <x:c r="G785" s="13">
        <x:f>IF(F785="","",IFERROR(VLOOKUP(F785,Master_Data!$E$24:$G$33,2,FALSE),"9999"))</x:f>
      </x:c>
      <x:c r="H785" s="12" t="n"/>
      <x:c r="I785" s="12" t="n"/>
      <x:c r="J785" s="12" t="n"/>
      <x:c r="K785" s="12" t="n"/>
      <x:c r="L785" s="11" t="n"/>
      <x:c r="M785" s="9" t="n"/>
      <x:c r="N785" s="12" t="n"/>
      <x:c r="O785" s="6">
        <x:f>IF(N785="","",IFERROR(VLOOKUP(N785,Master_Data!$A$5:$C$8,3,FALSE),0))</x:f>
      </x:c>
      <x:c r="P785" s="7">
        <x:f>IF(M785="","",M785*O785)</x:f>
      </x:c>
      <x:c r="Q785" s="7">
        <x:f>IF(M785="","",M785+P785)</x:f>
      </x:c>
      <x:c r="R785" s="7">
        <x:f>IF(K785&lt;&gt;"Paid",0,IF(C785="Income",Q785,-Q785))</x:f>
      </x:c>
      <x:c r="S785" s="14">
        <x:f>IF(A785="","",DATE(YEAR(A785),MONTH(A785),1))</x:f>
      </x:c>
      <x:c r="T785" s="14">
        <x:f>IF(L785="","",DATE(YEAR(L785),MONTH(L785),1))</x:f>
      </x:c>
    </x:row>
    <x:row r="786">
      <x:c r="A786" s="11" t="n"/>
      <x:c r="B786" s="5" t="n"/>
      <x:c r="C786" s="12" t="n"/>
      <x:c r="D786" s="12" t="n"/>
      <x:c r="E786" s="12" t="n"/>
      <x:c r="F786" s="12" t="n"/>
      <x:c r="G786" s="13">
        <x:f>IF(F786="","",IFERROR(VLOOKUP(F786,Master_Data!$E$24:$G$33,2,FALSE),"9999"))</x:f>
      </x:c>
      <x:c r="H786" s="12" t="n"/>
      <x:c r="I786" s="12" t="n"/>
      <x:c r="J786" s="12" t="n"/>
      <x:c r="K786" s="12" t="n"/>
      <x:c r="L786" s="11" t="n"/>
      <x:c r="M786" s="9" t="n"/>
      <x:c r="N786" s="12" t="n"/>
      <x:c r="O786" s="6">
        <x:f>IF(N786="","",IFERROR(VLOOKUP(N786,Master_Data!$A$5:$C$8,3,FALSE),0))</x:f>
      </x:c>
      <x:c r="P786" s="7">
        <x:f>IF(M786="","",M786*O786)</x:f>
      </x:c>
      <x:c r="Q786" s="7">
        <x:f>IF(M786="","",M786+P786)</x:f>
      </x:c>
      <x:c r="R786" s="7">
        <x:f>IF(K786&lt;&gt;"Paid",0,IF(C786="Income",Q786,-Q786))</x:f>
      </x:c>
      <x:c r="S786" s="14">
        <x:f>IF(A786="","",DATE(YEAR(A786),MONTH(A786),1))</x:f>
      </x:c>
      <x:c r="T786" s="14">
        <x:f>IF(L786="","",DATE(YEAR(L786),MONTH(L786),1))</x:f>
      </x:c>
    </x:row>
    <x:row r="787">
      <x:c r="A787" s="11" t="n"/>
      <x:c r="B787" s="5" t="n"/>
      <x:c r="C787" s="12" t="n"/>
      <x:c r="D787" s="12" t="n"/>
      <x:c r="E787" s="12" t="n"/>
      <x:c r="F787" s="12" t="n"/>
      <x:c r="G787" s="13">
        <x:f>IF(F787="","",IFERROR(VLOOKUP(F787,Master_Data!$E$24:$G$33,2,FALSE),"9999"))</x:f>
      </x:c>
      <x:c r="H787" s="12" t="n"/>
      <x:c r="I787" s="12" t="n"/>
      <x:c r="J787" s="12" t="n"/>
      <x:c r="K787" s="12" t="n"/>
      <x:c r="L787" s="11" t="n"/>
      <x:c r="M787" s="9" t="n"/>
      <x:c r="N787" s="12" t="n"/>
      <x:c r="O787" s="6">
        <x:f>IF(N787="","",IFERROR(VLOOKUP(N787,Master_Data!$A$5:$C$8,3,FALSE),0))</x:f>
      </x:c>
      <x:c r="P787" s="7">
        <x:f>IF(M787="","",M787*O787)</x:f>
      </x:c>
      <x:c r="Q787" s="7">
        <x:f>IF(M787="","",M787+P787)</x:f>
      </x:c>
      <x:c r="R787" s="7">
        <x:f>IF(K787&lt;&gt;"Paid",0,IF(C787="Income",Q787,-Q787))</x:f>
      </x:c>
      <x:c r="S787" s="14">
        <x:f>IF(A787="","",DATE(YEAR(A787),MONTH(A787),1))</x:f>
      </x:c>
      <x:c r="T787" s="14">
        <x:f>IF(L787="","",DATE(YEAR(L787),MONTH(L787),1))</x:f>
      </x:c>
    </x:row>
    <x:row r="788">
      <x:c r="A788" s="11" t="n"/>
      <x:c r="B788" s="5" t="n"/>
      <x:c r="C788" s="12" t="n"/>
      <x:c r="D788" s="12" t="n"/>
      <x:c r="E788" s="12" t="n"/>
      <x:c r="F788" s="12" t="n"/>
      <x:c r="G788" s="13">
        <x:f>IF(F788="","",IFERROR(VLOOKUP(F788,Master_Data!$E$24:$G$33,2,FALSE),"9999"))</x:f>
      </x:c>
      <x:c r="H788" s="12" t="n"/>
      <x:c r="I788" s="12" t="n"/>
      <x:c r="J788" s="12" t="n"/>
      <x:c r="K788" s="12" t="n"/>
      <x:c r="L788" s="11" t="n"/>
      <x:c r="M788" s="9" t="n"/>
      <x:c r="N788" s="12" t="n"/>
      <x:c r="O788" s="6">
        <x:f>IF(N788="","",IFERROR(VLOOKUP(N788,Master_Data!$A$5:$C$8,3,FALSE),0))</x:f>
      </x:c>
      <x:c r="P788" s="7">
        <x:f>IF(M788="","",M788*O788)</x:f>
      </x:c>
      <x:c r="Q788" s="7">
        <x:f>IF(M788="","",M788+P788)</x:f>
      </x:c>
      <x:c r="R788" s="7">
        <x:f>IF(K788&lt;&gt;"Paid",0,IF(C788="Income",Q788,-Q788))</x:f>
      </x:c>
      <x:c r="S788" s="14">
        <x:f>IF(A788="","",DATE(YEAR(A788),MONTH(A788),1))</x:f>
      </x:c>
      <x:c r="T788" s="14">
        <x:f>IF(L788="","",DATE(YEAR(L788),MONTH(L788),1))</x:f>
      </x:c>
    </x:row>
    <x:row r="789">
      <x:c r="A789" s="11" t="n"/>
      <x:c r="B789" s="5" t="n"/>
      <x:c r="C789" s="12" t="n"/>
      <x:c r="D789" s="12" t="n"/>
      <x:c r="E789" s="12" t="n"/>
      <x:c r="F789" s="12" t="n"/>
      <x:c r="G789" s="13">
        <x:f>IF(F789="","",IFERROR(VLOOKUP(F789,Master_Data!$E$24:$G$33,2,FALSE),"9999"))</x:f>
      </x:c>
      <x:c r="H789" s="12" t="n"/>
      <x:c r="I789" s="12" t="n"/>
      <x:c r="J789" s="12" t="n"/>
      <x:c r="K789" s="12" t="n"/>
      <x:c r="L789" s="11" t="n"/>
      <x:c r="M789" s="9" t="n"/>
      <x:c r="N789" s="12" t="n"/>
      <x:c r="O789" s="6">
        <x:f>IF(N789="","",IFERROR(VLOOKUP(N789,Master_Data!$A$5:$C$8,3,FALSE),0))</x:f>
      </x:c>
      <x:c r="P789" s="7">
        <x:f>IF(M789="","",M789*O789)</x:f>
      </x:c>
      <x:c r="Q789" s="7">
        <x:f>IF(M789="","",M789+P789)</x:f>
      </x:c>
      <x:c r="R789" s="7">
        <x:f>IF(K789&lt;&gt;"Paid",0,IF(C789="Income",Q789,-Q789))</x:f>
      </x:c>
      <x:c r="S789" s="14">
        <x:f>IF(A789="","",DATE(YEAR(A789),MONTH(A789),1))</x:f>
      </x:c>
      <x:c r="T789" s="14">
        <x:f>IF(L789="","",DATE(YEAR(L789),MONTH(L789),1))</x:f>
      </x:c>
    </x:row>
    <x:row r="790">
      <x:c r="A790" s="11" t="n"/>
      <x:c r="B790" s="5" t="n"/>
      <x:c r="C790" s="12" t="n"/>
      <x:c r="D790" s="12" t="n"/>
      <x:c r="E790" s="12" t="n"/>
      <x:c r="F790" s="12" t="n"/>
      <x:c r="G790" s="13">
        <x:f>IF(F790="","",IFERROR(VLOOKUP(F790,Master_Data!$E$24:$G$33,2,FALSE),"9999"))</x:f>
      </x:c>
      <x:c r="H790" s="12" t="n"/>
      <x:c r="I790" s="12" t="n"/>
      <x:c r="J790" s="12" t="n"/>
      <x:c r="K790" s="12" t="n"/>
      <x:c r="L790" s="11" t="n"/>
      <x:c r="M790" s="9" t="n"/>
      <x:c r="N790" s="12" t="n"/>
      <x:c r="O790" s="6">
        <x:f>IF(N790="","",IFERROR(VLOOKUP(N790,Master_Data!$A$5:$C$8,3,FALSE),0))</x:f>
      </x:c>
      <x:c r="P790" s="7">
        <x:f>IF(M790="","",M790*O790)</x:f>
      </x:c>
      <x:c r="Q790" s="7">
        <x:f>IF(M790="","",M790+P790)</x:f>
      </x:c>
      <x:c r="R790" s="7">
        <x:f>IF(K790&lt;&gt;"Paid",0,IF(C790="Income",Q790,-Q790))</x:f>
      </x:c>
      <x:c r="S790" s="14">
        <x:f>IF(A790="","",DATE(YEAR(A790),MONTH(A790),1))</x:f>
      </x:c>
      <x:c r="T790" s="14">
        <x:f>IF(L790="","",DATE(YEAR(L790),MONTH(L790),1))</x:f>
      </x:c>
    </x:row>
    <x:row r="791">
      <x:c r="A791" s="11" t="n"/>
      <x:c r="B791" s="5" t="n"/>
      <x:c r="C791" s="12" t="n"/>
      <x:c r="D791" s="12" t="n"/>
      <x:c r="E791" s="12" t="n"/>
      <x:c r="F791" s="12" t="n"/>
      <x:c r="G791" s="13">
        <x:f>IF(F791="","",IFERROR(VLOOKUP(F791,Master_Data!$E$24:$G$33,2,FALSE),"9999"))</x:f>
      </x:c>
      <x:c r="H791" s="12" t="n"/>
      <x:c r="I791" s="12" t="n"/>
      <x:c r="J791" s="12" t="n"/>
      <x:c r="K791" s="12" t="n"/>
      <x:c r="L791" s="11" t="n"/>
      <x:c r="M791" s="9" t="n"/>
      <x:c r="N791" s="12" t="n"/>
      <x:c r="O791" s="6">
        <x:f>IF(N791="","",IFERROR(VLOOKUP(N791,Master_Data!$A$5:$C$8,3,FALSE),0))</x:f>
      </x:c>
      <x:c r="P791" s="7">
        <x:f>IF(M791="","",M791*O791)</x:f>
      </x:c>
      <x:c r="Q791" s="7">
        <x:f>IF(M791="","",M791+P791)</x:f>
      </x:c>
      <x:c r="R791" s="7">
        <x:f>IF(K791&lt;&gt;"Paid",0,IF(C791="Income",Q791,-Q791))</x:f>
      </x:c>
      <x:c r="S791" s="14">
        <x:f>IF(A791="","",DATE(YEAR(A791),MONTH(A791),1))</x:f>
      </x:c>
      <x:c r="T791" s="14">
        <x:f>IF(L791="","",DATE(YEAR(L791),MONTH(L791),1))</x:f>
      </x:c>
    </x:row>
    <x:row r="792">
      <x:c r="A792" s="11" t="n"/>
      <x:c r="B792" s="5" t="n"/>
      <x:c r="C792" s="12" t="n"/>
      <x:c r="D792" s="12" t="n"/>
      <x:c r="E792" s="12" t="n"/>
      <x:c r="F792" s="12" t="n"/>
      <x:c r="G792" s="13">
        <x:f>IF(F792="","",IFERROR(VLOOKUP(F792,Master_Data!$E$24:$G$33,2,FALSE),"9999"))</x:f>
      </x:c>
      <x:c r="H792" s="12" t="n"/>
      <x:c r="I792" s="12" t="n"/>
      <x:c r="J792" s="12" t="n"/>
      <x:c r="K792" s="12" t="n"/>
      <x:c r="L792" s="11" t="n"/>
      <x:c r="M792" s="9" t="n"/>
      <x:c r="N792" s="12" t="n"/>
      <x:c r="O792" s="6">
        <x:f>IF(N792="","",IFERROR(VLOOKUP(N792,Master_Data!$A$5:$C$8,3,FALSE),0))</x:f>
      </x:c>
      <x:c r="P792" s="7">
        <x:f>IF(M792="","",M792*O792)</x:f>
      </x:c>
      <x:c r="Q792" s="7">
        <x:f>IF(M792="","",M792+P792)</x:f>
      </x:c>
      <x:c r="R792" s="7">
        <x:f>IF(K792&lt;&gt;"Paid",0,IF(C792="Income",Q792,-Q792))</x:f>
      </x:c>
      <x:c r="S792" s="14">
        <x:f>IF(A792="","",DATE(YEAR(A792),MONTH(A792),1))</x:f>
      </x:c>
      <x:c r="T792" s="14">
        <x:f>IF(L792="","",DATE(YEAR(L792),MONTH(L792),1))</x:f>
      </x:c>
    </x:row>
    <x:row r="793">
      <x:c r="A793" s="11" t="n"/>
      <x:c r="B793" s="5" t="n"/>
      <x:c r="C793" s="12" t="n"/>
      <x:c r="D793" s="12" t="n"/>
      <x:c r="E793" s="12" t="n"/>
      <x:c r="F793" s="12" t="n"/>
      <x:c r="G793" s="13">
        <x:f>IF(F793="","",IFERROR(VLOOKUP(F793,Master_Data!$E$24:$G$33,2,FALSE),"9999"))</x:f>
      </x:c>
      <x:c r="H793" s="12" t="n"/>
      <x:c r="I793" s="12" t="n"/>
      <x:c r="J793" s="12" t="n"/>
      <x:c r="K793" s="12" t="n"/>
      <x:c r="L793" s="11" t="n"/>
      <x:c r="M793" s="9" t="n"/>
      <x:c r="N793" s="12" t="n"/>
      <x:c r="O793" s="6">
        <x:f>IF(N793="","",IFERROR(VLOOKUP(N793,Master_Data!$A$5:$C$8,3,FALSE),0))</x:f>
      </x:c>
      <x:c r="P793" s="7">
        <x:f>IF(M793="","",M793*O793)</x:f>
      </x:c>
      <x:c r="Q793" s="7">
        <x:f>IF(M793="","",M793+P793)</x:f>
      </x:c>
      <x:c r="R793" s="7">
        <x:f>IF(K793&lt;&gt;"Paid",0,IF(C793="Income",Q793,-Q793))</x:f>
      </x:c>
      <x:c r="S793" s="14">
        <x:f>IF(A793="","",DATE(YEAR(A793),MONTH(A793),1))</x:f>
      </x:c>
      <x:c r="T793" s="14">
        <x:f>IF(L793="","",DATE(YEAR(L793),MONTH(L793),1))</x:f>
      </x:c>
    </x:row>
    <x:row r="794">
      <x:c r="A794" s="11" t="n"/>
      <x:c r="B794" s="5" t="n"/>
      <x:c r="C794" s="12" t="n"/>
      <x:c r="D794" s="12" t="n"/>
      <x:c r="E794" s="12" t="n"/>
      <x:c r="F794" s="12" t="n"/>
      <x:c r="G794" s="13">
        <x:f>IF(F794="","",IFERROR(VLOOKUP(F794,Master_Data!$E$24:$G$33,2,FALSE),"9999"))</x:f>
      </x:c>
      <x:c r="H794" s="12" t="n"/>
      <x:c r="I794" s="12" t="n"/>
      <x:c r="J794" s="12" t="n"/>
      <x:c r="K794" s="12" t="n"/>
      <x:c r="L794" s="11" t="n"/>
      <x:c r="M794" s="9" t="n"/>
      <x:c r="N794" s="12" t="n"/>
      <x:c r="O794" s="6">
        <x:f>IF(N794="","",IFERROR(VLOOKUP(N794,Master_Data!$A$5:$C$8,3,FALSE),0))</x:f>
      </x:c>
      <x:c r="P794" s="7">
        <x:f>IF(M794="","",M794*O794)</x:f>
      </x:c>
      <x:c r="Q794" s="7">
        <x:f>IF(M794="","",M794+P794)</x:f>
      </x:c>
      <x:c r="R794" s="7">
        <x:f>IF(K794&lt;&gt;"Paid",0,IF(C794="Income",Q794,-Q794))</x:f>
      </x:c>
      <x:c r="S794" s="14">
        <x:f>IF(A794="","",DATE(YEAR(A794),MONTH(A794),1))</x:f>
      </x:c>
      <x:c r="T794" s="14">
        <x:f>IF(L794="","",DATE(YEAR(L794),MONTH(L794),1))</x:f>
      </x:c>
    </x:row>
    <x:row r="795">
      <x:c r="A795" s="11" t="n"/>
      <x:c r="B795" s="5" t="n"/>
      <x:c r="C795" s="12" t="n"/>
      <x:c r="D795" s="12" t="n"/>
      <x:c r="E795" s="12" t="n"/>
      <x:c r="F795" s="12" t="n"/>
      <x:c r="G795" s="13">
        <x:f>IF(F795="","",IFERROR(VLOOKUP(F795,Master_Data!$E$24:$G$33,2,FALSE),"9999"))</x:f>
      </x:c>
      <x:c r="H795" s="12" t="n"/>
      <x:c r="I795" s="12" t="n"/>
      <x:c r="J795" s="12" t="n"/>
      <x:c r="K795" s="12" t="n"/>
      <x:c r="L795" s="11" t="n"/>
      <x:c r="M795" s="9" t="n"/>
      <x:c r="N795" s="12" t="n"/>
      <x:c r="O795" s="6">
        <x:f>IF(N795="","",IFERROR(VLOOKUP(N795,Master_Data!$A$5:$C$8,3,FALSE),0))</x:f>
      </x:c>
      <x:c r="P795" s="7">
        <x:f>IF(M795="","",M795*O795)</x:f>
      </x:c>
      <x:c r="Q795" s="7">
        <x:f>IF(M795="","",M795+P795)</x:f>
      </x:c>
      <x:c r="R795" s="7">
        <x:f>IF(K795&lt;&gt;"Paid",0,IF(C795="Income",Q795,-Q795))</x:f>
      </x:c>
      <x:c r="S795" s="14">
        <x:f>IF(A795="","",DATE(YEAR(A795),MONTH(A795),1))</x:f>
      </x:c>
      <x:c r="T795" s="14">
        <x:f>IF(L795="","",DATE(YEAR(L795),MONTH(L795),1))</x:f>
      </x:c>
    </x:row>
    <x:row r="796">
      <x:c r="A796" s="11" t="n"/>
      <x:c r="B796" s="5" t="n"/>
      <x:c r="C796" s="12" t="n"/>
      <x:c r="D796" s="12" t="n"/>
      <x:c r="E796" s="12" t="n"/>
      <x:c r="F796" s="12" t="n"/>
      <x:c r="G796" s="13">
        <x:f>IF(F796="","",IFERROR(VLOOKUP(F796,Master_Data!$E$24:$G$33,2,FALSE),"9999"))</x:f>
      </x:c>
      <x:c r="H796" s="12" t="n"/>
      <x:c r="I796" s="12" t="n"/>
      <x:c r="J796" s="12" t="n"/>
      <x:c r="K796" s="12" t="n"/>
      <x:c r="L796" s="11" t="n"/>
      <x:c r="M796" s="9" t="n"/>
      <x:c r="N796" s="12" t="n"/>
      <x:c r="O796" s="6">
        <x:f>IF(N796="","",IFERROR(VLOOKUP(N796,Master_Data!$A$5:$C$8,3,FALSE),0))</x:f>
      </x:c>
      <x:c r="P796" s="7">
        <x:f>IF(M796="","",M796*O796)</x:f>
      </x:c>
      <x:c r="Q796" s="7">
        <x:f>IF(M796="","",M796+P796)</x:f>
      </x:c>
      <x:c r="R796" s="7">
        <x:f>IF(K796&lt;&gt;"Paid",0,IF(C796="Income",Q796,-Q796))</x:f>
      </x:c>
      <x:c r="S796" s="14">
        <x:f>IF(A796="","",DATE(YEAR(A796),MONTH(A796),1))</x:f>
      </x:c>
      <x:c r="T796" s="14">
        <x:f>IF(L796="","",DATE(YEAR(L796),MONTH(L796),1))</x:f>
      </x:c>
    </x:row>
    <x:row r="797">
      <x:c r="A797" s="11" t="n"/>
      <x:c r="B797" s="5" t="n"/>
      <x:c r="C797" s="12" t="n"/>
      <x:c r="D797" s="12" t="n"/>
      <x:c r="E797" s="12" t="n"/>
      <x:c r="F797" s="12" t="n"/>
      <x:c r="G797" s="13">
        <x:f>IF(F797="","",IFERROR(VLOOKUP(F797,Master_Data!$E$24:$G$33,2,FALSE),"9999"))</x:f>
      </x:c>
      <x:c r="H797" s="12" t="n"/>
      <x:c r="I797" s="12" t="n"/>
      <x:c r="J797" s="12" t="n"/>
      <x:c r="K797" s="12" t="n"/>
      <x:c r="L797" s="11" t="n"/>
      <x:c r="M797" s="9" t="n"/>
      <x:c r="N797" s="12" t="n"/>
      <x:c r="O797" s="6">
        <x:f>IF(N797="","",IFERROR(VLOOKUP(N797,Master_Data!$A$5:$C$8,3,FALSE),0))</x:f>
      </x:c>
      <x:c r="P797" s="7">
        <x:f>IF(M797="","",M797*O797)</x:f>
      </x:c>
      <x:c r="Q797" s="7">
        <x:f>IF(M797="","",M797+P797)</x:f>
      </x:c>
      <x:c r="R797" s="7">
        <x:f>IF(K797&lt;&gt;"Paid",0,IF(C797="Income",Q797,-Q797))</x:f>
      </x:c>
      <x:c r="S797" s="14">
        <x:f>IF(A797="","",DATE(YEAR(A797),MONTH(A797),1))</x:f>
      </x:c>
      <x:c r="T797" s="14">
        <x:f>IF(L797="","",DATE(YEAR(L797),MONTH(L797),1))</x:f>
      </x:c>
    </x:row>
    <x:row r="798">
      <x:c r="A798" s="11" t="n"/>
      <x:c r="B798" s="5" t="n"/>
      <x:c r="C798" s="12" t="n"/>
      <x:c r="D798" s="12" t="n"/>
      <x:c r="E798" s="12" t="n"/>
      <x:c r="F798" s="12" t="n"/>
      <x:c r="G798" s="13">
        <x:f>IF(F798="","",IFERROR(VLOOKUP(F798,Master_Data!$E$24:$G$33,2,FALSE),"9999"))</x:f>
      </x:c>
      <x:c r="H798" s="12" t="n"/>
      <x:c r="I798" s="12" t="n"/>
      <x:c r="J798" s="12" t="n"/>
      <x:c r="K798" s="12" t="n"/>
      <x:c r="L798" s="11" t="n"/>
      <x:c r="M798" s="9" t="n"/>
      <x:c r="N798" s="12" t="n"/>
      <x:c r="O798" s="6">
        <x:f>IF(N798="","",IFERROR(VLOOKUP(N798,Master_Data!$A$5:$C$8,3,FALSE),0))</x:f>
      </x:c>
      <x:c r="P798" s="7">
        <x:f>IF(M798="","",M798*O798)</x:f>
      </x:c>
      <x:c r="Q798" s="7">
        <x:f>IF(M798="","",M798+P798)</x:f>
      </x:c>
      <x:c r="R798" s="7">
        <x:f>IF(K798&lt;&gt;"Paid",0,IF(C798="Income",Q798,-Q798))</x:f>
      </x:c>
      <x:c r="S798" s="14">
        <x:f>IF(A798="","",DATE(YEAR(A798),MONTH(A798),1))</x:f>
      </x:c>
      <x:c r="T798" s="14">
        <x:f>IF(L798="","",DATE(YEAR(L798),MONTH(L798),1))</x:f>
      </x:c>
    </x:row>
    <x:row r="799">
      <x:c r="A799" s="11" t="n"/>
      <x:c r="B799" s="5" t="n"/>
      <x:c r="C799" s="12" t="n"/>
      <x:c r="D799" s="12" t="n"/>
      <x:c r="E799" s="12" t="n"/>
      <x:c r="F799" s="12" t="n"/>
      <x:c r="G799" s="13">
        <x:f>IF(F799="","",IFERROR(VLOOKUP(F799,Master_Data!$E$24:$G$33,2,FALSE),"9999"))</x:f>
      </x:c>
      <x:c r="H799" s="12" t="n"/>
      <x:c r="I799" s="12" t="n"/>
      <x:c r="J799" s="12" t="n"/>
      <x:c r="K799" s="12" t="n"/>
      <x:c r="L799" s="11" t="n"/>
      <x:c r="M799" s="9" t="n"/>
      <x:c r="N799" s="12" t="n"/>
      <x:c r="O799" s="6">
        <x:f>IF(N799="","",IFERROR(VLOOKUP(N799,Master_Data!$A$5:$C$8,3,FALSE),0))</x:f>
      </x:c>
      <x:c r="P799" s="7">
        <x:f>IF(M799="","",M799*O799)</x:f>
      </x:c>
      <x:c r="Q799" s="7">
        <x:f>IF(M799="","",M799+P799)</x:f>
      </x:c>
      <x:c r="R799" s="7">
        <x:f>IF(K799&lt;&gt;"Paid",0,IF(C799="Income",Q799,-Q799))</x:f>
      </x:c>
      <x:c r="S799" s="14">
        <x:f>IF(A799="","",DATE(YEAR(A799),MONTH(A799),1))</x:f>
      </x:c>
      <x:c r="T799" s="14">
        <x:f>IF(L799="","",DATE(YEAR(L799),MONTH(L799),1))</x:f>
      </x:c>
    </x:row>
    <x:row r="800">
      <x:c r="A800" s="11" t="n"/>
      <x:c r="B800" s="5" t="n"/>
      <x:c r="C800" s="12" t="n"/>
      <x:c r="D800" s="12" t="n"/>
      <x:c r="E800" s="12" t="n"/>
      <x:c r="F800" s="12" t="n"/>
      <x:c r="G800" s="13">
        <x:f>IF(F800="","",IFERROR(VLOOKUP(F800,Master_Data!$E$24:$G$33,2,FALSE),"9999"))</x:f>
      </x:c>
      <x:c r="H800" s="12" t="n"/>
      <x:c r="I800" s="12" t="n"/>
      <x:c r="J800" s="12" t="n"/>
      <x:c r="K800" s="12" t="n"/>
      <x:c r="L800" s="11" t="n"/>
      <x:c r="M800" s="9" t="n"/>
      <x:c r="N800" s="12" t="n"/>
      <x:c r="O800" s="6">
        <x:f>IF(N800="","",IFERROR(VLOOKUP(N800,Master_Data!$A$5:$C$8,3,FALSE),0))</x:f>
      </x:c>
      <x:c r="P800" s="7">
        <x:f>IF(M800="","",M800*O800)</x:f>
      </x:c>
      <x:c r="Q800" s="7">
        <x:f>IF(M800="","",M800+P800)</x:f>
      </x:c>
      <x:c r="R800" s="7">
        <x:f>IF(K800&lt;&gt;"Paid",0,IF(C800="Income",Q800,-Q800))</x:f>
      </x:c>
      <x:c r="S800" s="14">
        <x:f>IF(A800="","",DATE(YEAR(A800),MONTH(A800),1))</x:f>
      </x:c>
      <x:c r="T800" s="14">
        <x:f>IF(L800="","",DATE(YEAR(L800),MONTH(L800),1))</x:f>
      </x:c>
    </x:row>
    <x:row r="801">
      <x:c r="A801" s="11" t="n"/>
      <x:c r="B801" s="5" t="n"/>
      <x:c r="C801" s="12" t="n"/>
      <x:c r="D801" s="12" t="n"/>
      <x:c r="E801" s="12" t="n"/>
      <x:c r="F801" s="12" t="n"/>
      <x:c r="G801" s="13">
        <x:f>IF(F801="","",IFERROR(VLOOKUP(F801,Master_Data!$E$24:$G$33,2,FALSE),"9999"))</x:f>
      </x:c>
      <x:c r="H801" s="12" t="n"/>
      <x:c r="I801" s="12" t="n"/>
      <x:c r="J801" s="12" t="n"/>
      <x:c r="K801" s="12" t="n"/>
      <x:c r="L801" s="11" t="n"/>
      <x:c r="M801" s="9" t="n"/>
      <x:c r="N801" s="12" t="n"/>
      <x:c r="O801" s="6">
        <x:f>IF(N801="","",IFERROR(VLOOKUP(N801,Master_Data!$A$5:$C$8,3,FALSE),0))</x:f>
      </x:c>
      <x:c r="P801" s="7">
        <x:f>IF(M801="","",M801*O801)</x:f>
      </x:c>
      <x:c r="Q801" s="7">
        <x:f>IF(M801="","",M801+P801)</x:f>
      </x:c>
      <x:c r="R801" s="7">
        <x:f>IF(K801&lt;&gt;"Paid",0,IF(C801="Income",Q801,-Q801))</x:f>
      </x:c>
      <x:c r="S801" s="14">
        <x:f>IF(A801="","",DATE(YEAR(A801),MONTH(A801),1))</x:f>
      </x:c>
      <x:c r="T801" s="14">
        <x:f>IF(L801="","",DATE(YEAR(L801),MONTH(L801),1))</x:f>
      </x:c>
    </x:row>
    <x:row r="802">
      <x:c r="A802" s="11" t="n"/>
      <x:c r="B802" s="5" t="n"/>
      <x:c r="C802" s="12" t="n"/>
      <x:c r="D802" s="12" t="n"/>
      <x:c r="E802" s="12" t="n"/>
      <x:c r="F802" s="12" t="n"/>
      <x:c r="G802" s="13">
        <x:f>IF(F802="","",IFERROR(VLOOKUP(F802,Master_Data!$E$24:$G$33,2,FALSE),"9999"))</x:f>
      </x:c>
      <x:c r="H802" s="12" t="n"/>
      <x:c r="I802" s="12" t="n"/>
      <x:c r="J802" s="12" t="n"/>
      <x:c r="K802" s="12" t="n"/>
      <x:c r="L802" s="11" t="n"/>
      <x:c r="M802" s="9" t="n"/>
      <x:c r="N802" s="12" t="n"/>
      <x:c r="O802" s="6">
        <x:f>IF(N802="","",IFERROR(VLOOKUP(N802,Master_Data!$A$5:$C$8,3,FALSE),0))</x:f>
      </x:c>
      <x:c r="P802" s="7">
        <x:f>IF(M802="","",M802*O802)</x:f>
      </x:c>
      <x:c r="Q802" s="7">
        <x:f>IF(M802="","",M802+P802)</x:f>
      </x:c>
      <x:c r="R802" s="7">
        <x:f>IF(K802&lt;&gt;"Paid",0,IF(C802="Income",Q802,-Q802))</x:f>
      </x:c>
      <x:c r="S802" s="14">
        <x:f>IF(A802="","",DATE(YEAR(A802),MONTH(A802),1))</x:f>
      </x:c>
      <x:c r="T802" s="14">
        <x:f>IF(L802="","",DATE(YEAR(L802),MONTH(L802),1))</x:f>
      </x:c>
    </x:row>
    <x:row r="803">
      <x:c r="A803" s="11" t="n"/>
      <x:c r="B803" s="5" t="n"/>
      <x:c r="C803" s="12" t="n"/>
      <x:c r="D803" s="12" t="n"/>
      <x:c r="E803" s="12" t="n"/>
      <x:c r="F803" s="12" t="n"/>
      <x:c r="G803" s="13">
        <x:f>IF(F803="","",IFERROR(VLOOKUP(F803,Master_Data!$E$24:$G$33,2,FALSE),"9999"))</x:f>
      </x:c>
      <x:c r="H803" s="12" t="n"/>
      <x:c r="I803" s="12" t="n"/>
      <x:c r="J803" s="12" t="n"/>
      <x:c r="K803" s="12" t="n"/>
      <x:c r="L803" s="11" t="n"/>
      <x:c r="M803" s="9" t="n"/>
      <x:c r="N803" s="12" t="n"/>
      <x:c r="O803" s="6">
        <x:f>IF(N803="","",IFERROR(VLOOKUP(N803,Master_Data!$A$5:$C$8,3,FALSE),0))</x:f>
      </x:c>
      <x:c r="P803" s="7">
        <x:f>IF(M803="","",M803*O803)</x:f>
      </x:c>
      <x:c r="Q803" s="7">
        <x:f>IF(M803="","",M803+P803)</x:f>
      </x:c>
      <x:c r="R803" s="7">
        <x:f>IF(K803&lt;&gt;"Paid",0,IF(C803="Income",Q803,-Q803))</x:f>
      </x:c>
      <x:c r="S803" s="14">
        <x:f>IF(A803="","",DATE(YEAR(A803),MONTH(A803),1))</x:f>
      </x:c>
      <x:c r="T803" s="14">
        <x:f>IF(L803="","",DATE(YEAR(L803),MONTH(L803),1))</x:f>
      </x:c>
    </x:row>
    <x:row r="804">
      <x:c r="A804" s="11" t="n"/>
      <x:c r="B804" s="5" t="n"/>
      <x:c r="C804" s="12" t="n"/>
      <x:c r="D804" s="12" t="n"/>
      <x:c r="E804" s="12" t="n"/>
      <x:c r="F804" s="12" t="n"/>
      <x:c r="G804" s="13">
        <x:f>IF(F804="","",IFERROR(VLOOKUP(F804,Master_Data!$E$24:$G$33,2,FALSE),"9999"))</x:f>
      </x:c>
      <x:c r="H804" s="12" t="n"/>
      <x:c r="I804" s="12" t="n"/>
      <x:c r="J804" s="12" t="n"/>
      <x:c r="K804" s="12" t="n"/>
      <x:c r="L804" s="11" t="n"/>
      <x:c r="M804" s="9" t="n"/>
      <x:c r="N804" s="12" t="n"/>
      <x:c r="O804" s="6">
        <x:f>IF(N804="","",IFERROR(VLOOKUP(N804,Master_Data!$A$5:$C$8,3,FALSE),0))</x:f>
      </x:c>
      <x:c r="P804" s="7">
        <x:f>IF(M804="","",M804*O804)</x:f>
      </x:c>
      <x:c r="Q804" s="7">
        <x:f>IF(M804="","",M804+P804)</x:f>
      </x:c>
      <x:c r="R804" s="7">
        <x:f>IF(K804&lt;&gt;"Paid",0,IF(C804="Income",Q804,-Q804))</x:f>
      </x:c>
      <x:c r="S804" s="14">
        <x:f>IF(A804="","",DATE(YEAR(A804),MONTH(A804),1))</x:f>
      </x:c>
      <x:c r="T804" s="14">
        <x:f>IF(L804="","",DATE(YEAR(L804),MONTH(L804),1))</x:f>
      </x:c>
    </x:row>
    <x:row r="805">
      <x:c r="A805" s="11" t="n"/>
      <x:c r="B805" s="5" t="n"/>
      <x:c r="C805" s="12" t="n"/>
      <x:c r="D805" s="12" t="n"/>
      <x:c r="E805" s="12" t="n"/>
      <x:c r="F805" s="12" t="n"/>
      <x:c r="G805" s="13">
        <x:f>IF(F805="","",IFERROR(VLOOKUP(F805,Master_Data!$E$24:$G$33,2,FALSE),"9999"))</x:f>
      </x:c>
      <x:c r="H805" s="12" t="n"/>
      <x:c r="I805" s="12" t="n"/>
      <x:c r="J805" s="12" t="n"/>
      <x:c r="K805" s="12" t="n"/>
      <x:c r="L805" s="11" t="n"/>
      <x:c r="M805" s="9" t="n"/>
      <x:c r="N805" s="12" t="n"/>
      <x:c r="O805" s="6">
        <x:f>IF(N805="","",IFERROR(VLOOKUP(N805,Master_Data!$A$5:$C$8,3,FALSE),0))</x:f>
      </x:c>
      <x:c r="P805" s="7">
        <x:f>IF(M805="","",M805*O805)</x:f>
      </x:c>
      <x:c r="Q805" s="7">
        <x:f>IF(M805="","",M805+P805)</x:f>
      </x:c>
      <x:c r="R805" s="7">
        <x:f>IF(K805&lt;&gt;"Paid",0,IF(C805="Income",Q805,-Q805))</x:f>
      </x:c>
      <x:c r="S805" s="14">
        <x:f>IF(A805="","",DATE(YEAR(A805),MONTH(A805),1))</x:f>
      </x:c>
      <x:c r="T805" s="14">
        <x:f>IF(L805="","",DATE(YEAR(L805),MONTH(L805),1))</x:f>
      </x:c>
    </x:row>
    <x:row r="806">
      <x:c r="A806" s="11" t="n"/>
      <x:c r="B806" s="5" t="n"/>
      <x:c r="C806" s="12" t="n"/>
      <x:c r="D806" s="12" t="n"/>
      <x:c r="E806" s="12" t="n"/>
      <x:c r="F806" s="12" t="n"/>
      <x:c r="G806" s="13">
        <x:f>IF(F806="","",IFERROR(VLOOKUP(F806,Master_Data!$E$24:$G$33,2,FALSE),"9999"))</x:f>
      </x:c>
      <x:c r="H806" s="12" t="n"/>
      <x:c r="I806" s="12" t="n"/>
      <x:c r="J806" s="12" t="n"/>
      <x:c r="K806" s="12" t="n"/>
      <x:c r="L806" s="11" t="n"/>
      <x:c r="M806" s="9" t="n"/>
      <x:c r="N806" s="12" t="n"/>
      <x:c r="O806" s="6">
        <x:f>IF(N806="","",IFERROR(VLOOKUP(N806,Master_Data!$A$5:$C$8,3,FALSE),0))</x:f>
      </x:c>
      <x:c r="P806" s="7">
        <x:f>IF(M806="","",M806*O806)</x:f>
      </x:c>
      <x:c r="Q806" s="7">
        <x:f>IF(M806="","",M806+P806)</x:f>
      </x:c>
      <x:c r="R806" s="7">
        <x:f>IF(K806&lt;&gt;"Paid",0,IF(C806="Income",Q806,-Q806))</x:f>
      </x:c>
      <x:c r="S806" s="14">
        <x:f>IF(A806="","",DATE(YEAR(A806),MONTH(A806),1))</x:f>
      </x:c>
      <x:c r="T806" s="14">
        <x:f>IF(L806="","",DATE(YEAR(L806),MONTH(L806),1))</x:f>
      </x:c>
    </x:row>
    <x:row r="807">
      <x:c r="A807" s="11" t="n"/>
      <x:c r="B807" s="5" t="n"/>
      <x:c r="C807" s="12" t="n"/>
      <x:c r="D807" s="12" t="n"/>
      <x:c r="E807" s="12" t="n"/>
      <x:c r="F807" s="12" t="n"/>
      <x:c r="G807" s="13">
        <x:f>IF(F807="","",IFERROR(VLOOKUP(F807,Master_Data!$E$24:$G$33,2,FALSE),"9999"))</x:f>
      </x:c>
      <x:c r="H807" s="12" t="n"/>
      <x:c r="I807" s="12" t="n"/>
      <x:c r="J807" s="12" t="n"/>
      <x:c r="K807" s="12" t="n"/>
      <x:c r="L807" s="11" t="n"/>
      <x:c r="M807" s="9" t="n"/>
      <x:c r="N807" s="12" t="n"/>
      <x:c r="O807" s="6">
        <x:f>IF(N807="","",IFERROR(VLOOKUP(N807,Master_Data!$A$5:$C$8,3,FALSE),0))</x:f>
      </x:c>
      <x:c r="P807" s="7">
        <x:f>IF(M807="","",M807*O807)</x:f>
      </x:c>
      <x:c r="Q807" s="7">
        <x:f>IF(M807="","",M807+P807)</x:f>
      </x:c>
      <x:c r="R807" s="7">
        <x:f>IF(K807&lt;&gt;"Paid",0,IF(C807="Income",Q807,-Q807))</x:f>
      </x:c>
      <x:c r="S807" s="14">
        <x:f>IF(A807="","",DATE(YEAR(A807),MONTH(A807),1))</x:f>
      </x:c>
      <x:c r="T807" s="14">
        <x:f>IF(L807="","",DATE(YEAR(L807),MONTH(L807),1))</x:f>
      </x:c>
    </x:row>
    <x:row r="808">
      <x:c r="A808" s="11" t="n"/>
      <x:c r="B808" s="5" t="n"/>
      <x:c r="C808" s="12" t="n"/>
      <x:c r="D808" s="12" t="n"/>
      <x:c r="E808" s="12" t="n"/>
      <x:c r="F808" s="12" t="n"/>
      <x:c r="G808" s="13">
        <x:f>IF(F808="","",IFERROR(VLOOKUP(F808,Master_Data!$E$24:$G$33,2,FALSE),"9999"))</x:f>
      </x:c>
      <x:c r="H808" s="12" t="n"/>
      <x:c r="I808" s="12" t="n"/>
      <x:c r="J808" s="12" t="n"/>
      <x:c r="K808" s="12" t="n"/>
      <x:c r="L808" s="11" t="n"/>
      <x:c r="M808" s="9" t="n"/>
      <x:c r="N808" s="12" t="n"/>
      <x:c r="O808" s="6">
        <x:f>IF(N808="","",IFERROR(VLOOKUP(N808,Master_Data!$A$5:$C$8,3,FALSE),0))</x:f>
      </x:c>
      <x:c r="P808" s="7">
        <x:f>IF(M808="","",M808*O808)</x:f>
      </x:c>
      <x:c r="Q808" s="7">
        <x:f>IF(M808="","",M808+P808)</x:f>
      </x:c>
      <x:c r="R808" s="7">
        <x:f>IF(K808&lt;&gt;"Paid",0,IF(C808="Income",Q808,-Q808))</x:f>
      </x:c>
      <x:c r="S808" s="14">
        <x:f>IF(A808="","",DATE(YEAR(A808),MONTH(A808),1))</x:f>
      </x:c>
      <x:c r="T808" s="14">
        <x:f>IF(L808="","",DATE(YEAR(L808),MONTH(L808),1))</x:f>
      </x:c>
    </x:row>
    <x:row r="809">
      <x:c r="A809" s="11" t="n"/>
      <x:c r="B809" s="5" t="n"/>
      <x:c r="C809" s="12" t="n"/>
      <x:c r="D809" s="12" t="n"/>
      <x:c r="E809" s="12" t="n"/>
      <x:c r="F809" s="12" t="n"/>
      <x:c r="G809" s="13">
        <x:f>IF(F809="","",IFERROR(VLOOKUP(F809,Master_Data!$E$24:$G$33,2,FALSE),"9999"))</x:f>
      </x:c>
      <x:c r="H809" s="12" t="n"/>
      <x:c r="I809" s="12" t="n"/>
      <x:c r="J809" s="12" t="n"/>
      <x:c r="K809" s="12" t="n"/>
      <x:c r="L809" s="11" t="n"/>
      <x:c r="M809" s="9" t="n"/>
      <x:c r="N809" s="12" t="n"/>
      <x:c r="O809" s="6">
        <x:f>IF(N809="","",IFERROR(VLOOKUP(N809,Master_Data!$A$5:$C$8,3,FALSE),0))</x:f>
      </x:c>
      <x:c r="P809" s="7">
        <x:f>IF(M809="","",M809*O809)</x:f>
      </x:c>
      <x:c r="Q809" s="7">
        <x:f>IF(M809="","",M809+P809)</x:f>
      </x:c>
      <x:c r="R809" s="7">
        <x:f>IF(K809&lt;&gt;"Paid",0,IF(C809="Income",Q809,-Q809))</x:f>
      </x:c>
      <x:c r="S809" s="14">
        <x:f>IF(A809="","",DATE(YEAR(A809),MONTH(A809),1))</x:f>
      </x:c>
      <x:c r="T809" s="14">
        <x:f>IF(L809="","",DATE(YEAR(L809),MONTH(L809),1))</x:f>
      </x:c>
    </x:row>
    <x:row r="810">
      <x:c r="A810" s="11" t="n"/>
      <x:c r="B810" s="5" t="n"/>
      <x:c r="C810" s="12" t="n"/>
      <x:c r="D810" s="12" t="n"/>
      <x:c r="E810" s="12" t="n"/>
      <x:c r="F810" s="12" t="n"/>
      <x:c r="G810" s="13">
        <x:f>IF(F810="","",IFERROR(VLOOKUP(F810,Master_Data!$E$24:$G$33,2,FALSE),"9999"))</x:f>
      </x:c>
      <x:c r="H810" s="12" t="n"/>
      <x:c r="I810" s="12" t="n"/>
      <x:c r="J810" s="12" t="n"/>
      <x:c r="K810" s="12" t="n"/>
      <x:c r="L810" s="11" t="n"/>
      <x:c r="M810" s="9" t="n"/>
      <x:c r="N810" s="12" t="n"/>
      <x:c r="O810" s="6">
        <x:f>IF(N810="","",IFERROR(VLOOKUP(N810,Master_Data!$A$5:$C$8,3,FALSE),0))</x:f>
      </x:c>
      <x:c r="P810" s="7">
        <x:f>IF(M810="","",M810*O810)</x:f>
      </x:c>
      <x:c r="Q810" s="7">
        <x:f>IF(M810="","",M810+P810)</x:f>
      </x:c>
      <x:c r="R810" s="7">
        <x:f>IF(K810&lt;&gt;"Paid",0,IF(C810="Income",Q810,-Q810))</x:f>
      </x:c>
      <x:c r="S810" s="14">
        <x:f>IF(A810="","",DATE(YEAR(A810),MONTH(A810),1))</x:f>
      </x:c>
      <x:c r="T810" s="14">
        <x:f>IF(L810="","",DATE(YEAR(L810),MONTH(L810),1))</x:f>
      </x:c>
    </x:row>
    <x:row r="811">
      <x:c r="A811" s="11" t="n"/>
      <x:c r="B811" s="5" t="n"/>
      <x:c r="C811" s="12" t="n"/>
      <x:c r="D811" s="12" t="n"/>
      <x:c r="E811" s="12" t="n"/>
      <x:c r="F811" s="12" t="n"/>
      <x:c r="G811" s="13">
        <x:f>IF(F811="","",IFERROR(VLOOKUP(F811,Master_Data!$E$24:$G$33,2,FALSE),"9999"))</x:f>
      </x:c>
      <x:c r="H811" s="12" t="n"/>
      <x:c r="I811" s="12" t="n"/>
      <x:c r="J811" s="12" t="n"/>
      <x:c r="K811" s="12" t="n"/>
      <x:c r="L811" s="11" t="n"/>
      <x:c r="M811" s="9" t="n"/>
      <x:c r="N811" s="12" t="n"/>
      <x:c r="O811" s="6">
        <x:f>IF(N811="","",IFERROR(VLOOKUP(N811,Master_Data!$A$5:$C$8,3,FALSE),0))</x:f>
      </x:c>
      <x:c r="P811" s="7">
        <x:f>IF(M811="","",M811*O811)</x:f>
      </x:c>
      <x:c r="Q811" s="7">
        <x:f>IF(M811="","",M811+P811)</x:f>
      </x:c>
      <x:c r="R811" s="7">
        <x:f>IF(K811&lt;&gt;"Paid",0,IF(C811="Income",Q811,-Q811))</x:f>
      </x:c>
      <x:c r="S811" s="14">
        <x:f>IF(A811="","",DATE(YEAR(A811),MONTH(A811),1))</x:f>
      </x:c>
      <x:c r="T811" s="14">
        <x:f>IF(L811="","",DATE(YEAR(L811),MONTH(L811),1))</x:f>
      </x:c>
    </x:row>
    <x:row r="812">
      <x:c r="A812" s="11" t="n"/>
      <x:c r="B812" s="5" t="n"/>
      <x:c r="C812" s="12" t="n"/>
      <x:c r="D812" s="12" t="n"/>
      <x:c r="E812" s="12" t="n"/>
      <x:c r="F812" s="12" t="n"/>
      <x:c r="G812" s="13">
        <x:f>IF(F812="","",IFERROR(VLOOKUP(F812,Master_Data!$E$24:$G$33,2,FALSE),"9999"))</x:f>
      </x:c>
      <x:c r="H812" s="12" t="n"/>
      <x:c r="I812" s="12" t="n"/>
      <x:c r="J812" s="12" t="n"/>
      <x:c r="K812" s="12" t="n"/>
      <x:c r="L812" s="11" t="n"/>
      <x:c r="M812" s="9" t="n"/>
      <x:c r="N812" s="12" t="n"/>
      <x:c r="O812" s="6">
        <x:f>IF(N812="","",IFERROR(VLOOKUP(N812,Master_Data!$A$5:$C$8,3,FALSE),0))</x:f>
      </x:c>
      <x:c r="P812" s="7">
        <x:f>IF(M812="","",M812*O812)</x:f>
      </x:c>
      <x:c r="Q812" s="7">
        <x:f>IF(M812="","",M812+P812)</x:f>
      </x:c>
      <x:c r="R812" s="7">
        <x:f>IF(K812&lt;&gt;"Paid",0,IF(C812="Income",Q812,-Q812))</x:f>
      </x:c>
      <x:c r="S812" s="14">
        <x:f>IF(A812="","",DATE(YEAR(A812),MONTH(A812),1))</x:f>
      </x:c>
      <x:c r="T812" s="14">
        <x:f>IF(L812="","",DATE(YEAR(L812),MONTH(L812),1))</x:f>
      </x:c>
    </x:row>
    <x:row r="813">
      <x:c r="A813" s="11" t="n"/>
      <x:c r="B813" s="5" t="n"/>
      <x:c r="C813" s="12" t="n"/>
      <x:c r="D813" s="12" t="n"/>
      <x:c r="E813" s="12" t="n"/>
      <x:c r="F813" s="12" t="n"/>
      <x:c r="G813" s="13">
        <x:f>IF(F813="","",IFERROR(VLOOKUP(F813,Master_Data!$E$24:$G$33,2,FALSE),"9999"))</x:f>
      </x:c>
      <x:c r="H813" s="12" t="n"/>
      <x:c r="I813" s="12" t="n"/>
      <x:c r="J813" s="12" t="n"/>
      <x:c r="K813" s="12" t="n"/>
      <x:c r="L813" s="11" t="n"/>
      <x:c r="M813" s="9" t="n"/>
      <x:c r="N813" s="12" t="n"/>
      <x:c r="O813" s="6">
        <x:f>IF(N813="","",IFERROR(VLOOKUP(N813,Master_Data!$A$5:$C$8,3,FALSE),0))</x:f>
      </x:c>
      <x:c r="P813" s="7">
        <x:f>IF(M813="","",M813*O813)</x:f>
      </x:c>
      <x:c r="Q813" s="7">
        <x:f>IF(M813="","",M813+P813)</x:f>
      </x:c>
      <x:c r="R813" s="7">
        <x:f>IF(K813&lt;&gt;"Paid",0,IF(C813="Income",Q813,-Q813))</x:f>
      </x:c>
      <x:c r="S813" s="14">
        <x:f>IF(A813="","",DATE(YEAR(A813),MONTH(A813),1))</x:f>
      </x:c>
      <x:c r="T813" s="14">
        <x:f>IF(L813="","",DATE(YEAR(L813),MONTH(L813),1))</x:f>
      </x:c>
    </x:row>
    <x:row r="814">
      <x:c r="A814" s="11" t="n"/>
      <x:c r="B814" s="5" t="n"/>
      <x:c r="C814" s="12" t="n"/>
      <x:c r="D814" s="12" t="n"/>
      <x:c r="E814" s="12" t="n"/>
      <x:c r="F814" s="12" t="n"/>
      <x:c r="G814" s="13">
        <x:f>IF(F814="","",IFERROR(VLOOKUP(F814,Master_Data!$E$24:$G$33,2,FALSE),"9999"))</x:f>
      </x:c>
      <x:c r="H814" s="12" t="n"/>
      <x:c r="I814" s="12" t="n"/>
      <x:c r="J814" s="12" t="n"/>
      <x:c r="K814" s="12" t="n"/>
      <x:c r="L814" s="11" t="n"/>
      <x:c r="M814" s="9" t="n"/>
      <x:c r="N814" s="12" t="n"/>
      <x:c r="O814" s="6">
        <x:f>IF(N814="","",IFERROR(VLOOKUP(N814,Master_Data!$A$5:$C$8,3,FALSE),0))</x:f>
      </x:c>
      <x:c r="P814" s="7">
        <x:f>IF(M814="","",M814*O814)</x:f>
      </x:c>
      <x:c r="Q814" s="7">
        <x:f>IF(M814="","",M814+P814)</x:f>
      </x:c>
      <x:c r="R814" s="7">
        <x:f>IF(K814&lt;&gt;"Paid",0,IF(C814="Income",Q814,-Q814))</x:f>
      </x:c>
      <x:c r="S814" s="14">
        <x:f>IF(A814="","",DATE(YEAR(A814),MONTH(A814),1))</x:f>
      </x:c>
      <x:c r="T814" s="14">
        <x:f>IF(L814="","",DATE(YEAR(L814),MONTH(L814),1))</x:f>
      </x:c>
    </x:row>
    <x:row r="815">
      <x:c r="A815" s="11" t="n"/>
      <x:c r="B815" s="5" t="n"/>
      <x:c r="C815" s="12" t="n"/>
      <x:c r="D815" s="12" t="n"/>
      <x:c r="E815" s="12" t="n"/>
      <x:c r="F815" s="12" t="n"/>
      <x:c r="G815" s="13">
        <x:f>IF(F815="","",IFERROR(VLOOKUP(F815,Master_Data!$E$24:$G$33,2,FALSE),"9999"))</x:f>
      </x:c>
      <x:c r="H815" s="12" t="n"/>
      <x:c r="I815" s="12" t="n"/>
      <x:c r="J815" s="12" t="n"/>
      <x:c r="K815" s="12" t="n"/>
      <x:c r="L815" s="11" t="n"/>
      <x:c r="M815" s="9" t="n"/>
      <x:c r="N815" s="12" t="n"/>
      <x:c r="O815" s="6">
        <x:f>IF(N815="","",IFERROR(VLOOKUP(N815,Master_Data!$A$5:$C$8,3,FALSE),0))</x:f>
      </x:c>
      <x:c r="P815" s="7">
        <x:f>IF(M815="","",M815*O815)</x:f>
      </x:c>
      <x:c r="Q815" s="7">
        <x:f>IF(M815="","",M815+P815)</x:f>
      </x:c>
      <x:c r="R815" s="7">
        <x:f>IF(K815&lt;&gt;"Paid",0,IF(C815="Income",Q815,-Q815))</x:f>
      </x:c>
      <x:c r="S815" s="14">
        <x:f>IF(A815="","",DATE(YEAR(A815),MONTH(A815),1))</x:f>
      </x:c>
      <x:c r="T815" s="14">
        <x:f>IF(L815="","",DATE(YEAR(L815),MONTH(L815),1))</x:f>
      </x:c>
    </x:row>
    <x:row r="816">
      <x:c r="A816" s="11" t="n"/>
      <x:c r="B816" s="5" t="n"/>
      <x:c r="C816" s="12" t="n"/>
      <x:c r="D816" s="12" t="n"/>
      <x:c r="E816" s="12" t="n"/>
      <x:c r="F816" s="12" t="n"/>
      <x:c r="G816" s="13">
        <x:f>IF(F816="","",IFERROR(VLOOKUP(F816,Master_Data!$E$24:$G$33,2,FALSE),"9999"))</x:f>
      </x:c>
      <x:c r="H816" s="12" t="n"/>
      <x:c r="I816" s="12" t="n"/>
      <x:c r="J816" s="12" t="n"/>
      <x:c r="K816" s="12" t="n"/>
      <x:c r="L816" s="11" t="n"/>
      <x:c r="M816" s="9" t="n"/>
      <x:c r="N816" s="12" t="n"/>
      <x:c r="O816" s="6">
        <x:f>IF(N816="","",IFERROR(VLOOKUP(N816,Master_Data!$A$5:$C$8,3,FALSE),0))</x:f>
      </x:c>
      <x:c r="P816" s="7">
        <x:f>IF(M816="","",M816*O816)</x:f>
      </x:c>
      <x:c r="Q816" s="7">
        <x:f>IF(M816="","",M816+P816)</x:f>
      </x:c>
      <x:c r="R816" s="7">
        <x:f>IF(K816&lt;&gt;"Paid",0,IF(C816="Income",Q816,-Q816))</x:f>
      </x:c>
      <x:c r="S816" s="14">
        <x:f>IF(A816="","",DATE(YEAR(A816),MONTH(A816),1))</x:f>
      </x:c>
      <x:c r="T816" s="14">
        <x:f>IF(L816="","",DATE(YEAR(L816),MONTH(L816),1))</x:f>
      </x:c>
    </x:row>
    <x:row r="817">
      <x:c r="A817" s="11" t="n"/>
      <x:c r="B817" s="5" t="n"/>
      <x:c r="C817" s="12" t="n"/>
      <x:c r="D817" s="12" t="n"/>
      <x:c r="E817" s="12" t="n"/>
      <x:c r="F817" s="12" t="n"/>
      <x:c r="G817" s="13">
        <x:f>IF(F817="","",IFERROR(VLOOKUP(F817,Master_Data!$E$24:$G$33,2,FALSE),"9999"))</x:f>
      </x:c>
      <x:c r="H817" s="12" t="n"/>
      <x:c r="I817" s="12" t="n"/>
      <x:c r="J817" s="12" t="n"/>
      <x:c r="K817" s="12" t="n"/>
      <x:c r="L817" s="11" t="n"/>
      <x:c r="M817" s="9" t="n"/>
      <x:c r="N817" s="12" t="n"/>
      <x:c r="O817" s="6">
        <x:f>IF(N817="","",IFERROR(VLOOKUP(N817,Master_Data!$A$5:$C$8,3,FALSE),0))</x:f>
      </x:c>
      <x:c r="P817" s="7">
        <x:f>IF(M817="","",M817*O817)</x:f>
      </x:c>
      <x:c r="Q817" s="7">
        <x:f>IF(M817="","",M817+P817)</x:f>
      </x:c>
      <x:c r="R817" s="7">
        <x:f>IF(K817&lt;&gt;"Paid",0,IF(C817="Income",Q817,-Q817))</x:f>
      </x:c>
      <x:c r="S817" s="14">
        <x:f>IF(A817="","",DATE(YEAR(A817),MONTH(A817),1))</x:f>
      </x:c>
      <x:c r="T817" s="14">
        <x:f>IF(L817="","",DATE(YEAR(L817),MONTH(L817),1))</x:f>
      </x:c>
    </x:row>
    <x:row r="818">
      <x:c r="A818" s="11" t="n"/>
      <x:c r="B818" s="5" t="n"/>
      <x:c r="C818" s="12" t="n"/>
      <x:c r="D818" s="12" t="n"/>
      <x:c r="E818" s="12" t="n"/>
      <x:c r="F818" s="12" t="n"/>
      <x:c r="G818" s="13">
        <x:f>IF(F818="","",IFERROR(VLOOKUP(F818,Master_Data!$E$24:$G$33,2,FALSE),"9999"))</x:f>
      </x:c>
      <x:c r="H818" s="12" t="n"/>
      <x:c r="I818" s="12" t="n"/>
      <x:c r="J818" s="12" t="n"/>
      <x:c r="K818" s="12" t="n"/>
      <x:c r="L818" s="11" t="n"/>
      <x:c r="M818" s="9" t="n"/>
      <x:c r="N818" s="12" t="n"/>
      <x:c r="O818" s="6">
        <x:f>IF(N818="","",IFERROR(VLOOKUP(N818,Master_Data!$A$5:$C$8,3,FALSE),0))</x:f>
      </x:c>
      <x:c r="P818" s="7">
        <x:f>IF(M818="","",M818*O818)</x:f>
      </x:c>
      <x:c r="Q818" s="7">
        <x:f>IF(M818="","",M818+P818)</x:f>
      </x:c>
      <x:c r="R818" s="7">
        <x:f>IF(K818&lt;&gt;"Paid",0,IF(C818="Income",Q818,-Q818))</x:f>
      </x:c>
      <x:c r="S818" s="14">
        <x:f>IF(A818="","",DATE(YEAR(A818),MONTH(A818),1))</x:f>
      </x:c>
      <x:c r="T818" s="14">
        <x:f>IF(L818="","",DATE(YEAR(L818),MONTH(L818),1))</x:f>
      </x:c>
    </x:row>
    <x:row r="819">
      <x:c r="A819" s="11" t="n"/>
      <x:c r="B819" s="5" t="n"/>
      <x:c r="C819" s="12" t="n"/>
      <x:c r="D819" s="12" t="n"/>
      <x:c r="E819" s="12" t="n"/>
      <x:c r="F819" s="12" t="n"/>
      <x:c r="G819" s="13">
        <x:f>IF(F819="","",IFERROR(VLOOKUP(F819,Master_Data!$E$24:$G$33,2,FALSE),"9999"))</x:f>
      </x:c>
      <x:c r="H819" s="12" t="n"/>
      <x:c r="I819" s="12" t="n"/>
      <x:c r="J819" s="12" t="n"/>
      <x:c r="K819" s="12" t="n"/>
      <x:c r="L819" s="11" t="n"/>
      <x:c r="M819" s="9" t="n"/>
      <x:c r="N819" s="12" t="n"/>
      <x:c r="O819" s="6">
        <x:f>IF(N819="","",IFERROR(VLOOKUP(N819,Master_Data!$A$5:$C$8,3,FALSE),0))</x:f>
      </x:c>
      <x:c r="P819" s="7">
        <x:f>IF(M819="","",M819*O819)</x:f>
      </x:c>
      <x:c r="Q819" s="7">
        <x:f>IF(M819="","",M819+P819)</x:f>
      </x:c>
      <x:c r="R819" s="7">
        <x:f>IF(K819&lt;&gt;"Paid",0,IF(C819="Income",Q819,-Q819))</x:f>
      </x:c>
      <x:c r="S819" s="14">
        <x:f>IF(A819="","",DATE(YEAR(A819),MONTH(A819),1))</x:f>
      </x:c>
      <x:c r="T819" s="14">
        <x:f>IF(L819="","",DATE(YEAR(L819),MONTH(L819),1))</x:f>
      </x:c>
    </x:row>
    <x:row r="820">
      <x:c r="A820" s="11" t="n"/>
      <x:c r="B820" s="5" t="n"/>
      <x:c r="C820" s="12" t="n"/>
      <x:c r="D820" s="12" t="n"/>
      <x:c r="E820" s="12" t="n"/>
      <x:c r="F820" s="12" t="n"/>
      <x:c r="G820" s="13">
        <x:f>IF(F820="","",IFERROR(VLOOKUP(F820,Master_Data!$E$24:$G$33,2,FALSE),"9999"))</x:f>
      </x:c>
      <x:c r="H820" s="12" t="n"/>
      <x:c r="I820" s="12" t="n"/>
      <x:c r="J820" s="12" t="n"/>
      <x:c r="K820" s="12" t="n"/>
      <x:c r="L820" s="11" t="n"/>
      <x:c r="M820" s="9" t="n"/>
      <x:c r="N820" s="12" t="n"/>
      <x:c r="O820" s="6">
        <x:f>IF(N820="","",IFERROR(VLOOKUP(N820,Master_Data!$A$5:$C$8,3,FALSE),0))</x:f>
      </x:c>
      <x:c r="P820" s="7">
        <x:f>IF(M820="","",M820*O820)</x:f>
      </x:c>
      <x:c r="Q820" s="7">
        <x:f>IF(M820="","",M820+P820)</x:f>
      </x:c>
      <x:c r="R820" s="7">
        <x:f>IF(K820&lt;&gt;"Paid",0,IF(C820="Income",Q820,-Q820))</x:f>
      </x:c>
      <x:c r="S820" s="14">
        <x:f>IF(A820="","",DATE(YEAR(A820),MONTH(A820),1))</x:f>
      </x:c>
      <x:c r="T820" s="14">
        <x:f>IF(L820="","",DATE(YEAR(L820),MONTH(L820),1))</x:f>
      </x:c>
    </x:row>
    <x:row r="821">
      <x:c r="A821" s="11" t="n"/>
      <x:c r="B821" s="5" t="n"/>
      <x:c r="C821" s="12" t="n"/>
      <x:c r="D821" s="12" t="n"/>
      <x:c r="E821" s="12" t="n"/>
      <x:c r="F821" s="12" t="n"/>
      <x:c r="G821" s="13">
        <x:f>IF(F821="","",IFERROR(VLOOKUP(F821,Master_Data!$E$24:$G$33,2,FALSE),"9999"))</x:f>
      </x:c>
      <x:c r="H821" s="12" t="n"/>
      <x:c r="I821" s="12" t="n"/>
      <x:c r="J821" s="12" t="n"/>
      <x:c r="K821" s="12" t="n"/>
      <x:c r="L821" s="11" t="n"/>
      <x:c r="M821" s="9" t="n"/>
      <x:c r="N821" s="12" t="n"/>
      <x:c r="O821" s="6">
        <x:f>IF(N821="","",IFERROR(VLOOKUP(N821,Master_Data!$A$5:$C$8,3,FALSE),0))</x:f>
      </x:c>
      <x:c r="P821" s="7">
        <x:f>IF(M821="","",M821*O821)</x:f>
      </x:c>
      <x:c r="Q821" s="7">
        <x:f>IF(M821="","",M821+P821)</x:f>
      </x:c>
      <x:c r="R821" s="7">
        <x:f>IF(K821&lt;&gt;"Paid",0,IF(C821="Income",Q821,-Q821))</x:f>
      </x:c>
      <x:c r="S821" s="14">
        <x:f>IF(A821="","",DATE(YEAR(A821),MONTH(A821),1))</x:f>
      </x:c>
      <x:c r="T821" s="14">
        <x:f>IF(L821="","",DATE(YEAR(L821),MONTH(L821),1))</x:f>
      </x:c>
    </x:row>
    <x:row r="822">
      <x:c r="A822" s="11" t="n"/>
      <x:c r="B822" s="5" t="n"/>
      <x:c r="C822" s="12" t="n"/>
      <x:c r="D822" s="12" t="n"/>
      <x:c r="E822" s="12" t="n"/>
      <x:c r="F822" s="12" t="n"/>
      <x:c r="G822" s="13">
        <x:f>IF(F822="","",IFERROR(VLOOKUP(F822,Master_Data!$E$24:$G$33,2,FALSE),"9999"))</x:f>
      </x:c>
      <x:c r="H822" s="12" t="n"/>
      <x:c r="I822" s="12" t="n"/>
      <x:c r="J822" s="12" t="n"/>
      <x:c r="K822" s="12" t="n"/>
      <x:c r="L822" s="11" t="n"/>
      <x:c r="M822" s="9" t="n"/>
      <x:c r="N822" s="12" t="n"/>
      <x:c r="O822" s="6">
        <x:f>IF(N822="","",IFERROR(VLOOKUP(N822,Master_Data!$A$5:$C$8,3,FALSE),0))</x:f>
      </x:c>
      <x:c r="P822" s="7">
        <x:f>IF(M822="","",M822*O822)</x:f>
      </x:c>
      <x:c r="Q822" s="7">
        <x:f>IF(M822="","",M822+P822)</x:f>
      </x:c>
      <x:c r="R822" s="7">
        <x:f>IF(K822&lt;&gt;"Paid",0,IF(C822="Income",Q822,-Q822))</x:f>
      </x:c>
      <x:c r="S822" s="14">
        <x:f>IF(A822="","",DATE(YEAR(A822),MONTH(A822),1))</x:f>
      </x:c>
      <x:c r="T822" s="14">
        <x:f>IF(L822="","",DATE(YEAR(L822),MONTH(L822),1))</x:f>
      </x:c>
    </x:row>
    <x:row r="823">
      <x:c r="A823" s="11" t="n"/>
      <x:c r="B823" s="5" t="n"/>
      <x:c r="C823" s="12" t="n"/>
      <x:c r="D823" s="12" t="n"/>
      <x:c r="E823" s="12" t="n"/>
      <x:c r="F823" s="12" t="n"/>
      <x:c r="G823" s="13">
        <x:f>IF(F823="","",IFERROR(VLOOKUP(F823,Master_Data!$E$24:$G$33,2,FALSE),"9999"))</x:f>
      </x:c>
      <x:c r="H823" s="12" t="n"/>
      <x:c r="I823" s="12" t="n"/>
      <x:c r="J823" s="12" t="n"/>
      <x:c r="K823" s="12" t="n"/>
      <x:c r="L823" s="11" t="n"/>
      <x:c r="M823" s="9" t="n"/>
      <x:c r="N823" s="12" t="n"/>
      <x:c r="O823" s="6">
        <x:f>IF(N823="","",IFERROR(VLOOKUP(N823,Master_Data!$A$5:$C$8,3,FALSE),0))</x:f>
      </x:c>
      <x:c r="P823" s="7">
        <x:f>IF(M823="","",M823*O823)</x:f>
      </x:c>
      <x:c r="Q823" s="7">
        <x:f>IF(M823="","",M823+P823)</x:f>
      </x:c>
      <x:c r="R823" s="7">
        <x:f>IF(K823&lt;&gt;"Paid",0,IF(C823="Income",Q823,-Q823))</x:f>
      </x:c>
      <x:c r="S823" s="14">
        <x:f>IF(A823="","",DATE(YEAR(A823),MONTH(A823),1))</x:f>
      </x:c>
      <x:c r="T823" s="14">
        <x:f>IF(L823="","",DATE(YEAR(L823),MONTH(L823),1))</x:f>
      </x:c>
    </x:row>
    <x:row r="824">
      <x:c r="A824" s="11" t="n"/>
      <x:c r="B824" s="5" t="n"/>
      <x:c r="C824" s="12" t="n"/>
      <x:c r="D824" s="12" t="n"/>
      <x:c r="E824" s="12" t="n"/>
      <x:c r="F824" s="12" t="n"/>
      <x:c r="G824" s="13">
        <x:f>IF(F824="","",IFERROR(VLOOKUP(F824,Master_Data!$E$24:$G$33,2,FALSE),"9999"))</x:f>
      </x:c>
      <x:c r="H824" s="12" t="n"/>
      <x:c r="I824" s="12" t="n"/>
      <x:c r="J824" s="12" t="n"/>
      <x:c r="K824" s="12" t="n"/>
      <x:c r="L824" s="11" t="n"/>
      <x:c r="M824" s="9" t="n"/>
      <x:c r="N824" s="12" t="n"/>
      <x:c r="O824" s="6">
        <x:f>IF(N824="","",IFERROR(VLOOKUP(N824,Master_Data!$A$5:$C$8,3,FALSE),0))</x:f>
      </x:c>
      <x:c r="P824" s="7">
        <x:f>IF(M824="","",M824*O824)</x:f>
      </x:c>
      <x:c r="Q824" s="7">
        <x:f>IF(M824="","",M824+P824)</x:f>
      </x:c>
      <x:c r="R824" s="7">
        <x:f>IF(K824&lt;&gt;"Paid",0,IF(C824="Income",Q824,-Q824))</x:f>
      </x:c>
      <x:c r="S824" s="14">
        <x:f>IF(A824="","",DATE(YEAR(A824),MONTH(A824),1))</x:f>
      </x:c>
      <x:c r="T824" s="14">
        <x:f>IF(L824="","",DATE(YEAR(L824),MONTH(L824),1))</x:f>
      </x:c>
    </x:row>
    <x:row r="825">
      <x:c r="A825" s="11" t="n"/>
      <x:c r="B825" s="5" t="n"/>
      <x:c r="C825" s="12" t="n"/>
      <x:c r="D825" s="12" t="n"/>
      <x:c r="E825" s="12" t="n"/>
      <x:c r="F825" s="12" t="n"/>
      <x:c r="G825" s="13">
        <x:f>IF(F825="","",IFERROR(VLOOKUP(F825,Master_Data!$E$24:$G$33,2,FALSE),"9999"))</x:f>
      </x:c>
      <x:c r="H825" s="12" t="n"/>
      <x:c r="I825" s="12" t="n"/>
      <x:c r="J825" s="12" t="n"/>
      <x:c r="K825" s="12" t="n"/>
      <x:c r="L825" s="11" t="n"/>
      <x:c r="M825" s="9" t="n"/>
      <x:c r="N825" s="12" t="n"/>
      <x:c r="O825" s="6">
        <x:f>IF(N825="","",IFERROR(VLOOKUP(N825,Master_Data!$A$5:$C$8,3,FALSE),0))</x:f>
      </x:c>
      <x:c r="P825" s="7">
        <x:f>IF(M825="","",M825*O825)</x:f>
      </x:c>
      <x:c r="Q825" s="7">
        <x:f>IF(M825="","",M825+P825)</x:f>
      </x:c>
      <x:c r="R825" s="7">
        <x:f>IF(K825&lt;&gt;"Paid",0,IF(C825="Income",Q825,-Q825))</x:f>
      </x:c>
      <x:c r="S825" s="14">
        <x:f>IF(A825="","",DATE(YEAR(A825),MONTH(A825),1))</x:f>
      </x:c>
      <x:c r="T825" s="14">
        <x:f>IF(L825="","",DATE(YEAR(L825),MONTH(L825),1))</x:f>
      </x:c>
    </x:row>
    <x:row r="826">
      <x:c r="A826" s="11" t="n"/>
      <x:c r="B826" s="5" t="n"/>
      <x:c r="C826" s="12" t="n"/>
      <x:c r="D826" s="12" t="n"/>
      <x:c r="E826" s="12" t="n"/>
      <x:c r="F826" s="12" t="n"/>
      <x:c r="G826" s="13">
        <x:f>IF(F826="","",IFERROR(VLOOKUP(F826,Master_Data!$E$24:$G$33,2,FALSE),"9999"))</x:f>
      </x:c>
      <x:c r="H826" s="12" t="n"/>
      <x:c r="I826" s="12" t="n"/>
      <x:c r="J826" s="12" t="n"/>
      <x:c r="K826" s="12" t="n"/>
      <x:c r="L826" s="11" t="n"/>
      <x:c r="M826" s="9" t="n"/>
      <x:c r="N826" s="12" t="n"/>
      <x:c r="O826" s="6">
        <x:f>IF(N826="","",IFERROR(VLOOKUP(N826,Master_Data!$A$5:$C$8,3,FALSE),0))</x:f>
      </x:c>
      <x:c r="P826" s="7">
        <x:f>IF(M826="","",M826*O826)</x:f>
      </x:c>
      <x:c r="Q826" s="7">
        <x:f>IF(M826="","",M826+P826)</x:f>
      </x:c>
      <x:c r="R826" s="7">
        <x:f>IF(K826&lt;&gt;"Paid",0,IF(C826="Income",Q826,-Q826))</x:f>
      </x:c>
      <x:c r="S826" s="14">
        <x:f>IF(A826="","",DATE(YEAR(A826),MONTH(A826),1))</x:f>
      </x:c>
      <x:c r="T826" s="14">
        <x:f>IF(L826="","",DATE(YEAR(L826),MONTH(L826),1))</x:f>
      </x:c>
    </x:row>
    <x:row r="827">
      <x:c r="A827" s="11" t="n"/>
      <x:c r="B827" s="5" t="n"/>
      <x:c r="C827" s="12" t="n"/>
      <x:c r="D827" s="12" t="n"/>
      <x:c r="E827" s="12" t="n"/>
      <x:c r="F827" s="12" t="n"/>
      <x:c r="G827" s="13">
        <x:f>IF(F827="","",IFERROR(VLOOKUP(F827,Master_Data!$E$24:$G$33,2,FALSE),"9999"))</x:f>
      </x:c>
      <x:c r="H827" s="12" t="n"/>
      <x:c r="I827" s="12" t="n"/>
      <x:c r="J827" s="12" t="n"/>
      <x:c r="K827" s="12" t="n"/>
      <x:c r="L827" s="11" t="n"/>
      <x:c r="M827" s="9" t="n"/>
      <x:c r="N827" s="12" t="n"/>
      <x:c r="O827" s="6">
        <x:f>IF(N827="","",IFERROR(VLOOKUP(N827,Master_Data!$A$5:$C$8,3,FALSE),0))</x:f>
      </x:c>
      <x:c r="P827" s="7">
        <x:f>IF(M827="","",M827*O827)</x:f>
      </x:c>
      <x:c r="Q827" s="7">
        <x:f>IF(M827="","",M827+P827)</x:f>
      </x:c>
      <x:c r="R827" s="7">
        <x:f>IF(K827&lt;&gt;"Paid",0,IF(C827="Income",Q827,-Q827))</x:f>
      </x:c>
      <x:c r="S827" s="14">
        <x:f>IF(A827="","",DATE(YEAR(A827),MONTH(A827),1))</x:f>
      </x:c>
      <x:c r="T827" s="14">
        <x:f>IF(L827="","",DATE(YEAR(L827),MONTH(L827),1))</x:f>
      </x:c>
    </x:row>
    <x:row r="828">
      <x:c r="A828" s="11" t="n"/>
      <x:c r="B828" s="5" t="n"/>
      <x:c r="C828" s="12" t="n"/>
      <x:c r="D828" s="12" t="n"/>
      <x:c r="E828" s="12" t="n"/>
      <x:c r="F828" s="12" t="n"/>
      <x:c r="G828" s="13">
        <x:f>IF(F828="","",IFERROR(VLOOKUP(F828,Master_Data!$E$24:$G$33,2,FALSE),"9999"))</x:f>
      </x:c>
      <x:c r="H828" s="12" t="n"/>
      <x:c r="I828" s="12" t="n"/>
      <x:c r="J828" s="12" t="n"/>
      <x:c r="K828" s="12" t="n"/>
      <x:c r="L828" s="11" t="n"/>
      <x:c r="M828" s="9" t="n"/>
      <x:c r="N828" s="12" t="n"/>
      <x:c r="O828" s="6">
        <x:f>IF(N828="","",IFERROR(VLOOKUP(N828,Master_Data!$A$5:$C$8,3,FALSE),0))</x:f>
      </x:c>
      <x:c r="P828" s="7">
        <x:f>IF(M828="","",M828*O828)</x:f>
      </x:c>
      <x:c r="Q828" s="7">
        <x:f>IF(M828="","",M828+P828)</x:f>
      </x:c>
      <x:c r="R828" s="7">
        <x:f>IF(K828&lt;&gt;"Paid",0,IF(C828="Income",Q828,-Q828))</x:f>
      </x:c>
      <x:c r="S828" s="14">
        <x:f>IF(A828="","",DATE(YEAR(A828),MONTH(A828),1))</x:f>
      </x:c>
      <x:c r="T828" s="14">
        <x:f>IF(L828="","",DATE(YEAR(L828),MONTH(L828),1))</x:f>
      </x:c>
    </x:row>
    <x:row r="829">
      <x:c r="A829" s="11" t="n"/>
      <x:c r="B829" s="5" t="n"/>
      <x:c r="C829" s="12" t="n"/>
      <x:c r="D829" s="12" t="n"/>
      <x:c r="E829" s="12" t="n"/>
      <x:c r="F829" s="12" t="n"/>
      <x:c r="G829" s="13">
        <x:f>IF(F829="","",IFERROR(VLOOKUP(F829,Master_Data!$E$24:$G$33,2,FALSE),"9999"))</x:f>
      </x:c>
      <x:c r="H829" s="12" t="n"/>
      <x:c r="I829" s="12" t="n"/>
      <x:c r="J829" s="12" t="n"/>
      <x:c r="K829" s="12" t="n"/>
      <x:c r="L829" s="11" t="n"/>
      <x:c r="M829" s="9" t="n"/>
      <x:c r="N829" s="12" t="n"/>
      <x:c r="O829" s="6">
        <x:f>IF(N829="","",IFERROR(VLOOKUP(N829,Master_Data!$A$5:$C$8,3,FALSE),0))</x:f>
      </x:c>
      <x:c r="P829" s="7">
        <x:f>IF(M829="","",M829*O829)</x:f>
      </x:c>
      <x:c r="Q829" s="7">
        <x:f>IF(M829="","",M829+P829)</x:f>
      </x:c>
      <x:c r="R829" s="7">
        <x:f>IF(K829&lt;&gt;"Paid",0,IF(C829="Income",Q829,-Q829))</x:f>
      </x:c>
      <x:c r="S829" s="14">
        <x:f>IF(A829="","",DATE(YEAR(A829),MONTH(A829),1))</x:f>
      </x:c>
      <x:c r="T829" s="14">
        <x:f>IF(L829="","",DATE(YEAR(L829),MONTH(L829),1))</x:f>
      </x:c>
    </x:row>
    <x:row r="830">
      <x:c r="A830" s="11" t="n"/>
      <x:c r="B830" s="5" t="n"/>
      <x:c r="C830" s="12" t="n"/>
      <x:c r="D830" s="12" t="n"/>
      <x:c r="E830" s="12" t="n"/>
      <x:c r="F830" s="12" t="n"/>
      <x:c r="G830" s="13">
        <x:f>IF(F830="","",IFERROR(VLOOKUP(F830,Master_Data!$E$24:$G$33,2,FALSE),"9999"))</x:f>
      </x:c>
      <x:c r="H830" s="12" t="n"/>
      <x:c r="I830" s="12" t="n"/>
      <x:c r="J830" s="12" t="n"/>
      <x:c r="K830" s="12" t="n"/>
      <x:c r="L830" s="11" t="n"/>
      <x:c r="M830" s="9" t="n"/>
      <x:c r="N830" s="12" t="n"/>
      <x:c r="O830" s="6">
        <x:f>IF(N830="","",IFERROR(VLOOKUP(N830,Master_Data!$A$5:$C$8,3,FALSE),0))</x:f>
      </x:c>
      <x:c r="P830" s="7">
        <x:f>IF(M830="","",M830*O830)</x:f>
      </x:c>
      <x:c r="Q830" s="7">
        <x:f>IF(M830="","",M830+P830)</x:f>
      </x:c>
      <x:c r="R830" s="7">
        <x:f>IF(K830&lt;&gt;"Paid",0,IF(C830="Income",Q830,-Q830))</x:f>
      </x:c>
      <x:c r="S830" s="14">
        <x:f>IF(A830="","",DATE(YEAR(A830),MONTH(A830),1))</x:f>
      </x:c>
      <x:c r="T830" s="14">
        <x:f>IF(L830="","",DATE(YEAR(L830),MONTH(L830),1))</x:f>
      </x:c>
    </x:row>
    <x:row r="831">
      <x:c r="A831" s="11" t="n"/>
      <x:c r="B831" s="5" t="n"/>
      <x:c r="C831" s="12" t="n"/>
      <x:c r="D831" s="12" t="n"/>
      <x:c r="E831" s="12" t="n"/>
      <x:c r="F831" s="12" t="n"/>
      <x:c r="G831" s="13">
        <x:f>IF(F831="","",IFERROR(VLOOKUP(F831,Master_Data!$E$24:$G$33,2,FALSE),"9999"))</x:f>
      </x:c>
      <x:c r="H831" s="12" t="n"/>
      <x:c r="I831" s="12" t="n"/>
      <x:c r="J831" s="12" t="n"/>
      <x:c r="K831" s="12" t="n"/>
      <x:c r="L831" s="11" t="n"/>
      <x:c r="M831" s="9" t="n"/>
      <x:c r="N831" s="12" t="n"/>
      <x:c r="O831" s="6">
        <x:f>IF(N831="","",IFERROR(VLOOKUP(N831,Master_Data!$A$5:$C$8,3,FALSE),0))</x:f>
      </x:c>
      <x:c r="P831" s="7">
        <x:f>IF(M831="","",M831*O831)</x:f>
      </x:c>
      <x:c r="Q831" s="7">
        <x:f>IF(M831="","",M831+P831)</x:f>
      </x:c>
      <x:c r="R831" s="7">
        <x:f>IF(K831&lt;&gt;"Paid",0,IF(C831="Income",Q831,-Q831))</x:f>
      </x:c>
      <x:c r="S831" s="14">
        <x:f>IF(A831="","",DATE(YEAR(A831),MONTH(A831),1))</x:f>
      </x:c>
      <x:c r="T831" s="14">
        <x:f>IF(L831="","",DATE(YEAR(L831),MONTH(L831),1))</x:f>
      </x:c>
    </x:row>
    <x:row r="832">
      <x:c r="A832" s="11" t="n"/>
      <x:c r="B832" s="5" t="n"/>
      <x:c r="C832" s="12" t="n"/>
      <x:c r="D832" s="12" t="n"/>
      <x:c r="E832" s="12" t="n"/>
      <x:c r="F832" s="12" t="n"/>
      <x:c r="G832" s="13">
        <x:f>IF(F832="","",IFERROR(VLOOKUP(F832,Master_Data!$E$24:$G$33,2,FALSE),"9999"))</x:f>
      </x:c>
      <x:c r="H832" s="12" t="n"/>
      <x:c r="I832" s="12" t="n"/>
      <x:c r="J832" s="12" t="n"/>
      <x:c r="K832" s="12" t="n"/>
      <x:c r="L832" s="11" t="n"/>
      <x:c r="M832" s="9" t="n"/>
      <x:c r="N832" s="12" t="n"/>
      <x:c r="O832" s="6">
        <x:f>IF(N832="","",IFERROR(VLOOKUP(N832,Master_Data!$A$5:$C$8,3,FALSE),0))</x:f>
      </x:c>
      <x:c r="P832" s="7">
        <x:f>IF(M832="","",M832*O832)</x:f>
      </x:c>
      <x:c r="Q832" s="7">
        <x:f>IF(M832="","",M832+P832)</x:f>
      </x:c>
      <x:c r="R832" s="7">
        <x:f>IF(K832&lt;&gt;"Paid",0,IF(C832="Income",Q832,-Q832))</x:f>
      </x:c>
      <x:c r="S832" s="14">
        <x:f>IF(A832="","",DATE(YEAR(A832),MONTH(A832),1))</x:f>
      </x:c>
      <x:c r="T832" s="14">
        <x:f>IF(L832="","",DATE(YEAR(L832),MONTH(L832),1))</x:f>
      </x:c>
    </x:row>
    <x:row r="833">
      <x:c r="A833" s="11" t="n"/>
      <x:c r="B833" s="5" t="n"/>
      <x:c r="C833" s="12" t="n"/>
      <x:c r="D833" s="12" t="n"/>
      <x:c r="E833" s="12" t="n"/>
      <x:c r="F833" s="12" t="n"/>
      <x:c r="G833" s="13">
        <x:f>IF(F833="","",IFERROR(VLOOKUP(F833,Master_Data!$E$24:$G$33,2,FALSE),"9999"))</x:f>
      </x:c>
      <x:c r="H833" s="12" t="n"/>
      <x:c r="I833" s="12" t="n"/>
      <x:c r="J833" s="12" t="n"/>
      <x:c r="K833" s="12" t="n"/>
      <x:c r="L833" s="11" t="n"/>
      <x:c r="M833" s="9" t="n"/>
      <x:c r="N833" s="12" t="n"/>
      <x:c r="O833" s="6">
        <x:f>IF(N833="","",IFERROR(VLOOKUP(N833,Master_Data!$A$5:$C$8,3,FALSE),0))</x:f>
      </x:c>
      <x:c r="P833" s="7">
        <x:f>IF(M833="","",M833*O833)</x:f>
      </x:c>
      <x:c r="Q833" s="7">
        <x:f>IF(M833="","",M833+P833)</x:f>
      </x:c>
      <x:c r="R833" s="7">
        <x:f>IF(K833&lt;&gt;"Paid",0,IF(C833="Income",Q833,-Q833))</x:f>
      </x:c>
      <x:c r="S833" s="14">
        <x:f>IF(A833="","",DATE(YEAR(A833),MONTH(A833),1))</x:f>
      </x:c>
      <x:c r="T833" s="14">
        <x:f>IF(L833="","",DATE(YEAR(L833),MONTH(L833),1))</x:f>
      </x:c>
    </x:row>
    <x:row r="834">
      <x:c r="A834" s="11" t="n"/>
      <x:c r="B834" s="5" t="n"/>
      <x:c r="C834" s="12" t="n"/>
      <x:c r="D834" s="12" t="n"/>
      <x:c r="E834" s="12" t="n"/>
      <x:c r="F834" s="12" t="n"/>
      <x:c r="G834" s="13">
        <x:f>IF(F834="","",IFERROR(VLOOKUP(F834,Master_Data!$E$24:$G$33,2,FALSE),"9999"))</x:f>
      </x:c>
      <x:c r="H834" s="12" t="n"/>
      <x:c r="I834" s="12" t="n"/>
      <x:c r="J834" s="12" t="n"/>
      <x:c r="K834" s="12" t="n"/>
      <x:c r="L834" s="11" t="n"/>
      <x:c r="M834" s="9" t="n"/>
      <x:c r="N834" s="12" t="n"/>
      <x:c r="O834" s="6">
        <x:f>IF(N834="","",IFERROR(VLOOKUP(N834,Master_Data!$A$5:$C$8,3,FALSE),0))</x:f>
      </x:c>
      <x:c r="P834" s="7">
        <x:f>IF(M834="","",M834*O834)</x:f>
      </x:c>
      <x:c r="Q834" s="7">
        <x:f>IF(M834="","",M834+P834)</x:f>
      </x:c>
      <x:c r="R834" s="7">
        <x:f>IF(K834&lt;&gt;"Paid",0,IF(C834="Income",Q834,-Q834))</x:f>
      </x:c>
      <x:c r="S834" s="14">
        <x:f>IF(A834="","",DATE(YEAR(A834),MONTH(A834),1))</x:f>
      </x:c>
      <x:c r="T834" s="14">
        <x:f>IF(L834="","",DATE(YEAR(L834),MONTH(L834),1))</x:f>
      </x:c>
    </x:row>
    <x:row r="835">
      <x:c r="A835" s="11" t="n"/>
      <x:c r="B835" s="5" t="n"/>
      <x:c r="C835" s="12" t="n"/>
      <x:c r="D835" s="12" t="n"/>
      <x:c r="E835" s="12" t="n"/>
      <x:c r="F835" s="12" t="n"/>
      <x:c r="G835" s="13">
        <x:f>IF(F835="","",IFERROR(VLOOKUP(F835,Master_Data!$E$24:$G$33,2,FALSE),"9999"))</x:f>
      </x:c>
      <x:c r="H835" s="12" t="n"/>
      <x:c r="I835" s="12" t="n"/>
      <x:c r="J835" s="12" t="n"/>
      <x:c r="K835" s="12" t="n"/>
      <x:c r="L835" s="11" t="n"/>
      <x:c r="M835" s="9" t="n"/>
      <x:c r="N835" s="12" t="n"/>
      <x:c r="O835" s="6">
        <x:f>IF(N835="","",IFERROR(VLOOKUP(N835,Master_Data!$A$5:$C$8,3,FALSE),0))</x:f>
      </x:c>
      <x:c r="P835" s="7">
        <x:f>IF(M835="","",M835*O835)</x:f>
      </x:c>
      <x:c r="Q835" s="7">
        <x:f>IF(M835="","",M835+P835)</x:f>
      </x:c>
      <x:c r="R835" s="7">
        <x:f>IF(K835&lt;&gt;"Paid",0,IF(C835="Income",Q835,-Q835))</x:f>
      </x:c>
      <x:c r="S835" s="14">
        <x:f>IF(A835="","",DATE(YEAR(A835),MONTH(A835),1))</x:f>
      </x:c>
      <x:c r="T835" s="14">
        <x:f>IF(L835="","",DATE(YEAR(L835),MONTH(L835),1))</x:f>
      </x:c>
    </x:row>
    <x:row r="836">
      <x:c r="A836" s="11" t="n"/>
      <x:c r="B836" s="5" t="n"/>
      <x:c r="C836" s="12" t="n"/>
      <x:c r="D836" s="12" t="n"/>
      <x:c r="E836" s="12" t="n"/>
      <x:c r="F836" s="12" t="n"/>
      <x:c r="G836" s="13">
        <x:f>IF(F836="","",IFERROR(VLOOKUP(F836,Master_Data!$E$24:$G$33,2,FALSE),"9999"))</x:f>
      </x:c>
      <x:c r="H836" s="12" t="n"/>
      <x:c r="I836" s="12" t="n"/>
      <x:c r="J836" s="12" t="n"/>
      <x:c r="K836" s="12" t="n"/>
      <x:c r="L836" s="11" t="n"/>
      <x:c r="M836" s="9" t="n"/>
      <x:c r="N836" s="12" t="n"/>
      <x:c r="O836" s="6">
        <x:f>IF(N836="","",IFERROR(VLOOKUP(N836,Master_Data!$A$5:$C$8,3,FALSE),0))</x:f>
      </x:c>
      <x:c r="P836" s="7">
        <x:f>IF(M836="","",M836*O836)</x:f>
      </x:c>
      <x:c r="Q836" s="7">
        <x:f>IF(M836="","",M836+P836)</x:f>
      </x:c>
      <x:c r="R836" s="7">
        <x:f>IF(K836&lt;&gt;"Paid",0,IF(C836="Income",Q836,-Q836))</x:f>
      </x:c>
      <x:c r="S836" s="14">
        <x:f>IF(A836="","",DATE(YEAR(A836),MONTH(A836),1))</x:f>
      </x:c>
      <x:c r="T836" s="14">
        <x:f>IF(L836="","",DATE(YEAR(L836),MONTH(L836),1))</x:f>
      </x:c>
    </x:row>
    <x:row r="837">
      <x:c r="A837" s="11" t="n"/>
      <x:c r="B837" s="5" t="n"/>
      <x:c r="C837" s="12" t="n"/>
      <x:c r="D837" s="12" t="n"/>
      <x:c r="E837" s="12" t="n"/>
      <x:c r="F837" s="12" t="n"/>
      <x:c r="G837" s="13">
        <x:f>IF(F837="","",IFERROR(VLOOKUP(F837,Master_Data!$E$24:$G$33,2,FALSE),"9999"))</x:f>
      </x:c>
      <x:c r="H837" s="12" t="n"/>
      <x:c r="I837" s="12" t="n"/>
      <x:c r="J837" s="12" t="n"/>
      <x:c r="K837" s="12" t="n"/>
      <x:c r="L837" s="11" t="n"/>
      <x:c r="M837" s="9" t="n"/>
      <x:c r="N837" s="12" t="n"/>
      <x:c r="O837" s="6">
        <x:f>IF(N837="","",IFERROR(VLOOKUP(N837,Master_Data!$A$5:$C$8,3,FALSE),0))</x:f>
      </x:c>
      <x:c r="P837" s="7">
        <x:f>IF(M837="","",M837*O837)</x:f>
      </x:c>
      <x:c r="Q837" s="7">
        <x:f>IF(M837="","",M837+P837)</x:f>
      </x:c>
      <x:c r="R837" s="7">
        <x:f>IF(K837&lt;&gt;"Paid",0,IF(C837="Income",Q837,-Q837))</x:f>
      </x:c>
      <x:c r="S837" s="14">
        <x:f>IF(A837="","",DATE(YEAR(A837),MONTH(A837),1))</x:f>
      </x:c>
      <x:c r="T837" s="14">
        <x:f>IF(L837="","",DATE(YEAR(L837),MONTH(L837),1))</x:f>
      </x:c>
    </x:row>
    <x:row r="838">
      <x:c r="A838" s="11" t="n"/>
      <x:c r="B838" s="5" t="n"/>
      <x:c r="C838" s="12" t="n"/>
      <x:c r="D838" s="12" t="n"/>
      <x:c r="E838" s="12" t="n"/>
      <x:c r="F838" s="12" t="n"/>
      <x:c r="G838" s="13">
        <x:f>IF(F838="","",IFERROR(VLOOKUP(F838,Master_Data!$E$24:$G$33,2,FALSE),"9999"))</x:f>
      </x:c>
      <x:c r="H838" s="12" t="n"/>
      <x:c r="I838" s="12" t="n"/>
      <x:c r="J838" s="12" t="n"/>
      <x:c r="K838" s="12" t="n"/>
      <x:c r="L838" s="11" t="n"/>
      <x:c r="M838" s="9" t="n"/>
      <x:c r="N838" s="12" t="n"/>
      <x:c r="O838" s="6">
        <x:f>IF(N838="","",IFERROR(VLOOKUP(N838,Master_Data!$A$5:$C$8,3,FALSE),0))</x:f>
      </x:c>
      <x:c r="P838" s="7">
        <x:f>IF(M838="","",M838*O838)</x:f>
      </x:c>
      <x:c r="Q838" s="7">
        <x:f>IF(M838="","",M838+P838)</x:f>
      </x:c>
      <x:c r="R838" s="7">
        <x:f>IF(K838&lt;&gt;"Paid",0,IF(C838="Income",Q838,-Q838))</x:f>
      </x:c>
      <x:c r="S838" s="14">
        <x:f>IF(A838="","",DATE(YEAR(A838),MONTH(A838),1))</x:f>
      </x:c>
      <x:c r="T838" s="14">
        <x:f>IF(L838="","",DATE(YEAR(L838),MONTH(L838),1))</x:f>
      </x:c>
    </x:row>
    <x:row r="839">
      <x:c r="A839" s="11" t="n"/>
      <x:c r="B839" s="5" t="n"/>
      <x:c r="C839" s="12" t="n"/>
      <x:c r="D839" s="12" t="n"/>
      <x:c r="E839" s="12" t="n"/>
      <x:c r="F839" s="12" t="n"/>
      <x:c r="G839" s="13">
        <x:f>IF(F839="","",IFERROR(VLOOKUP(F839,Master_Data!$E$24:$G$33,2,FALSE),"9999"))</x:f>
      </x:c>
      <x:c r="H839" s="12" t="n"/>
      <x:c r="I839" s="12" t="n"/>
      <x:c r="J839" s="12" t="n"/>
      <x:c r="K839" s="12" t="n"/>
      <x:c r="L839" s="11" t="n"/>
      <x:c r="M839" s="9" t="n"/>
      <x:c r="N839" s="12" t="n"/>
      <x:c r="O839" s="6">
        <x:f>IF(N839="","",IFERROR(VLOOKUP(N839,Master_Data!$A$5:$C$8,3,FALSE),0))</x:f>
      </x:c>
      <x:c r="P839" s="7">
        <x:f>IF(M839="","",M839*O839)</x:f>
      </x:c>
      <x:c r="Q839" s="7">
        <x:f>IF(M839="","",M839+P839)</x:f>
      </x:c>
      <x:c r="R839" s="7">
        <x:f>IF(K839&lt;&gt;"Paid",0,IF(C839="Income",Q839,-Q839))</x:f>
      </x:c>
      <x:c r="S839" s="14">
        <x:f>IF(A839="","",DATE(YEAR(A839),MONTH(A839),1))</x:f>
      </x:c>
      <x:c r="T839" s="14">
        <x:f>IF(L839="","",DATE(YEAR(L839),MONTH(L839),1))</x:f>
      </x:c>
    </x:row>
    <x:row r="840">
      <x:c r="A840" s="11" t="n"/>
      <x:c r="B840" s="5" t="n"/>
      <x:c r="C840" s="12" t="n"/>
      <x:c r="D840" s="12" t="n"/>
      <x:c r="E840" s="12" t="n"/>
      <x:c r="F840" s="12" t="n"/>
      <x:c r="G840" s="13">
        <x:f>IF(F840="","",IFERROR(VLOOKUP(F840,Master_Data!$E$24:$G$33,2,FALSE),"9999"))</x:f>
      </x:c>
      <x:c r="H840" s="12" t="n"/>
      <x:c r="I840" s="12" t="n"/>
      <x:c r="J840" s="12" t="n"/>
      <x:c r="K840" s="12" t="n"/>
      <x:c r="L840" s="11" t="n"/>
      <x:c r="M840" s="9" t="n"/>
      <x:c r="N840" s="12" t="n"/>
      <x:c r="O840" s="6">
        <x:f>IF(N840="","",IFERROR(VLOOKUP(N840,Master_Data!$A$5:$C$8,3,FALSE),0))</x:f>
      </x:c>
      <x:c r="P840" s="7">
        <x:f>IF(M840="","",M840*O840)</x:f>
      </x:c>
      <x:c r="Q840" s="7">
        <x:f>IF(M840="","",M840+P840)</x:f>
      </x:c>
      <x:c r="R840" s="7">
        <x:f>IF(K840&lt;&gt;"Paid",0,IF(C840="Income",Q840,-Q840))</x:f>
      </x:c>
      <x:c r="S840" s="14">
        <x:f>IF(A840="","",DATE(YEAR(A840),MONTH(A840),1))</x:f>
      </x:c>
      <x:c r="T840" s="14">
        <x:f>IF(L840="","",DATE(YEAR(L840),MONTH(L840),1))</x:f>
      </x:c>
    </x:row>
    <x:row r="841">
      <x:c r="A841" s="11" t="n"/>
      <x:c r="B841" s="5" t="n"/>
      <x:c r="C841" s="12" t="n"/>
      <x:c r="D841" s="12" t="n"/>
      <x:c r="E841" s="12" t="n"/>
      <x:c r="F841" s="12" t="n"/>
      <x:c r="G841" s="13">
        <x:f>IF(F841="","",IFERROR(VLOOKUP(F841,Master_Data!$E$24:$G$33,2,FALSE),"9999"))</x:f>
      </x:c>
      <x:c r="H841" s="12" t="n"/>
      <x:c r="I841" s="12" t="n"/>
      <x:c r="J841" s="12" t="n"/>
      <x:c r="K841" s="12" t="n"/>
      <x:c r="L841" s="11" t="n"/>
      <x:c r="M841" s="9" t="n"/>
      <x:c r="N841" s="12" t="n"/>
      <x:c r="O841" s="6">
        <x:f>IF(N841="","",IFERROR(VLOOKUP(N841,Master_Data!$A$5:$C$8,3,FALSE),0))</x:f>
      </x:c>
      <x:c r="P841" s="7">
        <x:f>IF(M841="","",M841*O841)</x:f>
      </x:c>
      <x:c r="Q841" s="7">
        <x:f>IF(M841="","",M841+P841)</x:f>
      </x:c>
      <x:c r="R841" s="7">
        <x:f>IF(K841&lt;&gt;"Paid",0,IF(C841="Income",Q841,-Q841))</x:f>
      </x:c>
      <x:c r="S841" s="14">
        <x:f>IF(A841="","",DATE(YEAR(A841),MONTH(A841),1))</x:f>
      </x:c>
      <x:c r="T841" s="14">
        <x:f>IF(L841="","",DATE(YEAR(L841),MONTH(L841),1))</x:f>
      </x:c>
    </x:row>
    <x:row r="842">
      <x:c r="A842" s="11" t="n"/>
      <x:c r="B842" s="5" t="n"/>
      <x:c r="C842" s="12" t="n"/>
      <x:c r="D842" s="12" t="n"/>
      <x:c r="E842" s="12" t="n"/>
      <x:c r="F842" s="12" t="n"/>
      <x:c r="G842" s="13">
        <x:f>IF(F842="","",IFERROR(VLOOKUP(F842,Master_Data!$E$24:$G$33,2,FALSE),"9999"))</x:f>
      </x:c>
      <x:c r="H842" s="12" t="n"/>
      <x:c r="I842" s="12" t="n"/>
      <x:c r="J842" s="12" t="n"/>
      <x:c r="K842" s="12" t="n"/>
      <x:c r="L842" s="11" t="n"/>
      <x:c r="M842" s="9" t="n"/>
      <x:c r="N842" s="12" t="n"/>
      <x:c r="O842" s="6">
        <x:f>IF(N842="","",IFERROR(VLOOKUP(N842,Master_Data!$A$5:$C$8,3,FALSE),0))</x:f>
      </x:c>
      <x:c r="P842" s="7">
        <x:f>IF(M842="","",M842*O842)</x:f>
      </x:c>
      <x:c r="Q842" s="7">
        <x:f>IF(M842="","",M842+P842)</x:f>
      </x:c>
      <x:c r="R842" s="7">
        <x:f>IF(K842&lt;&gt;"Paid",0,IF(C842="Income",Q842,-Q842))</x:f>
      </x:c>
      <x:c r="S842" s="14">
        <x:f>IF(A842="","",DATE(YEAR(A842),MONTH(A842),1))</x:f>
      </x:c>
      <x:c r="T842" s="14">
        <x:f>IF(L842="","",DATE(YEAR(L842),MONTH(L842),1))</x:f>
      </x:c>
    </x:row>
    <x:row r="843">
      <x:c r="A843" s="11" t="n"/>
      <x:c r="B843" s="5" t="n"/>
      <x:c r="C843" s="12" t="n"/>
      <x:c r="D843" s="12" t="n"/>
      <x:c r="E843" s="12" t="n"/>
      <x:c r="F843" s="12" t="n"/>
      <x:c r="G843" s="13">
        <x:f>IF(F843="","",IFERROR(VLOOKUP(F843,Master_Data!$E$24:$G$33,2,FALSE),"9999"))</x:f>
      </x:c>
      <x:c r="H843" s="12" t="n"/>
      <x:c r="I843" s="12" t="n"/>
      <x:c r="J843" s="12" t="n"/>
      <x:c r="K843" s="12" t="n"/>
      <x:c r="L843" s="11" t="n"/>
      <x:c r="M843" s="9" t="n"/>
      <x:c r="N843" s="12" t="n"/>
      <x:c r="O843" s="6">
        <x:f>IF(N843="","",IFERROR(VLOOKUP(N843,Master_Data!$A$5:$C$8,3,FALSE),0))</x:f>
      </x:c>
      <x:c r="P843" s="7">
        <x:f>IF(M843="","",M843*O843)</x:f>
      </x:c>
      <x:c r="Q843" s="7">
        <x:f>IF(M843="","",M843+P843)</x:f>
      </x:c>
      <x:c r="R843" s="7">
        <x:f>IF(K843&lt;&gt;"Paid",0,IF(C843="Income",Q843,-Q843))</x:f>
      </x:c>
      <x:c r="S843" s="14">
        <x:f>IF(A843="","",DATE(YEAR(A843),MONTH(A843),1))</x:f>
      </x:c>
      <x:c r="T843" s="14">
        <x:f>IF(L843="","",DATE(YEAR(L843),MONTH(L843),1))</x:f>
      </x:c>
    </x:row>
    <x:row r="844">
      <x:c r="A844" s="11" t="n"/>
      <x:c r="B844" s="5" t="n"/>
      <x:c r="C844" s="12" t="n"/>
      <x:c r="D844" s="12" t="n"/>
      <x:c r="E844" s="12" t="n"/>
      <x:c r="F844" s="12" t="n"/>
      <x:c r="G844" s="13">
        <x:f>IF(F844="","",IFERROR(VLOOKUP(F844,Master_Data!$E$24:$G$33,2,FALSE),"9999"))</x:f>
      </x:c>
      <x:c r="H844" s="12" t="n"/>
      <x:c r="I844" s="12" t="n"/>
      <x:c r="J844" s="12" t="n"/>
      <x:c r="K844" s="12" t="n"/>
      <x:c r="L844" s="11" t="n"/>
      <x:c r="M844" s="9" t="n"/>
      <x:c r="N844" s="12" t="n"/>
      <x:c r="O844" s="6">
        <x:f>IF(N844="","",IFERROR(VLOOKUP(N844,Master_Data!$A$5:$C$8,3,FALSE),0))</x:f>
      </x:c>
      <x:c r="P844" s="7">
        <x:f>IF(M844="","",M844*O844)</x:f>
      </x:c>
      <x:c r="Q844" s="7">
        <x:f>IF(M844="","",M844+P844)</x:f>
      </x:c>
      <x:c r="R844" s="7">
        <x:f>IF(K844&lt;&gt;"Paid",0,IF(C844="Income",Q844,-Q844))</x:f>
      </x:c>
      <x:c r="S844" s="14">
        <x:f>IF(A844="","",DATE(YEAR(A844),MONTH(A844),1))</x:f>
      </x:c>
      <x:c r="T844" s="14">
        <x:f>IF(L844="","",DATE(YEAR(L844),MONTH(L844),1))</x:f>
      </x:c>
    </x:row>
    <x:row r="845">
      <x:c r="A845" s="11" t="n"/>
      <x:c r="B845" s="5" t="n"/>
      <x:c r="C845" s="12" t="n"/>
      <x:c r="D845" s="12" t="n"/>
      <x:c r="E845" s="12" t="n"/>
      <x:c r="F845" s="12" t="n"/>
      <x:c r="G845" s="13">
        <x:f>IF(F845="","",IFERROR(VLOOKUP(F845,Master_Data!$E$24:$G$33,2,FALSE),"9999"))</x:f>
      </x:c>
      <x:c r="H845" s="12" t="n"/>
      <x:c r="I845" s="12" t="n"/>
      <x:c r="J845" s="12" t="n"/>
      <x:c r="K845" s="12" t="n"/>
      <x:c r="L845" s="11" t="n"/>
      <x:c r="M845" s="9" t="n"/>
      <x:c r="N845" s="12" t="n"/>
      <x:c r="O845" s="6">
        <x:f>IF(N845="","",IFERROR(VLOOKUP(N845,Master_Data!$A$5:$C$8,3,FALSE),0))</x:f>
      </x:c>
      <x:c r="P845" s="7">
        <x:f>IF(M845="","",M845*O845)</x:f>
      </x:c>
      <x:c r="Q845" s="7">
        <x:f>IF(M845="","",M845+P845)</x:f>
      </x:c>
      <x:c r="R845" s="7">
        <x:f>IF(K845&lt;&gt;"Paid",0,IF(C845="Income",Q845,-Q845))</x:f>
      </x:c>
      <x:c r="S845" s="14">
        <x:f>IF(A845="","",DATE(YEAR(A845),MONTH(A845),1))</x:f>
      </x:c>
      <x:c r="T845" s="14">
        <x:f>IF(L845="","",DATE(YEAR(L845),MONTH(L845),1))</x:f>
      </x:c>
    </x:row>
    <x:row r="846">
      <x:c r="A846" s="11" t="n"/>
      <x:c r="B846" s="5" t="n"/>
      <x:c r="C846" s="12" t="n"/>
      <x:c r="D846" s="12" t="n"/>
      <x:c r="E846" s="12" t="n"/>
      <x:c r="F846" s="12" t="n"/>
      <x:c r="G846" s="13">
        <x:f>IF(F846="","",IFERROR(VLOOKUP(F846,Master_Data!$E$24:$G$33,2,FALSE),"9999"))</x:f>
      </x:c>
      <x:c r="H846" s="12" t="n"/>
      <x:c r="I846" s="12" t="n"/>
      <x:c r="J846" s="12" t="n"/>
      <x:c r="K846" s="12" t="n"/>
      <x:c r="L846" s="11" t="n"/>
      <x:c r="M846" s="9" t="n"/>
      <x:c r="N846" s="12" t="n"/>
      <x:c r="O846" s="6">
        <x:f>IF(N846="","",IFERROR(VLOOKUP(N846,Master_Data!$A$5:$C$8,3,FALSE),0))</x:f>
      </x:c>
      <x:c r="P846" s="7">
        <x:f>IF(M846="","",M846*O846)</x:f>
      </x:c>
      <x:c r="Q846" s="7">
        <x:f>IF(M846="","",M846+P846)</x:f>
      </x:c>
      <x:c r="R846" s="7">
        <x:f>IF(K846&lt;&gt;"Paid",0,IF(C846="Income",Q846,-Q846))</x:f>
      </x:c>
      <x:c r="S846" s="14">
        <x:f>IF(A846="","",DATE(YEAR(A846),MONTH(A846),1))</x:f>
      </x:c>
      <x:c r="T846" s="14">
        <x:f>IF(L846="","",DATE(YEAR(L846),MONTH(L846),1))</x:f>
      </x:c>
    </x:row>
    <x:row r="847">
      <x:c r="A847" s="11" t="n"/>
      <x:c r="B847" s="5" t="n"/>
      <x:c r="C847" s="12" t="n"/>
      <x:c r="D847" s="12" t="n"/>
      <x:c r="E847" s="12" t="n"/>
      <x:c r="F847" s="12" t="n"/>
      <x:c r="G847" s="13">
        <x:f>IF(F847="","",IFERROR(VLOOKUP(F847,Master_Data!$E$24:$G$33,2,FALSE),"9999"))</x:f>
      </x:c>
      <x:c r="H847" s="12" t="n"/>
      <x:c r="I847" s="12" t="n"/>
      <x:c r="J847" s="12" t="n"/>
      <x:c r="K847" s="12" t="n"/>
      <x:c r="L847" s="11" t="n"/>
      <x:c r="M847" s="9" t="n"/>
      <x:c r="N847" s="12" t="n"/>
      <x:c r="O847" s="6">
        <x:f>IF(N847="","",IFERROR(VLOOKUP(N847,Master_Data!$A$5:$C$8,3,FALSE),0))</x:f>
      </x:c>
      <x:c r="P847" s="7">
        <x:f>IF(M847="","",M847*O847)</x:f>
      </x:c>
      <x:c r="Q847" s="7">
        <x:f>IF(M847="","",M847+P847)</x:f>
      </x:c>
      <x:c r="R847" s="7">
        <x:f>IF(K847&lt;&gt;"Paid",0,IF(C847="Income",Q847,-Q847))</x:f>
      </x:c>
      <x:c r="S847" s="14">
        <x:f>IF(A847="","",DATE(YEAR(A847),MONTH(A847),1))</x:f>
      </x:c>
      <x:c r="T847" s="14">
        <x:f>IF(L847="","",DATE(YEAR(L847),MONTH(L847),1))</x:f>
      </x:c>
    </x:row>
    <x:row r="848">
      <x:c r="A848" s="11" t="n"/>
      <x:c r="B848" s="5" t="n"/>
      <x:c r="C848" s="12" t="n"/>
      <x:c r="D848" s="12" t="n"/>
      <x:c r="E848" s="12" t="n"/>
      <x:c r="F848" s="12" t="n"/>
      <x:c r="G848" s="13">
        <x:f>IF(F848="","",IFERROR(VLOOKUP(F848,Master_Data!$E$24:$G$33,2,FALSE),"9999"))</x:f>
      </x:c>
      <x:c r="H848" s="12" t="n"/>
      <x:c r="I848" s="12" t="n"/>
      <x:c r="J848" s="12" t="n"/>
      <x:c r="K848" s="12" t="n"/>
      <x:c r="L848" s="11" t="n"/>
      <x:c r="M848" s="9" t="n"/>
      <x:c r="N848" s="12" t="n"/>
      <x:c r="O848" s="6">
        <x:f>IF(N848="","",IFERROR(VLOOKUP(N848,Master_Data!$A$5:$C$8,3,FALSE),0))</x:f>
      </x:c>
      <x:c r="P848" s="7">
        <x:f>IF(M848="","",M848*O848)</x:f>
      </x:c>
      <x:c r="Q848" s="7">
        <x:f>IF(M848="","",M848+P848)</x:f>
      </x:c>
      <x:c r="R848" s="7">
        <x:f>IF(K848&lt;&gt;"Paid",0,IF(C848="Income",Q848,-Q848))</x:f>
      </x:c>
      <x:c r="S848" s="14">
        <x:f>IF(A848="","",DATE(YEAR(A848),MONTH(A848),1))</x:f>
      </x:c>
      <x:c r="T848" s="14">
        <x:f>IF(L848="","",DATE(YEAR(L848),MONTH(L848),1))</x:f>
      </x:c>
    </x:row>
    <x:row r="849">
      <x:c r="A849" s="11" t="n"/>
      <x:c r="B849" s="5" t="n"/>
      <x:c r="C849" s="12" t="n"/>
      <x:c r="D849" s="12" t="n"/>
      <x:c r="E849" s="12" t="n"/>
      <x:c r="F849" s="12" t="n"/>
      <x:c r="G849" s="13">
        <x:f>IF(F849="","",IFERROR(VLOOKUP(F849,Master_Data!$E$24:$G$33,2,FALSE),"9999"))</x:f>
      </x:c>
      <x:c r="H849" s="12" t="n"/>
      <x:c r="I849" s="12" t="n"/>
      <x:c r="J849" s="12" t="n"/>
      <x:c r="K849" s="12" t="n"/>
      <x:c r="L849" s="11" t="n"/>
      <x:c r="M849" s="9" t="n"/>
      <x:c r="N849" s="12" t="n"/>
      <x:c r="O849" s="6">
        <x:f>IF(N849="","",IFERROR(VLOOKUP(N849,Master_Data!$A$5:$C$8,3,FALSE),0))</x:f>
      </x:c>
      <x:c r="P849" s="7">
        <x:f>IF(M849="","",M849*O849)</x:f>
      </x:c>
      <x:c r="Q849" s="7">
        <x:f>IF(M849="","",M849+P849)</x:f>
      </x:c>
      <x:c r="R849" s="7">
        <x:f>IF(K849&lt;&gt;"Paid",0,IF(C849="Income",Q849,-Q849))</x:f>
      </x:c>
      <x:c r="S849" s="14">
        <x:f>IF(A849="","",DATE(YEAR(A849),MONTH(A849),1))</x:f>
      </x:c>
      <x:c r="T849" s="14">
        <x:f>IF(L849="","",DATE(YEAR(L849),MONTH(L849),1))</x:f>
      </x:c>
    </x:row>
    <x:row r="850">
      <x:c r="A850" s="11" t="n"/>
      <x:c r="B850" s="5" t="n"/>
      <x:c r="C850" s="12" t="n"/>
      <x:c r="D850" s="12" t="n"/>
      <x:c r="E850" s="12" t="n"/>
      <x:c r="F850" s="12" t="n"/>
      <x:c r="G850" s="13">
        <x:f>IF(F850="","",IFERROR(VLOOKUP(F850,Master_Data!$E$24:$G$33,2,FALSE),"9999"))</x:f>
      </x:c>
      <x:c r="H850" s="12" t="n"/>
      <x:c r="I850" s="12" t="n"/>
      <x:c r="J850" s="12" t="n"/>
      <x:c r="K850" s="12" t="n"/>
      <x:c r="L850" s="11" t="n"/>
      <x:c r="M850" s="9" t="n"/>
      <x:c r="N850" s="12" t="n"/>
      <x:c r="O850" s="6">
        <x:f>IF(N850="","",IFERROR(VLOOKUP(N850,Master_Data!$A$5:$C$8,3,FALSE),0))</x:f>
      </x:c>
      <x:c r="P850" s="7">
        <x:f>IF(M850="","",M850*O850)</x:f>
      </x:c>
      <x:c r="Q850" s="7">
        <x:f>IF(M850="","",M850+P850)</x:f>
      </x:c>
      <x:c r="R850" s="7">
        <x:f>IF(K850&lt;&gt;"Paid",0,IF(C850="Income",Q850,-Q850))</x:f>
      </x:c>
      <x:c r="S850" s="14">
        <x:f>IF(A850="","",DATE(YEAR(A850),MONTH(A850),1))</x:f>
      </x:c>
      <x:c r="T850" s="14">
        <x:f>IF(L850="","",DATE(YEAR(L850),MONTH(L850),1))</x:f>
      </x:c>
    </x:row>
    <x:row r="851">
      <x:c r="A851" s="11" t="n"/>
      <x:c r="B851" s="5" t="n"/>
      <x:c r="C851" s="12" t="n"/>
      <x:c r="D851" s="12" t="n"/>
      <x:c r="E851" s="12" t="n"/>
      <x:c r="F851" s="12" t="n"/>
      <x:c r="G851" s="13">
        <x:f>IF(F851="","",IFERROR(VLOOKUP(F851,Master_Data!$E$24:$G$33,2,FALSE),"9999"))</x:f>
      </x:c>
      <x:c r="H851" s="12" t="n"/>
      <x:c r="I851" s="12" t="n"/>
      <x:c r="J851" s="12" t="n"/>
      <x:c r="K851" s="12" t="n"/>
      <x:c r="L851" s="11" t="n"/>
      <x:c r="M851" s="9" t="n"/>
      <x:c r="N851" s="12" t="n"/>
      <x:c r="O851" s="6">
        <x:f>IF(N851="","",IFERROR(VLOOKUP(N851,Master_Data!$A$5:$C$8,3,FALSE),0))</x:f>
      </x:c>
      <x:c r="P851" s="7">
        <x:f>IF(M851="","",M851*O851)</x:f>
      </x:c>
      <x:c r="Q851" s="7">
        <x:f>IF(M851="","",M851+P851)</x:f>
      </x:c>
      <x:c r="R851" s="7">
        <x:f>IF(K851&lt;&gt;"Paid",0,IF(C851="Income",Q851,-Q851))</x:f>
      </x:c>
      <x:c r="S851" s="14">
        <x:f>IF(A851="","",DATE(YEAR(A851),MONTH(A851),1))</x:f>
      </x:c>
      <x:c r="T851" s="14">
        <x:f>IF(L851="","",DATE(YEAR(L851),MONTH(L851),1))</x:f>
      </x:c>
    </x:row>
    <x:row r="852">
      <x:c r="A852" s="11" t="n"/>
      <x:c r="B852" s="5" t="n"/>
      <x:c r="C852" s="12" t="n"/>
      <x:c r="D852" s="12" t="n"/>
      <x:c r="E852" s="12" t="n"/>
      <x:c r="F852" s="12" t="n"/>
      <x:c r="G852" s="13">
        <x:f>IF(F852="","",IFERROR(VLOOKUP(F852,Master_Data!$E$24:$G$33,2,FALSE),"9999"))</x:f>
      </x:c>
      <x:c r="H852" s="12" t="n"/>
      <x:c r="I852" s="12" t="n"/>
      <x:c r="J852" s="12" t="n"/>
      <x:c r="K852" s="12" t="n"/>
      <x:c r="L852" s="11" t="n"/>
      <x:c r="M852" s="9" t="n"/>
      <x:c r="N852" s="12" t="n"/>
      <x:c r="O852" s="6">
        <x:f>IF(N852="","",IFERROR(VLOOKUP(N852,Master_Data!$A$5:$C$8,3,FALSE),0))</x:f>
      </x:c>
      <x:c r="P852" s="7">
        <x:f>IF(M852="","",M852*O852)</x:f>
      </x:c>
      <x:c r="Q852" s="7">
        <x:f>IF(M852="","",M852+P852)</x:f>
      </x:c>
      <x:c r="R852" s="7">
        <x:f>IF(K852&lt;&gt;"Paid",0,IF(C852="Income",Q852,-Q852))</x:f>
      </x:c>
      <x:c r="S852" s="14">
        <x:f>IF(A852="","",DATE(YEAR(A852),MONTH(A852),1))</x:f>
      </x:c>
      <x:c r="T852" s="14">
        <x:f>IF(L852="","",DATE(YEAR(L852),MONTH(L852),1))</x:f>
      </x:c>
    </x:row>
    <x:row r="853">
      <x:c r="A853" s="11" t="n"/>
      <x:c r="B853" s="5" t="n"/>
      <x:c r="C853" s="12" t="n"/>
      <x:c r="D853" s="12" t="n"/>
      <x:c r="E853" s="12" t="n"/>
      <x:c r="F853" s="12" t="n"/>
      <x:c r="G853" s="13">
        <x:f>IF(F853="","",IFERROR(VLOOKUP(F853,Master_Data!$E$24:$G$33,2,FALSE),"9999"))</x:f>
      </x:c>
      <x:c r="H853" s="12" t="n"/>
      <x:c r="I853" s="12" t="n"/>
      <x:c r="J853" s="12" t="n"/>
      <x:c r="K853" s="12" t="n"/>
      <x:c r="L853" s="11" t="n"/>
      <x:c r="M853" s="9" t="n"/>
      <x:c r="N853" s="12" t="n"/>
      <x:c r="O853" s="6">
        <x:f>IF(N853="","",IFERROR(VLOOKUP(N853,Master_Data!$A$5:$C$8,3,FALSE),0))</x:f>
      </x:c>
      <x:c r="P853" s="7">
        <x:f>IF(M853="","",M853*O853)</x:f>
      </x:c>
      <x:c r="Q853" s="7">
        <x:f>IF(M853="","",M853+P853)</x:f>
      </x:c>
      <x:c r="R853" s="7">
        <x:f>IF(K853&lt;&gt;"Paid",0,IF(C853="Income",Q853,-Q853))</x:f>
      </x:c>
      <x:c r="S853" s="14">
        <x:f>IF(A853="","",DATE(YEAR(A853),MONTH(A853),1))</x:f>
      </x:c>
      <x:c r="T853" s="14">
        <x:f>IF(L853="","",DATE(YEAR(L853),MONTH(L853),1))</x:f>
      </x:c>
    </x:row>
    <x:row r="854">
      <x:c r="A854" s="11" t="n"/>
      <x:c r="B854" s="5" t="n"/>
      <x:c r="C854" s="12" t="n"/>
      <x:c r="D854" s="12" t="n"/>
      <x:c r="E854" s="12" t="n"/>
      <x:c r="F854" s="12" t="n"/>
      <x:c r="G854" s="13">
        <x:f>IF(F854="","",IFERROR(VLOOKUP(F854,Master_Data!$E$24:$G$33,2,FALSE),"9999"))</x:f>
      </x:c>
      <x:c r="H854" s="12" t="n"/>
      <x:c r="I854" s="12" t="n"/>
      <x:c r="J854" s="12" t="n"/>
      <x:c r="K854" s="12" t="n"/>
      <x:c r="L854" s="11" t="n"/>
      <x:c r="M854" s="9" t="n"/>
      <x:c r="N854" s="12" t="n"/>
      <x:c r="O854" s="6">
        <x:f>IF(N854="","",IFERROR(VLOOKUP(N854,Master_Data!$A$5:$C$8,3,FALSE),0))</x:f>
      </x:c>
      <x:c r="P854" s="7">
        <x:f>IF(M854="","",M854*O854)</x:f>
      </x:c>
      <x:c r="Q854" s="7">
        <x:f>IF(M854="","",M854+P854)</x:f>
      </x:c>
      <x:c r="R854" s="7">
        <x:f>IF(K854&lt;&gt;"Paid",0,IF(C854="Income",Q854,-Q854))</x:f>
      </x:c>
      <x:c r="S854" s="14">
        <x:f>IF(A854="","",DATE(YEAR(A854),MONTH(A854),1))</x:f>
      </x:c>
      <x:c r="T854" s="14">
        <x:f>IF(L854="","",DATE(YEAR(L854),MONTH(L854),1))</x:f>
      </x:c>
    </x:row>
    <x:row r="855">
      <x:c r="A855" s="11" t="n"/>
      <x:c r="B855" s="5" t="n"/>
      <x:c r="C855" s="12" t="n"/>
      <x:c r="D855" s="12" t="n"/>
      <x:c r="E855" s="12" t="n"/>
      <x:c r="F855" s="12" t="n"/>
      <x:c r="G855" s="13">
        <x:f>IF(F855="","",IFERROR(VLOOKUP(F855,Master_Data!$E$24:$G$33,2,FALSE),"9999"))</x:f>
      </x:c>
      <x:c r="H855" s="12" t="n"/>
      <x:c r="I855" s="12" t="n"/>
      <x:c r="J855" s="12" t="n"/>
      <x:c r="K855" s="12" t="n"/>
      <x:c r="L855" s="11" t="n"/>
      <x:c r="M855" s="9" t="n"/>
      <x:c r="N855" s="12" t="n"/>
      <x:c r="O855" s="6">
        <x:f>IF(N855="","",IFERROR(VLOOKUP(N855,Master_Data!$A$5:$C$8,3,FALSE),0))</x:f>
      </x:c>
      <x:c r="P855" s="7">
        <x:f>IF(M855="","",M855*O855)</x:f>
      </x:c>
      <x:c r="Q855" s="7">
        <x:f>IF(M855="","",M855+P855)</x:f>
      </x:c>
      <x:c r="R855" s="7">
        <x:f>IF(K855&lt;&gt;"Paid",0,IF(C855="Income",Q855,-Q855))</x:f>
      </x:c>
      <x:c r="S855" s="14">
        <x:f>IF(A855="","",DATE(YEAR(A855),MONTH(A855),1))</x:f>
      </x:c>
      <x:c r="T855" s="14">
        <x:f>IF(L855="","",DATE(YEAR(L855),MONTH(L855),1))</x:f>
      </x:c>
    </x:row>
    <x:row r="856">
      <x:c r="A856" s="11" t="n"/>
      <x:c r="B856" s="5" t="n"/>
      <x:c r="C856" s="12" t="n"/>
      <x:c r="D856" s="12" t="n"/>
      <x:c r="E856" s="12" t="n"/>
      <x:c r="F856" s="12" t="n"/>
      <x:c r="G856" s="13">
        <x:f>IF(F856="","",IFERROR(VLOOKUP(F856,Master_Data!$E$24:$G$33,2,FALSE),"9999"))</x:f>
      </x:c>
      <x:c r="H856" s="12" t="n"/>
      <x:c r="I856" s="12" t="n"/>
      <x:c r="J856" s="12" t="n"/>
      <x:c r="K856" s="12" t="n"/>
      <x:c r="L856" s="11" t="n"/>
      <x:c r="M856" s="9" t="n"/>
      <x:c r="N856" s="12" t="n"/>
      <x:c r="O856" s="6">
        <x:f>IF(N856="","",IFERROR(VLOOKUP(N856,Master_Data!$A$5:$C$8,3,FALSE),0))</x:f>
      </x:c>
      <x:c r="P856" s="7">
        <x:f>IF(M856="","",M856*O856)</x:f>
      </x:c>
      <x:c r="Q856" s="7">
        <x:f>IF(M856="","",M856+P856)</x:f>
      </x:c>
      <x:c r="R856" s="7">
        <x:f>IF(K856&lt;&gt;"Paid",0,IF(C856="Income",Q856,-Q856))</x:f>
      </x:c>
      <x:c r="S856" s="14">
        <x:f>IF(A856="","",DATE(YEAR(A856),MONTH(A856),1))</x:f>
      </x:c>
      <x:c r="T856" s="14">
        <x:f>IF(L856="","",DATE(YEAR(L856),MONTH(L856),1))</x:f>
      </x:c>
    </x:row>
    <x:row r="857">
      <x:c r="A857" s="11" t="n"/>
      <x:c r="B857" s="5" t="n"/>
      <x:c r="C857" s="12" t="n"/>
      <x:c r="D857" s="12" t="n"/>
      <x:c r="E857" s="12" t="n"/>
      <x:c r="F857" s="12" t="n"/>
      <x:c r="G857" s="13">
        <x:f>IF(F857="","",IFERROR(VLOOKUP(F857,Master_Data!$E$24:$G$33,2,FALSE),"9999"))</x:f>
      </x:c>
      <x:c r="H857" s="12" t="n"/>
      <x:c r="I857" s="12" t="n"/>
      <x:c r="J857" s="12" t="n"/>
      <x:c r="K857" s="12" t="n"/>
      <x:c r="L857" s="11" t="n"/>
      <x:c r="M857" s="9" t="n"/>
      <x:c r="N857" s="12" t="n"/>
      <x:c r="O857" s="6">
        <x:f>IF(N857="","",IFERROR(VLOOKUP(N857,Master_Data!$A$5:$C$8,3,FALSE),0))</x:f>
      </x:c>
      <x:c r="P857" s="7">
        <x:f>IF(M857="","",M857*O857)</x:f>
      </x:c>
      <x:c r="Q857" s="7">
        <x:f>IF(M857="","",M857+P857)</x:f>
      </x:c>
      <x:c r="R857" s="7">
        <x:f>IF(K857&lt;&gt;"Paid",0,IF(C857="Income",Q857,-Q857))</x:f>
      </x:c>
      <x:c r="S857" s="14">
        <x:f>IF(A857="","",DATE(YEAR(A857),MONTH(A857),1))</x:f>
      </x:c>
      <x:c r="T857" s="14">
        <x:f>IF(L857="","",DATE(YEAR(L857),MONTH(L857),1))</x:f>
      </x:c>
    </x:row>
    <x:row r="858">
      <x:c r="A858" s="11" t="n"/>
      <x:c r="B858" s="5" t="n"/>
      <x:c r="C858" s="12" t="n"/>
      <x:c r="D858" s="12" t="n"/>
      <x:c r="E858" s="12" t="n"/>
      <x:c r="F858" s="12" t="n"/>
      <x:c r="G858" s="13">
        <x:f>IF(F858="","",IFERROR(VLOOKUP(F858,Master_Data!$E$24:$G$33,2,FALSE),"9999"))</x:f>
      </x:c>
      <x:c r="H858" s="12" t="n"/>
      <x:c r="I858" s="12" t="n"/>
      <x:c r="J858" s="12" t="n"/>
      <x:c r="K858" s="12" t="n"/>
      <x:c r="L858" s="11" t="n"/>
      <x:c r="M858" s="9" t="n"/>
      <x:c r="N858" s="12" t="n"/>
      <x:c r="O858" s="6">
        <x:f>IF(N858="","",IFERROR(VLOOKUP(N858,Master_Data!$A$5:$C$8,3,FALSE),0))</x:f>
      </x:c>
      <x:c r="P858" s="7">
        <x:f>IF(M858="","",M858*O858)</x:f>
      </x:c>
      <x:c r="Q858" s="7">
        <x:f>IF(M858="","",M858+P858)</x:f>
      </x:c>
      <x:c r="R858" s="7">
        <x:f>IF(K858&lt;&gt;"Paid",0,IF(C858="Income",Q858,-Q858))</x:f>
      </x:c>
      <x:c r="S858" s="14">
        <x:f>IF(A858="","",DATE(YEAR(A858),MONTH(A858),1))</x:f>
      </x:c>
      <x:c r="T858" s="14">
        <x:f>IF(L858="","",DATE(YEAR(L858),MONTH(L858),1))</x:f>
      </x:c>
    </x:row>
    <x:row r="859">
      <x:c r="A859" s="11" t="n"/>
      <x:c r="B859" s="5" t="n"/>
      <x:c r="C859" s="12" t="n"/>
      <x:c r="D859" s="12" t="n"/>
      <x:c r="E859" s="12" t="n"/>
      <x:c r="F859" s="12" t="n"/>
      <x:c r="G859" s="13">
        <x:f>IF(F859="","",IFERROR(VLOOKUP(F859,Master_Data!$E$24:$G$33,2,FALSE),"9999"))</x:f>
      </x:c>
      <x:c r="H859" s="12" t="n"/>
      <x:c r="I859" s="12" t="n"/>
      <x:c r="J859" s="12" t="n"/>
      <x:c r="K859" s="12" t="n"/>
      <x:c r="L859" s="11" t="n"/>
      <x:c r="M859" s="9" t="n"/>
      <x:c r="N859" s="12" t="n"/>
      <x:c r="O859" s="6">
        <x:f>IF(N859="","",IFERROR(VLOOKUP(N859,Master_Data!$A$5:$C$8,3,FALSE),0))</x:f>
      </x:c>
      <x:c r="P859" s="7">
        <x:f>IF(M859="","",M859*O859)</x:f>
      </x:c>
      <x:c r="Q859" s="7">
        <x:f>IF(M859="","",M859+P859)</x:f>
      </x:c>
      <x:c r="R859" s="7">
        <x:f>IF(K859&lt;&gt;"Paid",0,IF(C859="Income",Q859,-Q859))</x:f>
      </x:c>
      <x:c r="S859" s="14">
        <x:f>IF(A859="","",DATE(YEAR(A859),MONTH(A859),1))</x:f>
      </x:c>
      <x:c r="T859" s="14">
        <x:f>IF(L859="","",DATE(YEAR(L859),MONTH(L859),1))</x:f>
      </x:c>
    </x:row>
    <x:row r="860">
      <x:c r="A860" s="11" t="n"/>
      <x:c r="B860" s="5" t="n"/>
      <x:c r="C860" s="12" t="n"/>
      <x:c r="D860" s="12" t="n"/>
      <x:c r="E860" s="12" t="n"/>
      <x:c r="F860" s="12" t="n"/>
      <x:c r="G860" s="13">
        <x:f>IF(F860="","",IFERROR(VLOOKUP(F860,Master_Data!$E$24:$G$33,2,FALSE),"9999"))</x:f>
      </x:c>
      <x:c r="H860" s="12" t="n"/>
      <x:c r="I860" s="12" t="n"/>
      <x:c r="J860" s="12" t="n"/>
      <x:c r="K860" s="12" t="n"/>
      <x:c r="L860" s="11" t="n"/>
      <x:c r="M860" s="9" t="n"/>
      <x:c r="N860" s="12" t="n"/>
      <x:c r="O860" s="6">
        <x:f>IF(N860="","",IFERROR(VLOOKUP(N860,Master_Data!$A$5:$C$8,3,FALSE),0))</x:f>
      </x:c>
      <x:c r="P860" s="7">
        <x:f>IF(M860="","",M860*O860)</x:f>
      </x:c>
      <x:c r="Q860" s="7">
        <x:f>IF(M860="","",M860+P860)</x:f>
      </x:c>
      <x:c r="R860" s="7">
        <x:f>IF(K860&lt;&gt;"Paid",0,IF(C860="Income",Q860,-Q860))</x:f>
      </x:c>
      <x:c r="S860" s="14">
        <x:f>IF(A860="","",DATE(YEAR(A860),MONTH(A860),1))</x:f>
      </x:c>
      <x:c r="T860" s="14">
        <x:f>IF(L860="","",DATE(YEAR(L860),MONTH(L860),1))</x:f>
      </x:c>
    </x:row>
    <x:row r="861">
      <x:c r="A861" s="11" t="n"/>
      <x:c r="B861" s="5" t="n"/>
      <x:c r="C861" s="12" t="n"/>
      <x:c r="D861" s="12" t="n"/>
      <x:c r="E861" s="12" t="n"/>
      <x:c r="F861" s="12" t="n"/>
      <x:c r="G861" s="13">
        <x:f>IF(F861="","",IFERROR(VLOOKUP(F861,Master_Data!$E$24:$G$33,2,FALSE),"9999"))</x:f>
      </x:c>
      <x:c r="H861" s="12" t="n"/>
      <x:c r="I861" s="12" t="n"/>
      <x:c r="J861" s="12" t="n"/>
      <x:c r="K861" s="12" t="n"/>
      <x:c r="L861" s="11" t="n"/>
      <x:c r="M861" s="9" t="n"/>
      <x:c r="N861" s="12" t="n"/>
      <x:c r="O861" s="6">
        <x:f>IF(N861="","",IFERROR(VLOOKUP(N861,Master_Data!$A$5:$C$8,3,FALSE),0))</x:f>
      </x:c>
      <x:c r="P861" s="7">
        <x:f>IF(M861="","",M861*O861)</x:f>
      </x:c>
      <x:c r="Q861" s="7">
        <x:f>IF(M861="","",M861+P861)</x:f>
      </x:c>
      <x:c r="R861" s="7">
        <x:f>IF(K861&lt;&gt;"Paid",0,IF(C861="Income",Q861,-Q861))</x:f>
      </x:c>
      <x:c r="S861" s="14">
        <x:f>IF(A861="","",DATE(YEAR(A861),MONTH(A861),1))</x:f>
      </x:c>
      <x:c r="T861" s="14">
        <x:f>IF(L861="","",DATE(YEAR(L861),MONTH(L861),1))</x:f>
      </x:c>
    </x:row>
    <x:row r="862">
      <x:c r="A862" s="11" t="n"/>
      <x:c r="B862" s="5" t="n"/>
      <x:c r="C862" s="12" t="n"/>
      <x:c r="D862" s="12" t="n"/>
      <x:c r="E862" s="12" t="n"/>
      <x:c r="F862" s="12" t="n"/>
      <x:c r="G862" s="13">
        <x:f>IF(F862="","",IFERROR(VLOOKUP(F862,Master_Data!$E$24:$G$33,2,FALSE),"9999"))</x:f>
      </x:c>
      <x:c r="H862" s="12" t="n"/>
      <x:c r="I862" s="12" t="n"/>
      <x:c r="J862" s="12" t="n"/>
      <x:c r="K862" s="12" t="n"/>
      <x:c r="L862" s="11" t="n"/>
      <x:c r="M862" s="9" t="n"/>
      <x:c r="N862" s="12" t="n"/>
      <x:c r="O862" s="6">
        <x:f>IF(N862="","",IFERROR(VLOOKUP(N862,Master_Data!$A$5:$C$8,3,FALSE),0))</x:f>
      </x:c>
      <x:c r="P862" s="7">
        <x:f>IF(M862="","",M862*O862)</x:f>
      </x:c>
      <x:c r="Q862" s="7">
        <x:f>IF(M862="","",M862+P862)</x:f>
      </x:c>
      <x:c r="R862" s="7">
        <x:f>IF(K862&lt;&gt;"Paid",0,IF(C862="Income",Q862,-Q862))</x:f>
      </x:c>
      <x:c r="S862" s="14">
        <x:f>IF(A862="","",DATE(YEAR(A862),MONTH(A862),1))</x:f>
      </x:c>
      <x:c r="T862" s="14">
        <x:f>IF(L862="","",DATE(YEAR(L862),MONTH(L862),1))</x:f>
      </x:c>
    </x:row>
    <x:row r="863">
      <x:c r="A863" s="11" t="n"/>
      <x:c r="B863" s="5" t="n"/>
      <x:c r="C863" s="12" t="n"/>
      <x:c r="D863" s="12" t="n"/>
      <x:c r="E863" s="12" t="n"/>
      <x:c r="F863" s="12" t="n"/>
      <x:c r="G863" s="13">
        <x:f>IF(F863="","",IFERROR(VLOOKUP(F863,Master_Data!$E$24:$G$33,2,FALSE),"9999"))</x:f>
      </x:c>
      <x:c r="H863" s="12" t="n"/>
      <x:c r="I863" s="12" t="n"/>
      <x:c r="J863" s="12" t="n"/>
      <x:c r="K863" s="12" t="n"/>
      <x:c r="L863" s="11" t="n"/>
      <x:c r="M863" s="9" t="n"/>
      <x:c r="N863" s="12" t="n"/>
      <x:c r="O863" s="6">
        <x:f>IF(N863="","",IFERROR(VLOOKUP(N863,Master_Data!$A$5:$C$8,3,FALSE),0))</x:f>
      </x:c>
      <x:c r="P863" s="7">
        <x:f>IF(M863="","",M863*O863)</x:f>
      </x:c>
      <x:c r="Q863" s="7">
        <x:f>IF(M863="","",M863+P863)</x:f>
      </x:c>
      <x:c r="R863" s="7">
        <x:f>IF(K863&lt;&gt;"Paid",0,IF(C863="Income",Q863,-Q863))</x:f>
      </x:c>
      <x:c r="S863" s="14">
        <x:f>IF(A863="","",DATE(YEAR(A863),MONTH(A863),1))</x:f>
      </x:c>
      <x:c r="T863" s="14">
        <x:f>IF(L863="","",DATE(YEAR(L863),MONTH(L863),1))</x:f>
      </x:c>
    </x:row>
    <x:row r="864">
      <x:c r="A864" s="11" t="n"/>
      <x:c r="B864" s="5" t="n"/>
      <x:c r="C864" s="12" t="n"/>
      <x:c r="D864" s="12" t="n"/>
      <x:c r="E864" s="12" t="n"/>
      <x:c r="F864" s="12" t="n"/>
      <x:c r="G864" s="13">
        <x:f>IF(F864="","",IFERROR(VLOOKUP(F864,Master_Data!$E$24:$G$33,2,FALSE),"9999"))</x:f>
      </x:c>
      <x:c r="H864" s="12" t="n"/>
      <x:c r="I864" s="12" t="n"/>
      <x:c r="J864" s="12" t="n"/>
      <x:c r="K864" s="12" t="n"/>
      <x:c r="L864" s="11" t="n"/>
      <x:c r="M864" s="9" t="n"/>
      <x:c r="N864" s="12" t="n"/>
      <x:c r="O864" s="6">
        <x:f>IF(N864="","",IFERROR(VLOOKUP(N864,Master_Data!$A$5:$C$8,3,FALSE),0))</x:f>
      </x:c>
      <x:c r="P864" s="7">
        <x:f>IF(M864="","",M864*O864)</x:f>
      </x:c>
      <x:c r="Q864" s="7">
        <x:f>IF(M864="","",M864+P864)</x:f>
      </x:c>
      <x:c r="R864" s="7">
        <x:f>IF(K864&lt;&gt;"Paid",0,IF(C864="Income",Q864,-Q864))</x:f>
      </x:c>
      <x:c r="S864" s="14">
        <x:f>IF(A864="","",DATE(YEAR(A864),MONTH(A864),1))</x:f>
      </x:c>
      <x:c r="T864" s="14">
        <x:f>IF(L864="","",DATE(YEAR(L864),MONTH(L864),1))</x:f>
      </x:c>
    </x:row>
    <x:row r="865">
      <x:c r="A865" s="11" t="n"/>
      <x:c r="B865" s="5" t="n"/>
      <x:c r="C865" s="12" t="n"/>
      <x:c r="D865" s="12" t="n"/>
      <x:c r="E865" s="12" t="n"/>
      <x:c r="F865" s="12" t="n"/>
      <x:c r="G865" s="13">
        <x:f>IF(F865="","",IFERROR(VLOOKUP(F865,Master_Data!$E$24:$G$33,2,FALSE),"9999"))</x:f>
      </x:c>
      <x:c r="H865" s="12" t="n"/>
      <x:c r="I865" s="12" t="n"/>
      <x:c r="J865" s="12" t="n"/>
      <x:c r="K865" s="12" t="n"/>
      <x:c r="L865" s="11" t="n"/>
      <x:c r="M865" s="9" t="n"/>
      <x:c r="N865" s="12" t="n"/>
      <x:c r="O865" s="6">
        <x:f>IF(N865="","",IFERROR(VLOOKUP(N865,Master_Data!$A$5:$C$8,3,FALSE),0))</x:f>
      </x:c>
      <x:c r="P865" s="7">
        <x:f>IF(M865="","",M865*O865)</x:f>
      </x:c>
      <x:c r="Q865" s="7">
        <x:f>IF(M865="","",M865+P865)</x:f>
      </x:c>
      <x:c r="R865" s="7">
        <x:f>IF(K865&lt;&gt;"Paid",0,IF(C865="Income",Q865,-Q865))</x:f>
      </x:c>
      <x:c r="S865" s="14">
        <x:f>IF(A865="","",DATE(YEAR(A865),MONTH(A865),1))</x:f>
      </x:c>
      <x:c r="T865" s="14">
        <x:f>IF(L865="","",DATE(YEAR(L865),MONTH(L865),1))</x:f>
      </x:c>
    </x:row>
    <x:row r="866">
      <x:c r="A866" s="11" t="n"/>
      <x:c r="B866" s="5" t="n"/>
      <x:c r="C866" s="12" t="n"/>
      <x:c r="D866" s="12" t="n"/>
      <x:c r="E866" s="12" t="n"/>
      <x:c r="F866" s="12" t="n"/>
      <x:c r="G866" s="13">
        <x:f>IF(F866="","",IFERROR(VLOOKUP(F866,Master_Data!$E$24:$G$33,2,FALSE),"9999"))</x:f>
      </x:c>
      <x:c r="H866" s="12" t="n"/>
      <x:c r="I866" s="12" t="n"/>
      <x:c r="J866" s="12" t="n"/>
      <x:c r="K866" s="12" t="n"/>
      <x:c r="L866" s="11" t="n"/>
      <x:c r="M866" s="9" t="n"/>
      <x:c r="N866" s="12" t="n"/>
      <x:c r="O866" s="6">
        <x:f>IF(N866="","",IFERROR(VLOOKUP(N866,Master_Data!$A$5:$C$8,3,FALSE),0))</x:f>
      </x:c>
      <x:c r="P866" s="7">
        <x:f>IF(M866="","",M866*O866)</x:f>
      </x:c>
      <x:c r="Q866" s="7">
        <x:f>IF(M866="","",M866+P866)</x:f>
      </x:c>
      <x:c r="R866" s="7">
        <x:f>IF(K866&lt;&gt;"Paid",0,IF(C866="Income",Q866,-Q866))</x:f>
      </x:c>
      <x:c r="S866" s="14">
        <x:f>IF(A866="","",DATE(YEAR(A866),MONTH(A866),1))</x:f>
      </x:c>
      <x:c r="T866" s="14">
        <x:f>IF(L866="","",DATE(YEAR(L866),MONTH(L866),1))</x:f>
      </x:c>
    </x:row>
    <x:row r="867">
      <x:c r="A867" s="11" t="n"/>
      <x:c r="B867" s="5" t="n"/>
      <x:c r="C867" s="12" t="n"/>
      <x:c r="D867" s="12" t="n"/>
      <x:c r="E867" s="12" t="n"/>
      <x:c r="F867" s="12" t="n"/>
      <x:c r="G867" s="13">
        <x:f>IF(F867="","",IFERROR(VLOOKUP(F867,Master_Data!$E$24:$G$33,2,FALSE),"9999"))</x:f>
      </x:c>
      <x:c r="H867" s="12" t="n"/>
      <x:c r="I867" s="12" t="n"/>
      <x:c r="J867" s="12" t="n"/>
      <x:c r="K867" s="12" t="n"/>
      <x:c r="L867" s="11" t="n"/>
      <x:c r="M867" s="9" t="n"/>
      <x:c r="N867" s="12" t="n"/>
      <x:c r="O867" s="6">
        <x:f>IF(N867="","",IFERROR(VLOOKUP(N867,Master_Data!$A$5:$C$8,3,FALSE),0))</x:f>
      </x:c>
      <x:c r="P867" s="7">
        <x:f>IF(M867="","",M867*O867)</x:f>
      </x:c>
      <x:c r="Q867" s="7">
        <x:f>IF(M867="","",M867+P867)</x:f>
      </x:c>
      <x:c r="R867" s="7">
        <x:f>IF(K867&lt;&gt;"Paid",0,IF(C867="Income",Q867,-Q867))</x:f>
      </x:c>
      <x:c r="S867" s="14">
        <x:f>IF(A867="","",DATE(YEAR(A867),MONTH(A867),1))</x:f>
      </x:c>
      <x:c r="T867" s="14">
        <x:f>IF(L867="","",DATE(YEAR(L867),MONTH(L867),1))</x:f>
      </x:c>
    </x:row>
    <x:row r="868">
      <x:c r="A868" s="11" t="n"/>
      <x:c r="B868" s="5" t="n"/>
      <x:c r="C868" s="12" t="n"/>
      <x:c r="D868" s="12" t="n"/>
      <x:c r="E868" s="12" t="n"/>
      <x:c r="F868" s="12" t="n"/>
      <x:c r="G868" s="13">
        <x:f>IF(F868="","",IFERROR(VLOOKUP(F868,Master_Data!$E$24:$G$33,2,FALSE),"9999"))</x:f>
      </x:c>
      <x:c r="H868" s="12" t="n"/>
      <x:c r="I868" s="12" t="n"/>
      <x:c r="J868" s="12" t="n"/>
      <x:c r="K868" s="12" t="n"/>
      <x:c r="L868" s="11" t="n"/>
      <x:c r="M868" s="9" t="n"/>
      <x:c r="N868" s="12" t="n"/>
      <x:c r="O868" s="6">
        <x:f>IF(N868="","",IFERROR(VLOOKUP(N868,Master_Data!$A$5:$C$8,3,FALSE),0))</x:f>
      </x:c>
      <x:c r="P868" s="7">
        <x:f>IF(M868="","",M868*O868)</x:f>
      </x:c>
      <x:c r="Q868" s="7">
        <x:f>IF(M868="","",M868+P868)</x:f>
      </x:c>
      <x:c r="R868" s="7">
        <x:f>IF(K868&lt;&gt;"Paid",0,IF(C868="Income",Q868,-Q868))</x:f>
      </x:c>
      <x:c r="S868" s="14">
        <x:f>IF(A868="","",DATE(YEAR(A868),MONTH(A868),1))</x:f>
      </x:c>
      <x:c r="T868" s="14">
        <x:f>IF(L868="","",DATE(YEAR(L868),MONTH(L868),1))</x:f>
      </x:c>
    </x:row>
    <x:row r="869">
      <x:c r="A869" s="11" t="n"/>
      <x:c r="B869" s="5" t="n"/>
      <x:c r="C869" s="12" t="n"/>
      <x:c r="D869" s="12" t="n"/>
      <x:c r="E869" s="12" t="n"/>
      <x:c r="F869" s="12" t="n"/>
      <x:c r="G869" s="13">
        <x:f>IF(F869="","",IFERROR(VLOOKUP(F869,Master_Data!$E$24:$G$33,2,FALSE),"9999"))</x:f>
      </x:c>
      <x:c r="H869" s="12" t="n"/>
      <x:c r="I869" s="12" t="n"/>
      <x:c r="J869" s="12" t="n"/>
      <x:c r="K869" s="12" t="n"/>
      <x:c r="L869" s="11" t="n"/>
      <x:c r="M869" s="9" t="n"/>
      <x:c r="N869" s="12" t="n"/>
      <x:c r="O869" s="6">
        <x:f>IF(N869="","",IFERROR(VLOOKUP(N869,Master_Data!$A$5:$C$8,3,FALSE),0))</x:f>
      </x:c>
      <x:c r="P869" s="7">
        <x:f>IF(M869="","",M869*O869)</x:f>
      </x:c>
      <x:c r="Q869" s="7">
        <x:f>IF(M869="","",M869+P869)</x:f>
      </x:c>
      <x:c r="R869" s="7">
        <x:f>IF(K869&lt;&gt;"Paid",0,IF(C869="Income",Q869,-Q869))</x:f>
      </x:c>
      <x:c r="S869" s="14">
        <x:f>IF(A869="","",DATE(YEAR(A869),MONTH(A869),1))</x:f>
      </x:c>
      <x:c r="T869" s="14">
        <x:f>IF(L869="","",DATE(YEAR(L869),MONTH(L869),1))</x:f>
      </x:c>
    </x:row>
    <x:row r="870">
      <x:c r="A870" s="11" t="n"/>
      <x:c r="B870" s="5" t="n"/>
      <x:c r="C870" s="12" t="n"/>
      <x:c r="D870" s="12" t="n"/>
      <x:c r="E870" s="12" t="n"/>
      <x:c r="F870" s="12" t="n"/>
      <x:c r="G870" s="13">
        <x:f>IF(F870="","",IFERROR(VLOOKUP(F870,Master_Data!$E$24:$G$33,2,FALSE),"9999"))</x:f>
      </x:c>
      <x:c r="H870" s="12" t="n"/>
      <x:c r="I870" s="12" t="n"/>
      <x:c r="J870" s="12" t="n"/>
      <x:c r="K870" s="12" t="n"/>
      <x:c r="L870" s="11" t="n"/>
      <x:c r="M870" s="9" t="n"/>
      <x:c r="N870" s="12" t="n"/>
      <x:c r="O870" s="6">
        <x:f>IF(N870="","",IFERROR(VLOOKUP(N870,Master_Data!$A$5:$C$8,3,FALSE),0))</x:f>
      </x:c>
      <x:c r="P870" s="7">
        <x:f>IF(M870="","",M870*O870)</x:f>
      </x:c>
      <x:c r="Q870" s="7">
        <x:f>IF(M870="","",M870+P870)</x:f>
      </x:c>
      <x:c r="R870" s="7">
        <x:f>IF(K870&lt;&gt;"Paid",0,IF(C870="Income",Q870,-Q870))</x:f>
      </x:c>
      <x:c r="S870" s="14">
        <x:f>IF(A870="","",DATE(YEAR(A870),MONTH(A870),1))</x:f>
      </x:c>
      <x:c r="T870" s="14">
        <x:f>IF(L870="","",DATE(YEAR(L870),MONTH(L870),1))</x:f>
      </x:c>
    </x:row>
    <x:row r="871">
      <x:c r="A871" s="11" t="n"/>
      <x:c r="B871" s="5" t="n"/>
      <x:c r="C871" s="12" t="n"/>
      <x:c r="D871" s="12" t="n"/>
      <x:c r="E871" s="12" t="n"/>
      <x:c r="F871" s="12" t="n"/>
      <x:c r="G871" s="13">
        <x:f>IF(F871="","",IFERROR(VLOOKUP(F871,Master_Data!$E$24:$G$33,2,FALSE),"9999"))</x:f>
      </x:c>
      <x:c r="H871" s="12" t="n"/>
      <x:c r="I871" s="12" t="n"/>
      <x:c r="J871" s="12" t="n"/>
      <x:c r="K871" s="12" t="n"/>
      <x:c r="L871" s="11" t="n"/>
      <x:c r="M871" s="9" t="n"/>
      <x:c r="N871" s="12" t="n"/>
      <x:c r="O871" s="6">
        <x:f>IF(N871="","",IFERROR(VLOOKUP(N871,Master_Data!$A$5:$C$8,3,FALSE),0))</x:f>
      </x:c>
      <x:c r="P871" s="7">
        <x:f>IF(M871="","",M871*O871)</x:f>
      </x:c>
      <x:c r="Q871" s="7">
        <x:f>IF(M871="","",M871+P871)</x:f>
      </x:c>
      <x:c r="R871" s="7">
        <x:f>IF(K871&lt;&gt;"Paid",0,IF(C871="Income",Q871,-Q871))</x:f>
      </x:c>
      <x:c r="S871" s="14">
        <x:f>IF(A871="","",DATE(YEAR(A871),MONTH(A871),1))</x:f>
      </x:c>
      <x:c r="T871" s="14">
        <x:f>IF(L871="","",DATE(YEAR(L871),MONTH(L871),1))</x:f>
      </x:c>
    </x:row>
    <x:row r="872">
      <x:c r="A872" s="11" t="n"/>
      <x:c r="B872" s="5" t="n"/>
      <x:c r="C872" s="12" t="n"/>
      <x:c r="D872" s="12" t="n"/>
      <x:c r="E872" s="12" t="n"/>
      <x:c r="F872" s="12" t="n"/>
      <x:c r="G872" s="13">
        <x:f>IF(F872="","",IFERROR(VLOOKUP(F872,Master_Data!$E$24:$G$33,2,FALSE),"9999"))</x:f>
      </x:c>
      <x:c r="H872" s="12" t="n"/>
      <x:c r="I872" s="12" t="n"/>
      <x:c r="J872" s="12" t="n"/>
      <x:c r="K872" s="12" t="n"/>
      <x:c r="L872" s="11" t="n"/>
      <x:c r="M872" s="9" t="n"/>
      <x:c r="N872" s="12" t="n"/>
      <x:c r="O872" s="6">
        <x:f>IF(N872="","",IFERROR(VLOOKUP(N872,Master_Data!$A$5:$C$8,3,FALSE),0))</x:f>
      </x:c>
      <x:c r="P872" s="7">
        <x:f>IF(M872="","",M872*O872)</x:f>
      </x:c>
      <x:c r="Q872" s="7">
        <x:f>IF(M872="","",M872+P872)</x:f>
      </x:c>
      <x:c r="R872" s="7">
        <x:f>IF(K872&lt;&gt;"Paid",0,IF(C872="Income",Q872,-Q872))</x:f>
      </x:c>
      <x:c r="S872" s="14">
        <x:f>IF(A872="","",DATE(YEAR(A872),MONTH(A872),1))</x:f>
      </x:c>
      <x:c r="T872" s="14">
        <x:f>IF(L872="","",DATE(YEAR(L872),MONTH(L872),1))</x:f>
      </x:c>
    </x:row>
    <x:row r="873">
      <x:c r="A873" s="11" t="n"/>
      <x:c r="B873" s="5" t="n"/>
      <x:c r="C873" s="12" t="n"/>
      <x:c r="D873" s="12" t="n"/>
      <x:c r="E873" s="12" t="n"/>
      <x:c r="F873" s="12" t="n"/>
      <x:c r="G873" s="13">
        <x:f>IF(F873="","",IFERROR(VLOOKUP(F873,Master_Data!$E$24:$G$33,2,FALSE),"9999"))</x:f>
      </x:c>
      <x:c r="H873" s="12" t="n"/>
      <x:c r="I873" s="12" t="n"/>
      <x:c r="J873" s="12" t="n"/>
      <x:c r="K873" s="12" t="n"/>
      <x:c r="L873" s="11" t="n"/>
      <x:c r="M873" s="9" t="n"/>
      <x:c r="N873" s="12" t="n"/>
      <x:c r="O873" s="6">
        <x:f>IF(N873="","",IFERROR(VLOOKUP(N873,Master_Data!$A$5:$C$8,3,FALSE),0))</x:f>
      </x:c>
      <x:c r="P873" s="7">
        <x:f>IF(M873="","",M873*O873)</x:f>
      </x:c>
      <x:c r="Q873" s="7">
        <x:f>IF(M873="","",M873+P873)</x:f>
      </x:c>
      <x:c r="R873" s="7">
        <x:f>IF(K873&lt;&gt;"Paid",0,IF(C873="Income",Q873,-Q873))</x:f>
      </x:c>
      <x:c r="S873" s="14">
        <x:f>IF(A873="","",DATE(YEAR(A873),MONTH(A873),1))</x:f>
      </x:c>
      <x:c r="T873" s="14">
        <x:f>IF(L873="","",DATE(YEAR(L873),MONTH(L873),1))</x:f>
      </x:c>
    </x:row>
    <x:row r="874">
      <x:c r="A874" s="11" t="n"/>
      <x:c r="B874" s="5" t="n"/>
      <x:c r="C874" s="12" t="n"/>
      <x:c r="D874" s="12" t="n"/>
      <x:c r="E874" s="12" t="n"/>
      <x:c r="F874" s="12" t="n"/>
      <x:c r="G874" s="13">
        <x:f>IF(F874="","",IFERROR(VLOOKUP(F874,Master_Data!$E$24:$G$33,2,FALSE),"9999"))</x:f>
      </x:c>
      <x:c r="H874" s="12" t="n"/>
      <x:c r="I874" s="12" t="n"/>
      <x:c r="J874" s="12" t="n"/>
      <x:c r="K874" s="12" t="n"/>
      <x:c r="L874" s="11" t="n"/>
      <x:c r="M874" s="9" t="n"/>
      <x:c r="N874" s="12" t="n"/>
      <x:c r="O874" s="6">
        <x:f>IF(N874="","",IFERROR(VLOOKUP(N874,Master_Data!$A$5:$C$8,3,FALSE),0))</x:f>
      </x:c>
      <x:c r="P874" s="7">
        <x:f>IF(M874="","",M874*O874)</x:f>
      </x:c>
      <x:c r="Q874" s="7">
        <x:f>IF(M874="","",M874+P874)</x:f>
      </x:c>
      <x:c r="R874" s="7">
        <x:f>IF(K874&lt;&gt;"Paid",0,IF(C874="Income",Q874,-Q874))</x:f>
      </x:c>
      <x:c r="S874" s="14">
        <x:f>IF(A874="","",DATE(YEAR(A874),MONTH(A874),1))</x:f>
      </x:c>
      <x:c r="T874" s="14">
        <x:f>IF(L874="","",DATE(YEAR(L874),MONTH(L874),1))</x:f>
      </x:c>
    </x:row>
    <x:row r="875">
      <x:c r="A875" s="11" t="n"/>
      <x:c r="B875" s="5" t="n"/>
      <x:c r="C875" s="12" t="n"/>
      <x:c r="D875" s="12" t="n"/>
      <x:c r="E875" s="12" t="n"/>
      <x:c r="F875" s="12" t="n"/>
      <x:c r="G875" s="13">
        <x:f>IF(F875="","",IFERROR(VLOOKUP(F875,Master_Data!$E$24:$G$33,2,FALSE),"9999"))</x:f>
      </x:c>
      <x:c r="H875" s="12" t="n"/>
      <x:c r="I875" s="12" t="n"/>
      <x:c r="J875" s="12" t="n"/>
      <x:c r="K875" s="12" t="n"/>
      <x:c r="L875" s="11" t="n"/>
      <x:c r="M875" s="9" t="n"/>
      <x:c r="N875" s="12" t="n"/>
      <x:c r="O875" s="6">
        <x:f>IF(N875="","",IFERROR(VLOOKUP(N875,Master_Data!$A$5:$C$8,3,FALSE),0))</x:f>
      </x:c>
      <x:c r="P875" s="7">
        <x:f>IF(M875="","",M875*O875)</x:f>
      </x:c>
      <x:c r="Q875" s="7">
        <x:f>IF(M875="","",M875+P875)</x:f>
      </x:c>
      <x:c r="R875" s="7">
        <x:f>IF(K875&lt;&gt;"Paid",0,IF(C875="Income",Q875,-Q875))</x:f>
      </x:c>
      <x:c r="S875" s="14">
        <x:f>IF(A875="","",DATE(YEAR(A875),MONTH(A875),1))</x:f>
      </x:c>
      <x:c r="T875" s="14">
        <x:f>IF(L875="","",DATE(YEAR(L875),MONTH(L875),1))</x:f>
      </x:c>
    </x:row>
    <x:row r="876">
      <x:c r="A876" s="11" t="n"/>
      <x:c r="B876" s="5" t="n"/>
      <x:c r="C876" s="12" t="n"/>
      <x:c r="D876" s="12" t="n"/>
      <x:c r="E876" s="12" t="n"/>
      <x:c r="F876" s="12" t="n"/>
      <x:c r="G876" s="13">
        <x:f>IF(F876="","",IFERROR(VLOOKUP(F876,Master_Data!$E$24:$G$33,2,FALSE),"9999"))</x:f>
      </x:c>
      <x:c r="H876" s="12" t="n"/>
      <x:c r="I876" s="12" t="n"/>
      <x:c r="J876" s="12" t="n"/>
      <x:c r="K876" s="12" t="n"/>
      <x:c r="L876" s="11" t="n"/>
      <x:c r="M876" s="9" t="n"/>
      <x:c r="N876" s="12" t="n"/>
      <x:c r="O876" s="6">
        <x:f>IF(N876="","",IFERROR(VLOOKUP(N876,Master_Data!$A$5:$C$8,3,FALSE),0))</x:f>
      </x:c>
      <x:c r="P876" s="7">
        <x:f>IF(M876="","",M876*O876)</x:f>
      </x:c>
      <x:c r="Q876" s="7">
        <x:f>IF(M876="","",M876+P876)</x:f>
      </x:c>
      <x:c r="R876" s="7">
        <x:f>IF(K876&lt;&gt;"Paid",0,IF(C876="Income",Q876,-Q876))</x:f>
      </x:c>
      <x:c r="S876" s="14">
        <x:f>IF(A876="","",DATE(YEAR(A876),MONTH(A876),1))</x:f>
      </x:c>
      <x:c r="T876" s="14">
        <x:f>IF(L876="","",DATE(YEAR(L876),MONTH(L876),1))</x:f>
      </x:c>
    </x:row>
    <x:row r="877">
      <x:c r="A877" s="11" t="n"/>
      <x:c r="B877" s="5" t="n"/>
      <x:c r="C877" s="12" t="n"/>
      <x:c r="D877" s="12" t="n"/>
      <x:c r="E877" s="12" t="n"/>
      <x:c r="F877" s="12" t="n"/>
      <x:c r="G877" s="13">
        <x:f>IF(F877="","",IFERROR(VLOOKUP(F877,Master_Data!$E$24:$G$33,2,FALSE),"9999"))</x:f>
      </x:c>
      <x:c r="H877" s="12" t="n"/>
      <x:c r="I877" s="12" t="n"/>
      <x:c r="J877" s="12" t="n"/>
      <x:c r="K877" s="12" t="n"/>
      <x:c r="L877" s="11" t="n"/>
      <x:c r="M877" s="9" t="n"/>
      <x:c r="N877" s="12" t="n"/>
      <x:c r="O877" s="6">
        <x:f>IF(N877="","",IFERROR(VLOOKUP(N877,Master_Data!$A$5:$C$8,3,FALSE),0))</x:f>
      </x:c>
      <x:c r="P877" s="7">
        <x:f>IF(M877="","",M877*O877)</x:f>
      </x:c>
      <x:c r="Q877" s="7">
        <x:f>IF(M877="","",M877+P877)</x:f>
      </x:c>
      <x:c r="R877" s="7">
        <x:f>IF(K877&lt;&gt;"Paid",0,IF(C877="Income",Q877,-Q877))</x:f>
      </x:c>
      <x:c r="S877" s="14">
        <x:f>IF(A877="","",DATE(YEAR(A877),MONTH(A877),1))</x:f>
      </x:c>
      <x:c r="T877" s="14">
        <x:f>IF(L877="","",DATE(YEAR(L877),MONTH(L877),1))</x:f>
      </x:c>
    </x:row>
    <x:row r="878">
      <x:c r="A878" s="11" t="n"/>
      <x:c r="B878" s="5" t="n"/>
      <x:c r="C878" s="12" t="n"/>
      <x:c r="D878" s="12" t="n"/>
      <x:c r="E878" s="12" t="n"/>
      <x:c r="F878" s="12" t="n"/>
      <x:c r="G878" s="13">
        <x:f>IF(F878="","",IFERROR(VLOOKUP(F878,Master_Data!$E$24:$G$33,2,FALSE),"9999"))</x:f>
      </x:c>
      <x:c r="H878" s="12" t="n"/>
      <x:c r="I878" s="12" t="n"/>
      <x:c r="J878" s="12" t="n"/>
      <x:c r="K878" s="12" t="n"/>
      <x:c r="L878" s="11" t="n"/>
      <x:c r="M878" s="9" t="n"/>
      <x:c r="N878" s="12" t="n"/>
      <x:c r="O878" s="6">
        <x:f>IF(N878="","",IFERROR(VLOOKUP(N878,Master_Data!$A$5:$C$8,3,FALSE),0))</x:f>
      </x:c>
      <x:c r="P878" s="7">
        <x:f>IF(M878="","",M878*O878)</x:f>
      </x:c>
      <x:c r="Q878" s="7">
        <x:f>IF(M878="","",M878+P878)</x:f>
      </x:c>
      <x:c r="R878" s="7">
        <x:f>IF(K878&lt;&gt;"Paid",0,IF(C878="Income",Q878,-Q878))</x:f>
      </x:c>
      <x:c r="S878" s="14">
        <x:f>IF(A878="","",DATE(YEAR(A878),MONTH(A878),1))</x:f>
      </x:c>
      <x:c r="T878" s="14">
        <x:f>IF(L878="","",DATE(YEAR(L878),MONTH(L878),1))</x:f>
      </x:c>
    </x:row>
    <x:row r="879">
      <x:c r="A879" s="11" t="n"/>
      <x:c r="B879" s="5" t="n"/>
      <x:c r="C879" s="12" t="n"/>
      <x:c r="D879" s="12" t="n"/>
      <x:c r="E879" s="12" t="n"/>
      <x:c r="F879" s="12" t="n"/>
      <x:c r="G879" s="13">
        <x:f>IF(F879="","",IFERROR(VLOOKUP(F879,Master_Data!$E$24:$G$33,2,FALSE),"9999"))</x:f>
      </x:c>
      <x:c r="H879" s="12" t="n"/>
      <x:c r="I879" s="12" t="n"/>
      <x:c r="J879" s="12" t="n"/>
      <x:c r="K879" s="12" t="n"/>
      <x:c r="L879" s="11" t="n"/>
      <x:c r="M879" s="9" t="n"/>
      <x:c r="N879" s="12" t="n"/>
      <x:c r="O879" s="6">
        <x:f>IF(N879="","",IFERROR(VLOOKUP(N879,Master_Data!$A$5:$C$8,3,FALSE),0))</x:f>
      </x:c>
      <x:c r="P879" s="7">
        <x:f>IF(M879="","",M879*O879)</x:f>
      </x:c>
      <x:c r="Q879" s="7">
        <x:f>IF(M879="","",M879+P879)</x:f>
      </x:c>
      <x:c r="R879" s="7">
        <x:f>IF(K879&lt;&gt;"Paid",0,IF(C879="Income",Q879,-Q879))</x:f>
      </x:c>
      <x:c r="S879" s="14">
        <x:f>IF(A879="","",DATE(YEAR(A879),MONTH(A879),1))</x:f>
      </x:c>
      <x:c r="T879" s="14">
        <x:f>IF(L879="","",DATE(YEAR(L879),MONTH(L879),1))</x:f>
      </x:c>
    </x:row>
    <x:row r="880">
      <x:c r="A880" s="11" t="n"/>
      <x:c r="B880" s="5" t="n"/>
      <x:c r="C880" s="12" t="n"/>
      <x:c r="D880" s="12" t="n"/>
      <x:c r="E880" s="12" t="n"/>
      <x:c r="F880" s="12" t="n"/>
      <x:c r="G880" s="13">
        <x:f>IF(F880="","",IFERROR(VLOOKUP(F880,Master_Data!$E$24:$G$33,2,FALSE),"9999"))</x:f>
      </x:c>
      <x:c r="H880" s="12" t="n"/>
      <x:c r="I880" s="12" t="n"/>
      <x:c r="J880" s="12" t="n"/>
      <x:c r="K880" s="12" t="n"/>
      <x:c r="L880" s="11" t="n"/>
      <x:c r="M880" s="9" t="n"/>
      <x:c r="N880" s="12" t="n"/>
      <x:c r="O880" s="6">
        <x:f>IF(N880="","",IFERROR(VLOOKUP(N880,Master_Data!$A$5:$C$8,3,FALSE),0))</x:f>
      </x:c>
      <x:c r="P880" s="7">
        <x:f>IF(M880="","",M880*O880)</x:f>
      </x:c>
      <x:c r="Q880" s="7">
        <x:f>IF(M880="","",M880+P880)</x:f>
      </x:c>
      <x:c r="R880" s="7">
        <x:f>IF(K880&lt;&gt;"Paid",0,IF(C880="Income",Q880,-Q880))</x:f>
      </x:c>
      <x:c r="S880" s="14">
        <x:f>IF(A880="","",DATE(YEAR(A880),MONTH(A880),1))</x:f>
      </x:c>
      <x:c r="T880" s="14">
        <x:f>IF(L880="","",DATE(YEAR(L880),MONTH(L880),1))</x:f>
      </x:c>
    </x:row>
    <x:row r="881">
      <x:c r="A881" s="11" t="n"/>
      <x:c r="B881" s="5" t="n"/>
      <x:c r="C881" s="12" t="n"/>
      <x:c r="D881" s="12" t="n"/>
      <x:c r="E881" s="12" t="n"/>
      <x:c r="F881" s="12" t="n"/>
      <x:c r="G881" s="13">
        <x:f>IF(F881="","",IFERROR(VLOOKUP(F881,Master_Data!$E$24:$G$33,2,FALSE),"9999"))</x:f>
      </x:c>
      <x:c r="H881" s="12" t="n"/>
      <x:c r="I881" s="12" t="n"/>
      <x:c r="J881" s="12" t="n"/>
      <x:c r="K881" s="12" t="n"/>
      <x:c r="L881" s="11" t="n"/>
      <x:c r="M881" s="9" t="n"/>
      <x:c r="N881" s="12" t="n"/>
      <x:c r="O881" s="6">
        <x:f>IF(N881="","",IFERROR(VLOOKUP(N881,Master_Data!$A$5:$C$8,3,FALSE),0))</x:f>
      </x:c>
      <x:c r="P881" s="7">
        <x:f>IF(M881="","",M881*O881)</x:f>
      </x:c>
      <x:c r="Q881" s="7">
        <x:f>IF(M881="","",M881+P881)</x:f>
      </x:c>
      <x:c r="R881" s="7">
        <x:f>IF(K881&lt;&gt;"Paid",0,IF(C881="Income",Q881,-Q881))</x:f>
      </x:c>
      <x:c r="S881" s="14">
        <x:f>IF(A881="","",DATE(YEAR(A881),MONTH(A881),1))</x:f>
      </x:c>
      <x:c r="T881" s="14">
        <x:f>IF(L881="","",DATE(YEAR(L881),MONTH(L881),1))</x:f>
      </x:c>
    </x:row>
    <x:row r="882">
      <x:c r="A882" s="11" t="n"/>
      <x:c r="B882" s="5" t="n"/>
      <x:c r="C882" s="12" t="n"/>
      <x:c r="D882" s="12" t="n"/>
      <x:c r="E882" s="12" t="n"/>
      <x:c r="F882" s="12" t="n"/>
      <x:c r="G882" s="13">
        <x:f>IF(F882="","",IFERROR(VLOOKUP(F882,Master_Data!$E$24:$G$33,2,FALSE),"9999"))</x:f>
      </x:c>
      <x:c r="H882" s="12" t="n"/>
      <x:c r="I882" s="12" t="n"/>
      <x:c r="J882" s="12" t="n"/>
      <x:c r="K882" s="12" t="n"/>
      <x:c r="L882" s="11" t="n"/>
      <x:c r="M882" s="9" t="n"/>
      <x:c r="N882" s="12" t="n"/>
      <x:c r="O882" s="6">
        <x:f>IF(N882="","",IFERROR(VLOOKUP(N882,Master_Data!$A$5:$C$8,3,FALSE),0))</x:f>
      </x:c>
      <x:c r="P882" s="7">
        <x:f>IF(M882="","",M882*O882)</x:f>
      </x:c>
      <x:c r="Q882" s="7">
        <x:f>IF(M882="","",M882+P882)</x:f>
      </x:c>
      <x:c r="R882" s="7">
        <x:f>IF(K882&lt;&gt;"Paid",0,IF(C882="Income",Q882,-Q882))</x:f>
      </x:c>
      <x:c r="S882" s="14">
        <x:f>IF(A882="","",DATE(YEAR(A882),MONTH(A882),1))</x:f>
      </x:c>
      <x:c r="T882" s="14">
        <x:f>IF(L882="","",DATE(YEAR(L882),MONTH(L882),1))</x:f>
      </x:c>
    </x:row>
    <x:row r="883">
      <x:c r="A883" s="11" t="n"/>
      <x:c r="B883" s="5" t="n"/>
      <x:c r="C883" s="12" t="n"/>
      <x:c r="D883" s="12" t="n"/>
      <x:c r="E883" s="12" t="n"/>
      <x:c r="F883" s="12" t="n"/>
      <x:c r="G883" s="13">
        <x:f>IF(F883="","",IFERROR(VLOOKUP(F883,Master_Data!$E$24:$G$33,2,FALSE),"9999"))</x:f>
      </x:c>
      <x:c r="H883" s="12" t="n"/>
      <x:c r="I883" s="12" t="n"/>
      <x:c r="J883" s="12" t="n"/>
      <x:c r="K883" s="12" t="n"/>
      <x:c r="L883" s="11" t="n"/>
      <x:c r="M883" s="9" t="n"/>
      <x:c r="N883" s="12" t="n"/>
      <x:c r="O883" s="6">
        <x:f>IF(N883="","",IFERROR(VLOOKUP(N883,Master_Data!$A$5:$C$8,3,FALSE),0))</x:f>
      </x:c>
      <x:c r="P883" s="7">
        <x:f>IF(M883="","",M883*O883)</x:f>
      </x:c>
      <x:c r="Q883" s="7">
        <x:f>IF(M883="","",M883+P883)</x:f>
      </x:c>
      <x:c r="R883" s="7">
        <x:f>IF(K883&lt;&gt;"Paid",0,IF(C883="Income",Q883,-Q883))</x:f>
      </x:c>
      <x:c r="S883" s="14">
        <x:f>IF(A883="","",DATE(YEAR(A883),MONTH(A883),1))</x:f>
      </x:c>
      <x:c r="T883" s="14">
        <x:f>IF(L883="","",DATE(YEAR(L883),MONTH(L883),1))</x:f>
      </x:c>
    </x:row>
    <x:row r="884">
      <x:c r="A884" s="11" t="n"/>
      <x:c r="B884" s="5" t="n"/>
      <x:c r="C884" s="12" t="n"/>
      <x:c r="D884" s="12" t="n"/>
      <x:c r="E884" s="12" t="n"/>
      <x:c r="F884" s="12" t="n"/>
      <x:c r="G884" s="13">
        <x:f>IF(F884="","",IFERROR(VLOOKUP(F884,Master_Data!$E$24:$G$33,2,FALSE),"9999"))</x:f>
      </x:c>
      <x:c r="H884" s="12" t="n"/>
      <x:c r="I884" s="12" t="n"/>
      <x:c r="J884" s="12" t="n"/>
      <x:c r="K884" s="12" t="n"/>
      <x:c r="L884" s="11" t="n"/>
      <x:c r="M884" s="9" t="n"/>
      <x:c r="N884" s="12" t="n"/>
      <x:c r="O884" s="6">
        <x:f>IF(N884="","",IFERROR(VLOOKUP(N884,Master_Data!$A$5:$C$8,3,FALSE),0))</x:f>
      </x:c>
      <x:c r="P884" s="7">
        <x:f>IF(M884="","",M884*O884)</x:f>
      </x:c>
      <x:c r="Q884" s="7">
        <x:f>IF(M884="","",M884+P884)</x:f>
      </x:c>
      <x:c r="R884" s="7">
        <x:f>IF(K884&lt;&gt;"Paid",0,IF(C884="Income",Q884,-Q884))</x:f>
      </x:c>
      <x:c r="S884" s="14">
        <x:f>IF(A884="","",DATE(YEAR(A884),MONTH(A884),1))</x:f>
      </x:c>
      <x:c r="T884" s="14">
        <x:f>IF(L884="","",DATE(YEAR(L884),MONTH(L884),1))</x:f>
      </x:c>
    </x:row>
    <x:row r="885">
      <x:c r="A885" s="11" t="n"/>
      <x:c r="B885" s="5" t="n"/>
      <x:c r="C885" s="12" t="n"/>
      <x:c r="D885" s="12" t="n"/>
      <x:c r="E885" s="12" t="n"/>
      <x:c r="F885" s="12" t="n"/>
      <x:c r="G885" s="13">
        <x:f>IF(F885="","",IFERROR(VLOOKUP(F885,Master_Data!$E$24:$G$33,2,FALSE),"9999"))</x:f>
      </x:c>
      <x:c r="H885" s="12" t="n"/>
      <x:c r="I885" s="12" t="n"/>
      <x:c r="J885" s="12" t="n"/>
      <x:c r="K885" s="12" t="n"/>
      <x:c r="L885" s="11" t="n"/>
      <x:c r="M885" s="9" t="n"/>
      <x:c r="N885" s="12" t="n"/>
      <x:c r="O885" s="6">
        <x:f>IF(N885="","",IFERROR(VLOOKUP(N885,Master_Data!$A$5:$C$8,3,FALSE),0))</x:f>
      </x:c>
      <x:c r="P885" s="7">
        <x:f>IF(M885="","",M885*O885)</x:f>
      </x:c>
      <x:c r="Q885" s="7">
        <x:f>IF(M885="","",M885+P885)</x:f>
      </x:c>
      <x:c r="R885" s="7">
        <x:f>IF(K885&lt;&gt;"Paid",0,IF(C885="Income",Q885,-Q885))</x:f>
      </x:c>
      <x:c r="S885" s="14">
        <x:f>IF(A885="","",DATE(YEAR(A885),MONTH(A885),1))</x:f>
      </x:c>
      <x:c r="T885" s="14">
        <x:f>IF(L885="","",DATE(YEAR(L885),MONTH(L885),1))</x:f>
      </x:c>
    </x:row>
    <x:row r="886">
      <x:c r="A886" s="11" t="n"/>
      <x:c r="B886" s="5" t="n"/>
      <x:c r="C886" s="12" t="n"/>
      <x:c r="D886" s="12" t="n"/>
      <x:c r="E886" s="12" t="n"/>
      <x:c r="F886" s="12" t="n"/>
      <x:c r="G886" s="13">
        <x:f>IF(F886="","",IFERROR(VLOOKUP(F886,Master_Data!$E$24:$G$33,2,FALSE),"9999"))</x:f>
      </x:c>
      <x:c r="H886" s="12" t="n"/>
      <x:c r="I886" s="12" t="n"/>
      <x:c r="J886" s="12" t="n"/>
      <x:c r="K886" s="12" t="n"/>
      <x:c r="L886" s="11" t="n"/>
      <x:c r="M886" s="9" t="n"/>
      <x:c r="N886" s="12" t="n"/>
      <x:c r="O886" s="6">
        <x:f>IF(N886="","",IFERROR(VLOOKUP(N886,Master_Data!$A$5:$C$8,3,FALSE),0))</x:f>
      </x:c>
      <x:c r="P886" s="7">
        <x:f>IF(M886="","",M886*O886)</x:f>
      </x:c>
      <x:c r="Q886" s="7">
        <x:f>IF(M886="","",M886+P886)</x:f>
      </x:c>
      <x:c r="R886" s="7">
        <x:f>IF(K886&lt;&gt;"Paid",0,IF(C886="Income",Q886,-Q886))</x:f>
      </x:c>
      <x:c r="S886" s="14">
        <x:f>IF(A886="","",DATE(YEAR(A886),MONTH(A886),1))</x:f>
      </x:c>
      <x:c r="T886" s="14">
        <x:f>IF(L886="","",DATE(YEAR(L886),MONTH(L886),1))</x:f>
      </x:c>
    </x:row>
    <x:row r="887">
      <x:c r="A887" s="11" t="n"/>
      <x:c r="B887" s="5" t="n"/>
      <x:c r="C887" s="12" t="n"/>
      <x:c r="D887" s="12" t="n"/>
      <x:c r="E887" s="12" t="n"/>
      <x:c r="F887" s="12" t="n"/>
      <x:c r="G887" s="13">
        <x:f>IF(F887="","",IFERROR(VLOOKUP(F887,Master_Data!$E$24:$G$33,2,FALSE),"9999"))</x:f>
      </x:c>
      <x:c r="H887" s="12" t="n"/>
      <x:c r="I887" s="12" t="n"/>
      <x:c r="J887" s="12" t="n"/>
      <x:c r="K887" s="12" t="n"/>
      <x:c r="L887" s="11" t="n"/>
      <x:c r="M887" s="9" t="n"/>
      <x:c r="N887" s="12" t="n"/>
      <x:c r="O887" s="6">
        <x:f>IF(N887="","",IFERROR(VLOOKUP(N887,Master_Data!$A$5:$C$8,3,FALSE),0))</x:f>
      </x:c>
      <x:c r="P887" s="7">
        <x:f>IF(M887="","",M887*O887)</x:f>
      </x:c>
      <x:c r="Q887" s="7">
        <x:f>IF(M887="","",M887+P887)</x:f>
      </x:c>
      <x:c r="R887" s="7">
        <x:f>IF(K887&lt;&gt;"Paid",0,IF(C887="Income",Q887,-Q887))</x:f>
      </x:c>
      <x:c r="S887" s="14">
        <x:f>IF(A887="","",DATE(YEAR(A887),MONTH(A887),1))</x:f>
      </x:c>
      <x:c r="T887" s="14">
        <x:f>IF(L887="","",DATE(YEAR(L887),MONTH(L887),1))</x:f>
      </x:c>
    </x:row>
    <x:row r="888">
      <x:c r="A888" s="11" t="n"/>
      <x:c r="B888" s="5" t="n"/>
      <x:c r="C888" s="12" t="n"/>
      <x:c r="D888" s="12" t="n"/>
      <x:c r="E888" s="12" t="n"/>
      <x:c r="F888" s="12" t="n"/>
      <x:c r="G888" s="13">
        <x:f>IF(F888="","",IFERROR(VLOOKUP(F888,Master_Data!$E$24:$G$33,2,FALSE),"9999"))</x:f>
      </x:c>
      <x:c r="H888" s="12" t="n"/>
      <x:c r="I888" s="12" t="n"/>
      <x:c r="J888" s="12" t="n"/>
      <x:c r="K888" s="12" t="n"/>
      <x:c r="L888" s="11" t="n"/>
      <x:c r="M888" s="9" t="n"/>
      <x:c r="N888" s="12" t="n"/>
      <x:c r="O888" s="6">
        <x:f>IF(N888="","",IFERROR(VLOOKUP(N888,Master_Data!$A$5:$C$8,3,FALSE),0))</x:f>
      </x:c>
      <x:c r="P888" s="7">
        <x:f>IF(M888="","",M888*O888)</x:f>
      </x:c>
      <x:c r="Q888" s="7">
        <x:f>IF(M888="","",M888+P888)</x:f>
      </x:c>
      <x:c r="R888" s="7">
        <x:f>IF(K888&lt;&gt;"Paid",0,IF(C888="Income",Q888,-Q888))</x:f>
      </x:c>
      <x:c r="S888" s="14">
        <x:f>IF(A888="","",DATE(YEAR(A888),MONTH(A888),1))</x:f>
      </x:c>
      <x:c r="T888" s="14">
        <x:f>IF(L888="","",DATE(YEAR(L888),MONTH(L888),1))</x:f>
      </x:c>
    </x:row>
    <x:row r="889">
      <x:c r="A889" s="11" t="n"/>
      <x:c r="B889" s="5" t="n"/>
      <x:c r="C889" s="12" t="n"/>
      <x:c r="D889" s="12" t="n"/>
      <x:c r="E889" s="12" t="n"/>
      <x:c r="F889" s="12" t="n"/>
      <x:c r="G889" s="13">
        <x:f>IF(F889="","",IFERROR(VLOOKUP(F889,Master_Data!$E$24:$G$33,2,FALSE),"9999"))</x:f>
      </x:c>
      <x:c r="H889" s="12" t="n"/>
      <x:c r="I889" s="12" t="n"/>
      <x:c r="J889" s="12" t="n"/>
      <x:c r="K889" s="12" t="n"/>
      <x:c r="L889" s="11" t="n"/>
      <x:c r="M889" s="9" t="n"/>
      <x:c r="N889" s="12" t="n"/>
      <x:c r="O889" s="6">
        <x:f>IF(N889="","",IFERROR(VLOOKUP(N889,Master_Data!$A$5:$C$8,3,FALSE),0))</x:f>
      </x:c>
      <x:c r="P889" s="7">
        <x:f>IF(M889="","",M889*O889)</x:f>
      </x:c>
      <x:c r="Q889" s="7">
        <x:f>IF(M889="","",M889+P889)</x:f>
      </x:c>
      <x:c r="R889" s="7">
        <x:f>IF(K889&lt;&gt;"Paid",0,IF(C889="Income",Q889,-Q889))</x:f>
      </x:c>
      <x:c r="S889" s="14">
        <x:f>IF(A889="","",DATE(YEAR(A889),MONTH(A889),1))</x:f>
      </x:c>
      <x:c r="T889" s="14">
        <x:f>IF(L889="","",DATE(YEAR(L889),MONTH(L889),1))</x:f>
      </x:c>
    </x:row>
    <x:row r="890">
      <x:c r="A890" s="11" t="n"/>
      <x:c r="B890" s="5" t="n"/>
      <x:c r="C890" s="12" t="n"/>
      <x:c r="D890" s="12" t="n"/>
      <x:c r="E890" s="12" t="n"/>
      <x:c r="F890" s="12" t="n"/>
      <x:c r="G890" s="13">
        <x:f>IF(F890="","",IFERROR(VLOOKUP(F890,Master_Data!$E$24:$G$33,2,FALSE),"9999"))</x:f>
      </x:c>
      <x:c r="H890" s="12" t="n"/>
      <x:c r="I890" s="12" t="n"/>
      <x:c r="J890" s="12" t="n"/>
      <x:c r="K890" s="12" t="n"/>
      <x:c r="L890" s="11" t="n"/>
      <x:c r="M890" s="9" t="n"/>
      <x:c r="N890" s="12" t="n"/>
      <x:c r="O890" s="6">
        <x:f>IF(N890="","",IFERROR(VLOOKUP(N890,Master_Data!$A$5:$C$8,3,FALSE),0))</x:f>
      </x:c>
      <x:c r="P890" s="7">
        <x:f>IF(M890="","",M890*O890)</x:f>
      </x:c>
      <x:c r="Q890" s="7">
        <x:f>IF(M890="","",M890+P890)</x:f>
      </x:c>
      <x:c r="R890" s="7">
        <x:f>IF(K890&lt;&gt;"Paid",0,IF(C890="Income",Q890,-Q890))</x:f>
      </x:c>
      <x:c r="S890" s="14">
        <x:f>IF(A890="","",DATE(YEAR(A890),MONTH(A890),1))</x:f>
      </x:c>
      <x:c r="T890" s="14">
        <x:f>IF(L890="","",DATE(YEAR(L890),MONTH(L890),1))</x:f>
      </x:c>
    </x:row>
    <x:row r="891">
      <x:c r="A891" s="11" t="n"/>
      <x:c r="B891" s="5" t="n"/>
      <x:c r="C891" s="12" t="n"/>
      <x:c r="D891" s="12" t="n"/>
      <x:c r="E891" s="12" t="n"/>
      <x:c r="F891" s="12" t="n"/>
      <x:c r="G891" s="13">
        <x:f>IF(F891="","",IFERROR(VLOOKUP(F891,Master_Data!$E$24:$G$33,2,FALSE),"9999"))</x:f>
      </x:c>
      <x:c r="H891" s="12" t="n"/>
      <x:c r="I891" s="12" t="n"/>
      <x:c r="J891" s="12" t="n"/>
      <x:c r="K891" s="12" t="n"/>
      <x:c r="L891" s="11" t="n"/>
      <x:c r="M891" s="9" t="n"/>
      <x:c r="N891" s="12" t="n"/>
      <x:c r="O891" s="6">
        <x:f>IF(N891="","",IFERROR(VLOOKUP(N891,Master_Data!$A$5:$C$8,3,FALSE),0))</x:f>
      </x:c>
      <x:c r="P891" s="7">
        <x:f>IF(M891="","",M891*O891)</x:f>
      </x:c>
      <x:c r="Q891" s="7">
        <x:f>IF(M891="","",M891+P891)</x:f>
      </x:c>
      <x:c r="R891" s="7">
        <x:f>IF(K891&lt;&gt;"Paid",0,IF(C891="Income",Q891,-Q891))</x:f>
      </x:c>
      <x:c r="S891" s="14">
        <x:f>IF(A891="","",DATE(YEAR(A891),MONTH(A891),1))</x:f>
      </x:c>
      <x:c r="T891" s="14">
        <x:f>IF(L891="","",DATE(YEAR(L891),MONTH(L891),1))</x:f>
      </x:c>
    </x:row>
    <x:row r="892">
      <x:c r="A892" s="11" t="n"/>
      <x:c r="B892" s="5" t="n"/>
      <x:c r="C892" s="12" t="n"/>
      <x:c r="D892" s="12" t="n"/>
      <x:c r="E892" s="12" t="n"/>
      <x:c r="F892" s="12" t="n"/>
      <x:c r="G892" s="13">
        <x:f>IF(F892="","",IFERROR(VLOOKUP(F892,Master_Data!$E$24:$G$33,2,FALSE),"9999"))</x:f>
      </x:c>
      <x:c r="H892" s="12" t="n"/>
      <x:c r="I892" s="12" t="n"/>
      <x:c r="J892" s="12" t="n"/>
      <x:c r="K892" s="12" t="n"/>
      <x:c r="L892" s="11" t="n"/>
      <x:c r="M892" s="9" t="n"/>
      <x:c r="N892" s="12" t="n"/>
      <x:c r="O892" s="6">
        <x:f>IF(N892="","",IFERROR(VLOOKUP(N892,Master_Data!$A$5:$C$8,3,FALSE),0))</x:f>
      </x:c>
      <x:c r="P892" s="7">
        <x:f>IF(M892="","",M892*O892)</x:f>
      </x:c>
      <x:c r="Q892" s="7">
        <x:f>IF(M892="","",M892+P892)</x:f>
      </x:c>
      <x:c r="R892" s="7">
        <x:f>IF(K892&lt;&gt;"Paid",0,IF(C892="Income",Q892,-Q892))</x:f>
      </x:c>
      <x:c r="S892" s="14">
        <x:f>IF(A892="","",DATE(YEAR(A892),MONTH(A892),1))</x:f>
      </x:c>
      <x:c r="T892" s="14">
        <x:f>IF(L892="","",DATE(YEAR(L892),MONTH(L892),1))</x:f>
      </x:c>
    </x:row>
    <x:row r="893">
      <x:c r="A893" s="11" t="n"/>
      <x:c r="B893" s="5" t="n"/>
      <x:c r="C893" s="12" t="n"/>
      <x:c r="D893" s="12" t="n"/>
      <x:c r="E893" s="12" t="n"/>
      <x:c r="F893" s="12" t="n"/>
      <x:c r="G893" s="13">
        <x:f>IF(F893="","",IFERROR(VLOOKUP(F893,Master_Data!$E$24:$G$33,2,FALSE),"9999"))</x:f>
      </x:c>
      <x:c r="H893" s="12" t="n"/>
      <x:c r="I893" s="12" t="n"/>
      <x:c r="J893" s="12" t="n"/>
      <x:c r="K893" s="12" t="n"/>
      <x:c r="L893" s="11" t="n"/>
      <x:c r="M893" s="9" t="n"/>
      <x:c r="N893" s="12" t="n"/>
      <x:c r="O893" s="6">
        <x:f>IF(N893="","",IFERROR(VLOOKUP(N893,Master_Data!$A$5:$C$8,3,FALSE),0))</x:f>
      </x:c>
      <x:c r="P893" s="7">
        <x:f>IF(M893="","",M893*O893)</x:f>
      </x:c>
      <x:c r="Q893" s="7">
        <x:f>IF(M893="","",M893+P893)</x:f>
      </x:c>
      <x:c r="R893" s="7">
        <x:f>IF(K893&lt;&gt;"Paid",0,IF(C893="Income",Q893,-Q893))</x:f>
      </x:c>
      <x:c r="S893" s="14">
        <x:f>IF(A893="","",DATE(YEAR(A893),MONTH(A893),1))</x:f>
      </x:c>
      <x:c r="T893" s="14">
        <x:f>IF(L893="","",DATE(YEAR(L893),MONTH(L893),1))</x:f>
      </x:c>
    </x:row>
    <x:row r="894">
      <x:c r="A894" s="11" t="n"/>
      <x:c r="B894" s="5" t="n"/>
      <x:c r="C894" s="12" t="n"/>
      <x:c r="D894" s="12" t="n"/>
      <x:c r="E894" s="12" t="n"/>
      <x:c r="F894" s="12" t="n"/>
      <x:c r="G894" s="13">
        <x:f>IF(F894="","",IFERROR(VLOOKUP(F894,Master_Data!$E$24:$G$33,2,FALSE),"9999"))</x:f>
      </x:c>
      <x:c r="H894" s="12" t="n"/>
      <x:c r="I894" s="12" t="n"/>
      <x:c r="J894" s="12" t="n"/>
      <x:c r="K894" s="12" t="n"/>
      <x:c r="L894" s="11" t="n"/>
      <x:c r="M894" s="9" t="n"/>
      <x:c r="N894" s="12" t="n"/>
      <x:c r="O894" s="6">
        <x:f>IF(N894="","",IFERROR(VLOOKUP(N894,Master_Data!$A$5:$C$8,3,FALSE),0))</x:f>
      </x:c>
      <x:c r="P894" s="7">
        <x:f>IF(M894="","",M894*O894)</x:f>
      </x:c>
      <x:c r="Q894" s="7">
        <x:f>IF(M894="","",M894+P894)</x:f>
      </x:c>
      <x:c r="R894" s="7">
        <x:f>IF(K894&lt;&gt;"Paid",0,IF(C894="Income",Q894,-Q894))</x:f>
      </x:c>
      <x:c r="S894" s="14">
        <x:f>IF(A894="","",DATE(YEAR(A894),MONTH(A894),1))</x:f>
      </x:c>
      <x:c r="T894" s="14">
        <x:f>IF(L894="","",DATE(YEAR(L894),MONTH(L894),1))</x:f>
      </x:c>
    </x:row>
    <x:row r="895">
      <x:c r="A895" s="11" t="n"/>
      <x:c r="B895" s="5" t="n"/>
      <x:c r="C895" s="12" t="n"/>
      <x:c r="D895" s="12" t="n"/>
      <x:c r="E895" s="12" t="n"/>
      <x:c r="F895" s="12" t="n"/>
      <x:c r="G895" s="13">
        <x:f>IF(F895="","",IFERROR(VLOOKUP(F895,Master_Data!$E$24:$G$33,2,FALSE),"9999"))</x:f>
      </x:c>
      <x:c r="H895" s="12" t="n"/>
      <x:c r="I895" s="12" t="n"/>
      <x:c r="J895" s="12" t="n"/>
      <x:c r="K895" s="12" t="n"/>
      <x:c r="L895" s="11" t="n"/>
      <x:c r="M895" s="9" t="n"/>
      <x:c r="N895" s="12" t="n"/>
      <x:c r="O895" s="6">
        <x:f>IF(N895="","",IFERROR(VLOOKUP(N895,Master_Data!$A$5:$C$8,3,FALSE),0))</x:f>
      </x:c>
      <x:c r="P895" s="7">
        <x:f>IF(M895="","",M895*O895)</x:f>
      </x:c>
      <x:c r="Q895" s="7">
        <x:f>IF(M895="","",M895+P895)</x:f>
      </x:c>
      <x:c r="R895" s="7">
        <x:f>IF(K895&lt;&gt;"Paid",0,IF(C895="Income",Q895,-Q895))</x:f>
      </x:c>
      <x:c r="S895" s="14">
        <x:f>IF(A895="","",DATE(YEAR(A895),MONTH(A895),1))</x:f>
      </x:c>
      <x:c r="T895" s="14">
        <x:f>IF(L895="","",DATE(YEAR(L895),MONTH(L895),1))</x:f>
      </x:c>
    </x:row>
    <x:row r="896">
      <x:c r="A896" s="11" t="n"/>
      <x:c r="B896" s="5" t="n"/>
      <x:c r="C896" s="12" t="n"/>
      <x:c r="D896" s="12" t="n"/>
      <x:c r="E896" s="12" t="n"/>
      <x:c r="F896" s="12" t="n"/>
      <x:c r="G896" s="13">
        <x:f>IF(F896="","",IFERROR(VLOOKUP(F896,Master_Data!$E$24:$G$33,2,FALSE),"9999"))</x:f>
      </x:c>
      <x:c r="H896" s="12" t="n"/>
      <x:c r="I896" s="12" t="n"/>
      <x:c r="J896" s="12" t="n"/>
      <x:c r="K896" s="12" t="n"/>
      <x:c r="L896" s="11" t="n"/>
      <x:c r="M896" s="9" t="n"/>
      <x:c r="N896" s="12" t="n"/>
      <x:c r="O896" s="6">
        <x:f>IF(N896="","",IFERROR(VLOOKUP(N896,Master_Data!$A$5:$C$8,3,FALSE),0))</x:f>
      </x:c>
      <x:c r="P896" s="7">
        <x:f>IF(M896="","",M896*O896)</x:f>
      </x:c>
      <x:c r="Q896" s="7">
        <x:f>IF(M896="","",M896+P896)</x:f>
      </x:c>
      <x:c r="R896" s="7">
        <x:f>IF(K896&lt;&gt;"Paid",0,IF(C896="Income",Q896,-Q896))</x:f>
      </x:c>
      <x:c r="S896" s="14">
        <x:f>IF(A896="","",DATE(YEAR(A896),MONTH(A896),1))</x:f>
      </x:c>
      <x:c r="T896" s="14">
        <x:f>IF(L896="","",DATE(YEAR(L896),MONTH(L896),1))</x:f>
      </x:c>
    </x:row>
    <x:row r="897">
      <x:c r="A897" s="11" t="n"/>
      <x:c r="B897" s="5" t="n"/>
      <x:c r="C897" s="12" t="n"/>
      <x:c r="D897" s="12" t="n"/>
      <x:c r="E897" s="12" t="n"/>
      <x:c r="F897" s="12" t="n"/>
      <x:c r="G897" s="13">
        <x:f>IF(F897="","",IFERROR(VLOOKUP(F897,Master_Data!$E$24:$G$33,2,FALSE),"9999"))</x:f>
      </x:c>
      <x:c r="H897" s="12" t="n"/>
      <x:c r="I897" s="12" t="n"/>
      <x:c r="J897" s="12" t="n"/>
      <x:c r="K897" s="12" t="n"/>
      <x:c r="L897" s="11" t="n"/>
      <x:c r="M897" s="9" t="n"/>
      <x:c r="N897" s="12" t="n"/>
      <x:c r="O897" s="6">
        <x:f>IF(N897="","",IFERROR(VLOOKUP(N897,Master_Data!$A$5:$C$8,3,FALSE),0))</x:f>
      </x:c>
      <x:c r="P897" s="7">
        <x:f>IF(M897="","",M897*O897)</x:f>
      </x:c>
      <x:c r="Q897" s="7">
        <x:f>IF(M897="","",M897+P897)</x:f>
      </x:c>
      <x:c r="R897" s="7">
        <x:f>IF(K897&lt;&gt;"Paid",0,IF(C897="Income",Q897,-Q897))</x:f>
      </x:c>
      <x:c r="S897" s="14">
        <x:f>IF(A897="","",DATE(YEAR(A897),MONTH(A897),1))</x:f>
      </x:c>
      <x:c r="T897" s="14">
        <x:f>IF(L897="","",DATE(YEAR(L897),MONTH(L897),1))</x:f>
      </x:c>
    </x:row>
    <x:row r="898">
      <x:c r="A898" s="11" t="n"/>
      <x:c r="B898" s="5" t="n"/>
      <x:c r="C898" s="12" t="n"/>
      <x:c r="D898" s="12" t="n"/>
      <x:c r="E898" s="12" t="n"/>
      <x:c r="F898" s="12" t="n"/>
      <x:c r="G898" s="13">
        <x:f>IF(F898="","",IFERROR(VLOOKUP(F898,Master_Data!$E$24:$G$33,2,FALSE),"9999"))</x:f>
      </x:c>
      <x:c r="H898" s="12" t="n"/>
      <x:c r="I898" s="12" t="n"/>
      <x:c r="J898" s="12" t="n"/>
      <x:c r="K898" s="12" t="n"/>
      <x:c r="L898" s="11" t="n"/>
      <x:c r="M898" s="9" t="n"/>
      <x:c r="N898" s="12" t="n"/>
      <x:c r="O898" s="6">
        <x:f>IF(N898="","",IFERROR(VLOOKUP(N898,Master_Data!$A$5:$C$8,3,FALSE),0))</x:f>
      </x:c>
      <x:c r="P898" s="7">
        <x:f>IF(M898="","",M898*O898)</x:f>
      </x:c>
      <x:c r="Q898" s="7">
        <x:f>IF(M898="","",M898+P898)</x:f>
      </x:c>
      <x:c r="R898" s="7">
        <x:f>IF(K898&lt;&gt;"Paid",0,IF(C898="Income",Q898,-Q898))</x:f>
      </x:c>
      <x:c r="S898" s="14">
        <x:f>IF(A898="","",DATE(YEAR(A898),MONTH(A898),1))</x:f>
      </x:c>
      <x:c r="T898" s="14">
        <x:f>IF(L898="","",DATE(YEAR(L898),MONTH(L898),1))</x:f>
      </x:c>
    </x:row>
    <x:row r="899">
      <x:c r="A899" s="11" t="n"/>
      <x:c r="B899" s="5" t="n"/>
      <x:c r="C899" s="12" t="n"/>
      <x:c r="D899" s="12" t="n"/>
      <x:c r="E899" s="12" t="n"/>
      <x:c r="F899" s="12" t="n"/>
      <x:c r="G899" s="13">
        <x:f>IF(F899="","",IFERROR(VLOOKUP(F899,Master_Data!$E$24:$G$33,2,FALSE),"9999"))</x:f>
      </x:c>
      <x:c r="H899" s="12" t="n"/>
      <x:c r="I899" s="12" t="n"/>
      <x:c r="J899" s="12" t="n"/>
      <x:c r="K899" s="12" t="n"/>
      <x:c r="L899" s="11" t="n"/>
      <x:c r="M899" s="9" t="n"/>
      <x:c r="N899" s="12" t="n"/>
      <x:c r="O899" s="6">
        <x:f>IF(N899="","",IFERROR(VLOOKUP(N899,Master_Data!$A$5:$C$8,3,FALSE),0))</x:f>
      </x:c>
      <x:c r="P899" s="7">
        <x:f>IF(M899="","",M899*O899)</x:f>
      </x:c>
      <x:c r="Q899" s="7">
        <x:f>IF(M899="","",M899+P899)</x:f>
      </x:c>
      <x:c r="R899" s="7">
        <x:f>IF(K899&lt;&gt;"Paid",0,IF(C899="Income",Q899,-Q899))</x:f>
      </x:c>
      <x:c r="S899" s="14">
        <x:f>IF(A899="","",DATE(YEAR(A899),MONTH(A899),1))</x:f>
      </x:c>
      <x:c r="T899" s="14">
        <x:f>IF(L899="","",DATE(YEAR(L899),MONTH(L899),1))</x:f>
      </x:c>
    </x:row>
    <x:row r="900">
      <x:c r="A900" s="11" t="n"/>
      <x:c r="B900" s="5" t="n"/>
      <x:c r="C900" s="12" t="n"/>
      <x:c r="D900" s="12" t="n"/>
      <x:c r="E900" s="12" t="n"/>
      <x:c r="F900" s="12" t="n"/>
      <x:c r="G900" s="13">
        <x:f>IF(F900="","",IFERROR(VLOOKUP(F900,Master_Data!$E$24:$G$33,2,FALSE),"9999"))</x:f>
      </x:c>
      <x:c r="H900" s="12" t="n"/>
      <x:c r="I900" s="12" t="n"/>
      <x:c r="J900" s="12" t="n"/>
      <x:c r="K900" s="12" t="n"/>
      <x:c r="L900" s="11" t="n"/>
      <x:c r="M900" s="9" t="n"/>
      <x:c r="N900" s="12" t="n"/>
      <x:c r="O900" s="6">
        <x:f>IF(N900="","",IFERROR(VLOOKUP(N900,Master_Data!$A$5:$C$8,3,FALSE),0))</x:f>
      </x:c>
      <x:c r="P900" s="7">
        <x:f>IF(M900="","",M900*O900)</x:f>
      </x:c>
      <x:c r="Q900" s="7">
        <x:f>IF(M900="","",M900+P900)</x:f>
      </x:c>
      <x:c r="R900" s="7">
        <x:f>IF(K900&lt;&gt;"Paid",0,IF(C900="Income",Q900,-Q900))</x:f>
      </x:c>
      <x:c r="S900" s="14">
        <x:f>IF(A900="","",DATE(YEAR(A900),MONTH(A900),1))</x:f>
      </x:c>
      <x:c r="T900" s="14">
        <x:f>IF(L900="","",DATE(YEAR(L900),MONTH(L900),1))</x:f>
      </x:c>
    </x:row>
    <x:row r="901">
      <x:c r="A901" s="11" t="n"/>
      <x:c r="B901" s="5" t="n"/>
      <x:c r="C901" s="12" t="n"/>
      <x:c r="D901" s="12" t="n"/>
      <x:c r="E901" s="12" t="n"/>
      <x:c r="F901" s="12" t="n"/>
      <x:c r="G901" s="13">
        <x:f>IF(F901="","",IFERROR(VLOOKUP(F901,Master_Data!$E$24:$G$33,2,FALSE),"9999"))</x:f>
      </x:c>
      <x:c r="H901" s="12" t="n"/>
      <x:c r="I901" s="12" t="n"/>
      <x:c r="J901" s="12" t="n"/>
      <x:c r="K901" s="12" t="n"/>
      <x:c r="L901" s="11" t="n"/>
      <x:c r="M901" s="9" t="n"/>
      <x:c r="N901" s="12" t="n"/>
      <x:c r="O901" s="6">
        <x:f>IF(N901="","",IFERROR(VLOOKUP(N901,Master_Data!$A$5:$C$8,3,FALSE),0))</x:f>
      </x:c>
      <x:c r="P901" s="7">
        <x:f>IF(M901="","",M901*O901)</x:f>
      </x:c>
      <x:c r="Q901" s="7">
        <x:f>IF(M901="","",M901+P901)</x:f>
      </x:c>
      <x:c r="R901" s="7">
        <x:f>IF(K901&lt;&gt;"Paid",0,IF(C901="Income",Q901,-Q901))</x:f>
      </x:c>
      <x:c r="S901" s="14">
        <x:f>IF(A901="","",DATE(YEAR(A901),MONTH(A901),1))</x:f>
      </x:c>
      <x:c r="T901" s="14">
        <x:f>IF(L901="","",DATE(YEAR(L901),MONTH(L901),1))</x:f>
      </x:c>
    </x:row>
    <x:row r="902">
      <x:c r="A902" s="11" t="n"/>
      <x:c r="B902" s="5" t="n"/>
      <x:c r="C902" s="12" t="n"/>
      <x:c r="D902" s="12" t="n"/>
      <x:c r="E902" s="12" t="n"/>
      <x:c r="F902" s="12" t="n"/>
      <x:c r="G902" s="13">
        <x:f>IF(F902="","",IFERROR(VLOOKUP(F902,Master_Data!$E$24:$G$33,2,FALSE),"9999"))</x:f>
      </x:c>
      <x:c r="H902" s="12" t="n"/>
      <x:c r="I902" s="12" t="n"/>
      <x:c r="J902" s="12" t="n"/>
      <x:c r="K902" s="12" t="n"/>
      <x:c r="L902" s="11" t="n"/>
      <x:c r="M902" s="9" t="n"/>
      <x:c r="N902" s="12" t="n"/>
      <x:c r="O902" s="6">
        <x:f>IF(N902="","",IFERROR(VLOOKUP(N902,Master_Data!$A$5:$C$8,3,FALSE),0))</x:f>
      </x:c>
      <x:c r="P902" s="7">
        <x:f>IF(M902="","",M902*O902)</x:f>
      </x:c>
      <x:c r="Q902" s="7">
        <x:f>IF(M902="","",M902+P902)</x:f>
      </x:c>
      <x:c r="R902" s="7">
        <x:f>IF(K902&lt;&gt;"Paid",0,IF(C902="Income",Q902,-Q902))</x:f>
      </x:c>
      <x:c r="S902" s="14">
        <x:f>IF(A902="","",DATE(YEAR(A902),MONTH(A902),1))</x:f>
      </x:c>
      <x:c r="T902" s="14">
        <x:f>IF(L902="","",DATE(YEAR(L902),MONTH(L902),1))</x:f>
      </x:c>
    </x:row>
    <x:row r="903">
      <x:c r="A903" s="11" t="n"/>
      <x:c r="B903" s="5" t="n"/>
      <x:c r="C903" s="12" t="n"/>
      <x:c r="D903" s="12" t="n"/>
      <x:c r="E903" s="12" t="n"/>
      <x:c r="F903" s="12" t="n"/>
      <x:c r="G903" s="13">
        <x:f>IF(F903="","",IFERROR(VLOOKUP(F903,Master_Data!$E$24:$G$33,2,FALSE),"9999"))</x:f>
      </x:c>
      <x:c r="H903" s="12" t="n"/>
      <x:c r="I903" s="12" t="n"/>
      <x:c r="J903" s="12" t="n"/>
      <x:c r="K903" s="12" t="n"/>
      <x:c r="L903" s="11" t="n"/>
      <x:c r="M903" s="9" t="n"/>
      <x:c r="N903" s="12" t="n"/>
      <x:c r="O903" s="6">
        <x:f>IF(N903="","",IFERROR(VLOOKUP(N903,Master_Data!$A$5:$C$8,3,FALSE),0))</x:f>
      </x:c>
      <x:c r="P903" s="7">
        <x:f>IF(M903="","",M903*O903)</x:f>
      </x:c>
      <x:c r="Q903" s="7">
        <x:f>IF(M903="","",M903+P903)</x:f>
      </x:c>
      <x:c r="R903" s="7">
        <x:f>IF(K903&lt;&gt;"Paid",0,IF(C903="Income",Q903,-Q903))</x:f>
      </x:c>
      <x:c r="S903" s="14">
        <x:f>IF(A903="","",DATE(YEAR(A903),MONTH(A903),1))</x:f>
      </x:c>
      <x:c r="T903" s="14">
        <x:f>IF(L903="","",DATE(YEAR(L903),MONTH(L903),1))</x:f>
      </x:c>
    </x:row>
    <x:row r="904">
      <x:c r="A904" s="11" t="n"/>
      <x:c r="B904" s="5" t="n"/>
      <x:c r="C904" s="12" t="n"/>
      <x:c r="D904" s="12" t="n"/>
      <x:c r="E904" s="12" t="n"/>
      <x:c r="F904" s="12" t="n"/>
      <x:c r="G904" s="13">
        <x:f>IF(F904="","",IFERROR(VLOOKUP(F904,Master_Data!$E$24:$G$33,2,FALSE),"9999"))</x:f>
      </x:c>
      <x:c r="H904" s="12" t="n"/>
      <x:c r="I904" s="12" t="n"/>
      <x:c r="J904" s="12" t="n"/>
      <x:c r="K904" s="12" t="n"/>
      <x:c r="L904" s="11" t="n"/>
      <x:c r="M904" s="9" t="n"/>
      <x:c r="N904" s="12" t="n"/>
      <x:c r="O904" s="6">
        <x:f>IF(N904="","",IFERROR(VLOOKUP(N904,Master_Data!$A$5:$C$8,3,FALSE),0))</x:f>
      </x:c>
      <x:c r="P904" s="7">
        <x:f>IF(M904="","",M904*O904)</x:f>
      </x:c>
      <x:c r="Q904" s="7">
        <x:f>IF(M904="","",M904+P904)</x:f>
      </x:c>
      <x:c r="R904" s="7">
        <x:f>IF(K904&lt;&gt;"Paid",0,IF(C904="Income",Q904,-Q904))</x:f>
      </x:c>
      <x:c r="S904" s="14">
        <x:f>IF(A904="","",DATE(YEAR(A904),MONTH(A904),1))</x:f>
      </x:c>
      <x:c r="T904" s="14">
        <x:f>IF(L904="","",DATE(YEAR(L904),MONTH(L904),1))</x:f>
      </x:c>
    </x:row>
    <x:row r="905">
      <x:c r="A905" s="11" t="n"/>
      <x:c r="B905" s="5" t="n"/>
      <x:c r="C905" s="12" t="n"/>
      <x:c r="D905" s="12" t="n"/>
      <x:c r="E905" s="12" t="n"/>
      <x:c r="F905" s="12" t="n"/>
      <x:c r="G905" s="13">
        <x:f>IF(F905="","",IFERROR(VLOOKUP(F905,Master_Data!$E$24:$G$33,2,FALSE),"9999"))</x:f>
      </x:c>
      <x:c r="H905" s="12" t="n"/>
      <x:c r="I905" s="12" t="n"/>
      <x:c r="J905" s="12" t="n"/>
      <x:c r="K905" s="12" t="n"/>
      <x:c r="L905" s="11" t="n"/>
      <x:c r="M905" s="9" t="n"/>
      <x:c r="N905" s="12" t="n"/>
      <x:c r="O905" s="6">
        <x:f>IF(N905="","",IFERROR(VLOOKUP(N905,Master_Data!$A$5:$C$8,3,FALSE),0))</x:f>
      </x:c>
      <x:c r="P905" s="7">
        <x:f>IF(M905="","",M905*O905)</x:f>
      </x:c>
      <x:c r="Q905" s="7">
        <x:f>IF(M905="","",M905+P905)</x:f>
      </x:c>
      <x:c r="R905" s="7">
        <x:f>IF(K905&lt;&gt;"Paid",0,IF(C905="Income",Q905,-Q905))</x:f>
      </x:c>
      <x:c r="S905" s="14">
        <x:f>IF(A905="","",DATE(YEAR(A905),MONTH(A905),1))</x:f>
      </x:c>
      <x:c r="T905" s="14">
        <x:f>IF(L905="","",DATE(YEAR(L905),MONTH(L905),1))</x:f>
      </x:c>
    </x:row>
    <x:row r="906">
      <x:c r="A906" s="11" t="n"/>
      <x:c r="B906" s="5" t="n"/>
      <x:c r="C906" s="12" t="n"/>
      <x:c r="D906" s="12" t="n"/>
      <x:c r="E906" s="12" t="n"/>
      <x:c r="F906" s="12" t="n"/>
      <x:c r="G906" s="13">
        <x:f>IF(F906="","",IFERROR(VLOOKUP(F906,Master_Data!$E$24:$G$33,2,FALSE),"9999"))</x:f>
      </x:c>
      <x:c r="H906" s="12" t="n"/>
      <x:c r="I906" s="12" t="n"/>
      <x:c r="J906" s="12" t="n"/>
      <x:c r="K906" s="12" t="n"/>
      <x:c r="L906" s="11" t="n"/>
      <x:c r="M906" s="9" t="n"/>
      <x:c r="N906" s="12" t="n"/>
      <x:c r="O906" s="6">
        <x:f>IF(N906="","",IFERROR(VLOOKUP(N906,Master_Data!$A$5:$C$8,3,FALSE),0))</x:f>
      </x:c>
      <x:c r="P906" s="7">
        <x:f>IF(M906="","",M906*O906)</x:f>
      </x:c>
      <x:c r="Q906" s="7">
        <x:f>IF(M906="","",M906+P906)</x:f>
      </x:c>
      <x:c r="R906" s="7">
        <x:f>IF(K906&lt;&gt;"Paid",0,IF(C906="Income",Q906,-Q906))</x:f>
      </x:c>
      <x:c r="S906" s="14">
        <x:f>IF(A906="","",DATE(YEAR(A906),MONTH(A906),1))</x:f>
      </x:c>
      <x:c r="T906" s="14">
        <x:f>IF(L906="","",DATE(YEAR(L906),MONTH(L906),1))</x:f>
      </x:c>
    </x:row>
    <x:row r="907">
      <x:c r="A907" s="11" t="n"/>
      <x:c r="B907" s="5" t="n"/>
      <x:c r="C907" s="12" t="n"/>
      <x:c r="D907" s="12" t="n"/>
      <x:c r="E907" s="12" t="n"/>
      <x:c r="F907" s="12" t="n"/>
      <x:c r="G907" s="13">
        <x:f>IF(F907="","",IFERROR(VLOOKUP(F907,Master_Data!$E$24:$G$33,2,FALSE),"9999"))</x:f>
      </x:c>
      <x:c r="H907" s="12" t="n"/>
      <x:c r="I907" s="12" t="n"/>
      <x:c r="J907" s="12" t="n"/>
      <x:c r="K907" s="12" t="n"/>
      <x:c r="L907" s="11" t="n"/>
      <x:c r="M907" s="9" t="n"/>
      <x:c r="N907" s="12" t="n"/>
      <x:c r="O907" s="6">
        <x:f>IF(N907="","",IFERROR(VLOOKUP(N907,Master_Data!$A$5:$C$8,3,FALSE),0))</x:f>
      </x:c>
      <x:c r="P907" s="7">
        <x:f>IF(M907="","",M907*O907)</x:f>
      </x:c>
      <x:c r="Q907" s="7">
        <x:f>IF(M907="","",M907+P907)</x:f>
      </x:c>
      <x:c r="R907" s="7">
        <x:f>IF(K907&lt;&gt;"Paid",0,IF(C907="Income",Q907,-Q907))</x:f>
      </x:c>
      <x:c r="S907" s="14">
        <x:f>IF(A907="","",DATE(YEAR(A907),MONTH(A907),1))</x:f>
      </x:c>
      <x:c r="T907" s="14">
        <x:f>IF(L907="","",DATE(YEAR(L907),MONTH(L907),1))</x:f>
      </x:c>
    </x:row>
    <x:row r="908">
      <x:c r="A908" s="11" t="n"/>
      <x:c r="B908" s="5" t="n"/>
      <x:c r="C908" s="12" t="n"/>
      <x:c r="D908" s="12" t="n"/>
      <x:c r="E908" s="12" t="n"/>
      <x:c r="F908" s="12" t="n"/>
      <x:c r="G908" s="13">
        <x:f>IF(F908="","",IFERROR(VLOOKUP(F908,Master_Data!$E$24:$G$33,2,FALSE),"9999"))</x:f>
      </x:c>
      <x:c r="H908" s="12" t="n"/>
      <x:c r="I908" s="12" t="n"/>
      <x:c r="J908" s="12" t="n"/>
      <x:c r="K908" s="12" t="n"/>
      <x:c r="L908" s="11" t="n"/>
      <x:c r="M908" s="9" t="n"/>
      <x:c r="N908" s="12" t="n"/>
      <x:c r="O908" s="6">
        <x:f>IF(N908="","",IFERROR(VLOOKUP(N908,Master_Data!$A$5:$C$8,3,FALSE),0))</x:f>
      </x:c>
      <x:c r="P908" s="7">
        <x:f>IF(M908="","",M908*O908)</x:f>
      </x:c>
      <x:c r="Q908" s="7">
        <x:f>IF(M908="","",M908+P908)</x:f>
      </x:c>
      <x:c r="R908" s="7">
        <x:f>IF(K908&lt;&gt;"Paid",0,IF(C908="Income",Q908,-Q908))</x:f>
      </x:c>
      <x:c r="S908" s="14">
        <x:f>IF(A908="","",DATE(YEAR(A908),MONTH(A908),1))</x:f>
      </x:c>
      <x:c r="T908" s="14">
        <x:f>IF(L908="","",DATE(YEAR(L908),MONTH(L908),1))</x:f>
      </x:c>
    </x:row>
    <x:row r="909">
      <x:c r="A909" s="11" t="n"/>
      <x:c r="B909" s="5" t="n"/>
      <x:c r="C909" s="12" t="n"/>
      <x:c r="D909" s="12" t="n"/>
      <x:c r="E909" s="12" t="n"/>
      <x:c r="F909" s="12" t="n"/>
      <x:c r="G909" s="13">
        <x:f>IF(F909="","",IFERROR(VLOOKUP(F909,Master_Data!$E$24:$G$33,2,FALSE),"9999"))</x:f>
      </x:c>
      <x:c r="H909" s="12" t="n"/>
      <x:c r="I909" s="12" t="n"/>
      <x:c r="J909" s="12" t="n"/>
      <x:c r="K909" s="12" t="n"/>
      <x:c r="L909" s="11" t="n"/>
      <x:c r="M909" s="9" t="n"/>
      <x:c r="N909" s="12" t="n"/>
      <x:c r="O909" s="6">
        <x:f>IF(N909="","",IFERROR(VLOOKUP(N909,Master_Data!$A$5:$C$8,3,FALSE),0))</x:f>
      </x:c>
      <x:c r="P909" s="7">
        <x:f>IF(M909="","",M909*O909)</x:f>
      </x:c>
      <x:c r="Q909" s="7">
        <x:f>IF(M909="","",M909+P909)</x:f>
      </x:c>
      <x:c r="R909" s="7">
        <x:f>IF(K909&lt;&gt;"Paid",0,IF(C909="Income",Q909,-Q909))</x:f>
      </x:c>
      <x:c r="S909" s="14">
        <x:f>IF(A909="","",DATE(YEAR(A909),MONTH(A909),1))</x:f>
      </x:c>
      <x:c r="T909" s="14">
        <x:f>IF(L909="","",DATE(YEAR(L909),MONTH(L909),1))</x:f>
      </x:c>
    </x:row>
    <x:row r="910">
      <x:c r="A910" s="11" t="n"/>
      <x:c r="B910" s="5" t="n"/>
      <x:c r="C910" s="12" t="n"/>
      <x:c r="D910" s="12" t="n"/>
      <x:c r="E910" s="12" t="n"/>
      <x:c r="F910" s="12" t="n"/>
      <x:c r="G910" s="13">
        <x:f>IF(F910="","",IFERROR(VLOOKUP(F910,Master_Data!$E$24:$G$33,2,FALSE),"9999"))</x:f>
      </x:c>
      <x:c r="H910" s="12" t="n"/>
      <x:c r="I910" s="12" t="n"/>
      <x:c r="J910" s="12" t="n"/>
      <x:c r="K910" s="12" t="n"/>
      <x:c r="L910" s="11" t="n"/>
      <x:c r="M910" s="9" t="n"/>
      <x:c r="N910" s="12" t="n"/>
      <x:c r="O910" s="6">
        <x:f>IF(N910="","",IFERROR(VLOOKUP(N910,Master_Data!$A$5:$C$8,3,FALSE),0))</x:f>
      </x:c>
      <x:c r="P910" s="7">
        <x:f>IF(M910="","",M910*O910)</x:f>
      </x:c>
      <x:c r="Q910" s="7">
        <x:f>IF(M910="","",M910+P910)</x:f>
      </x:c>
      <x:c r="R910" s="7">
        <x:f>IF(K910&lt;&gt;"Paid",0,IF(C910="Income",Q910,-Q910))</x:f>
      </x:c>
      <x:c r="S910" s="14">
        <x:f>IF(A910="","",DATE(YEAR(A910),MONTH(A910),1))</x:f>
      </x:c>
      <x:c r="T910" s="14">
        <x:f>IF(L910="","",DATE(YEAR(L910),MONTH(L910),1))</x:f>
      </x:c>
    </x:row>
    <x:row r="911">
      <x:c r="A911" s="11" t="n"/>
      <x:c r="B911" s="5" t="n"/>
      <x:c r="C911" s="12" t="n"/>
      <x:c r="D911" s="12" t="n"/>
      <x:c r="E911" s="12" t="n"/>
      <x:c r="F911" s="12" t="n"/>
      <x:c r="G911" s="13">
        <x:f>IF(F911="","",IFERROR(VLOOKUP(F911,Master_Data!$E$24:$G$33,2,FALSE),"9999"))</x:f>
      </x:c>
      <x:c r="H911" s="12" t="n"/>
      <x:c r="I911" s="12" t="n"/>
      <x:c r="J911" s="12" t="n"/>
      <x:c r="K911" s="12" t="n"/>
      <x:c r="L911" s="11" t="n"/>
      <x:c r="M911" s="9" t="n"/>
      <x:c r="N911" s="12" t="n"/>
      <x:c r="O911" s="6">
        <x:f>IF(N911="","",IFERROR(VLOOKUP(N911,Master_Data!$A$5:$C$8,3,FALSE),0))</x:f>
      </x:c>
      <x:c r="P911" s="7">
        <x:f>IF(M911="","",M911*O911)</x:f>
      </x:c>
      <x:c r="Q911" s="7">
        <x:f>IF(M911="","",M911+P911)</x:f>
      </x:c>
      <x:c r="R911" s="7">
        <x:f>IF(K911&lt;&gt;"Paid",0,IF(C911="Income",Q911,-Q911))</x:f>
      </x:c>
      <x:c r="S911" s="14">
        <x:f>IF(A911="","",DATE(YEAR(A911),MONTH(A911),1))</x:f>
      </x:c>
      <x:c r="T911" s="14">
        <x:f>IF(L911="","",DATE(YEAR(L911),MONTH(L911),1))</x:f>
      </x:c>
    </x:row>
    <x:row r="912">
      <x:c r="A912" s="11" t="n"/>
      <x:c r="B912" s="5" t="n"/>
      <x:c r="C912" s="12" t="n"/>
      <x:c r="D912" s="12" t="n"/>
      <x:c r="E912" s="12" t="n"/>
      <x:c r="F912" s="12" t="n"/>
      <x:c r="G912" s="13">
        <x:f>IF(F912="","",IFERROR(VLOOKUP(F912,Master_Data!$E$24:$G$33,2,FALSE),"9999"))</x:f>
      </x:c>
      <x:c r="H912" s="12" t="n"/>
      <x:c r="I912" s="12" t="n"/>
      <x:c r="J912" s="12" t="n"/>
      <x:c r="K912" s="12" t="n"/>
      <x:c r="L912" s="11" t="n"/>
      <x:c r="M912" s="9" t="n"/>
      <x:c r="N912" s="12" t="n"/>
      <x:c r="O912" s="6">
        <x:f>IF(N912="","",IFERROR(VLOOKUP(N912,Master_Data!$A$5:$C$8,3,FALSE),0))</x:f>
      </x:c>
      <x:c r="P912" s="7">
        <x:f>IF(M912="","",M912*O912)</x:f>
      </x:c>
      <x:c r="Q912" s="7">
        <x:f>IF(M912="","",M912+P912)</x:f>
      </x:c>
      <x:c r="R912" s="7">
        <x:f>IF(K912&lt;&gt;"Paid",0,IF(C912="Income",Q912,-Q912))</x:f>
      </x:c>
      <x:c r="S912" s="14">
        <x:f>IF(A912="","",DATE(YEAR(A912),MONTH(A912),1))</x:f>
      </x:c>
      <x:c r="T912" s="14">
        <x:f>IF(L912="","",DATE(YEAR(L912),MONTH(L912),1))</x:f>
      </x:c>
    </x:row>
    <x:row r="913">
      <x:c r="A913" s="11" t="n"/>
      <x:c r="B913" s="5" t="n"/>
      <x:c r="C913" s="12" t="n"/>
      <x:c r="D913" s="12" t="n"/>
      <x:c r="E913" s="12" t="n"/>
      <x:c r="F913" s="12" t="n"/>
      <x:c r="G913" s="13">
        <x:f>IF(F913="","",IFERROR(VLOOKUP(F913,Master_Data!$E$24:$G$33,2,FALSE),"9999"))</x:f>
      </x:c>
      <x:c r="H913" s="12" t="n"/>
      <x:c r="I913" s="12" t="n"/>
      <x:c r="J913" s="12" t="n"/>
      <x:c r="K913" s="12" t="n"/>
      <x:c r="L913" s="11" t="n"/>
      <x:c r="M913" s="9" t="n"/>
      <x:c r="N913" s="12" t="n"/>
      <x:c r="O913" s="6">
        <x:f>IF(N913="","",IFERROR(VLOOKUP(N913,Master_Data!$A$5:$C$8,3,FALSE),0))</x:f>
      </x:c>
      <x:c r="P913" s="7">
        <x:f>IF(M913="","",M913*O913)</x:f>
      </x:c>
      <x:c r="Q913" s="7">
        <x:f>IF(M913="","",M913+P913)</x:f>
      </x:c>
      <x:c r="R913" s="7">
        <x:f>IF(K913&lt;&gt;"Paid",0,IF(C913="Income",Q913,-Q913))</x:f>
      </x:c>
      <x:c r="S913" s="14">
        <x:f>IF(A913="","",DATE(YEAR(A913),MONTH(A913),1))</x:f>
      </x:c>
      <x:c r="T913" s="14">
        <x:f>IF(L913="","",DATE(YEAR(L913),MONTH(L913),1))</x:f>
      </x:c>
    </x:row>
    <x:row r="914">
      <x:c r="A914" s="11" t="n"/>
      <x:c r="B914" s="5" t="n"/>
      <x:c r="C914" s="12" t="n"/>
      <x:c r="D914" s="12" t="n"/>
      <x:c r="E914" s="12" t="n"/>
      <x:c r="F914" s="12" t="n"/>
      <x:c r="G914" s="13">
        <x:f>IF(F914="","",IFERROR(VLOOKUP(F914,Master_Data!$E$24:$G$33,2,FALSE),"9999"))</x:f>
      </x:c>
      <x:c r="H914" s="12" t="n"/>
      <x:c r="I914" s="12" t="n"/>
      <x:c r="J914" s="12" t="n"/>
      <x:c r="K914" s="12" t="n"/>
      <x:c r="L914" s="11" t="n"/>
      <x:c r="M914" s="9" t="n"/>
      <x:c r="N914" s="12" t="n"/>
      <x:c r="O914" s="6">
        <x:f>IF(N914="","",IFERROR(VLOOKUP(N914,Master_Data!$A$5:$C$8,3,FALSE),0))</x:f>
      </x:c>
      <x:c r="P914" s="7">
        <x:f>IF(M914="","",M914*O914)</x:f>
      </x:c>
      <x:c r="Q914" s="7">
        <x:f>IF(M914="","",M914+P914)</x:f>
      </x:c>
      <x:c r="R914" s="7">
        <x:f>IF(K914&lt;&gt;"Paid",0,IF(C914="Income",Q914,-Q914))</x:f>
      </x:c>
      <x:c r="S914" s="14">
        <x:f>IF(A914="","",DATE(YEAR(A914),MONTH(A914),1))</x:f>
      </x:c>
      <x:c r="T914" s="14">
        <x:f>IF(L914="","",DATE(YEAR(L914),MONTH(L914),1))</x:f>
      </x:c>
    </x:row>
    <x:row r="915">
      <x:c r="A915" s="11" t="n"/>
      <x:c r="B915" s="5" t="n"/>
      <x:c r="C915" s="12" t="n"/>
      <x:c r="D915" s="12" t="n"/>
      <x:c r="E915" s="12" t="n"/>
      <x:c r="F915" s="12" t="n"/>
      <x:c r="G915" s="13">
        <x:f>IF(F915="","",IFERROR(VLOOKUP(F915,Master_Data!$E$24:$G$33,2,FALSE),"9999"))</x:f>
      </x:c>
      <x:c r="H915" s="12" t="n"/>
      <x:c r="I915" s="12" t="n"/>
      <x:c r="J915" s="12" t="n"/>
      <x:c r="K915" s="12" t="n"/>
      <x:c r="L915" s="11" t="n"/>
      <x:c r="M915" s="9" t="n"/>
      <x:c r="N915" s="12" t="n"/>
      <x:c r="O915" s="6">
        <x:f>IF(N915="","",IFERROR(VLOOKUP(N915,Master_Data!$A$5:$C$8,3,FALSE),0))</x:f>
      </x:c>
      <x:c r="P915" s="7">
        <x:f>IF(M915="","",M915*O915)</x:f>
      </x:c>
      <x:c r="Q915" s="7">
        <x:f>IF(M915="","",M915+P915)</x:f>
      </x:c>
      <x:c r="R915" s="7">
        <x:f>IF(K915&lt;&gt;"Paid",0,IF(C915="Income",Q915,-Q915))</x:f>
      </x:c>
      <x:c r="S915" s="14">
        <x:f>IF(A915="","",DATE(YEAR(A915),MONTH(A915),1))</x:f>
      </x:c>
      <x:c r="T915" s="14">
        <x:f>IF(L915="","",DATE(YEAR(L915),MONTH(L915),1))</x:f>
      </x:c>
    </x:row>
    <x:row r="916">
      <x:c r="A916" s="11" t="n"/>
      <x:c r="B916" s="5" t="n"/>
      <x:c r="C916" s="12" t="n"/>
      <x:c r="D916" s="12" t="n"/>
      <x:c r="E916" s="12" t="n"/>
      <x:c r="F916" s="12" t="n"/>
      <x:c r="G916" s="13">
        <x:f>IF(F916="","",IFERROR(VLOOKUP(F916,Master_Data!$E$24:$G$33,2,FALSE),"9999"))</x:f>
      </x:c>
      <x:c r="H916" s="12" t="n"/>
      <x:c r="I916" s="12" t="n"/>
      <x:c r="J916" s="12" t="n"/>
      <x:c r="K916" s="12" t="n"/>
      <x:c r="L916" s="11" t="n"/>
      <x:c r="M916" s="9" t="n"/>
      <x:c r="N916" s="12" t="n"/>
      <x:c r="O916" s="6">
        <x:f>IF(N916="","",IFERROR(VLOOKUP(N916,Master_Data!$A$5:$C$8,3,FALSE),0))</x:f>
      </x:c>
      <x:c r="P916" s="7">
        <x:f>IF(M916="","",M916*O916)</x:f>
      </x:c>
      <x:c r="Q916" s="7">
        <x:f>IF(M916="","",M916+P916)</x:f>
      </x:c>
      <x:c r="R916" s="7">
        <x:f>IF(K916&lt;&gt;"Paid",0,IF(C916="Income",Q916,-Q916))</x:f>
      </x:c>
      <x:c r="S916" s="14">
        <x:f>IF(A916="","",DATE(YEAR(A916),MONTH(A916),1))</x:f>
      </x:c>
      <x:c r="T916" s="14">
        <x:f>IF(L916="","",DATE(YEAR(L916),MONTH(L916),1))</x:f>
      </x:c>
    </x:row>
    <x:row r="917">
      <x:c r="A917" s="11" t="n"/>
      <x:c r="B917" s="5" t="n"/>
      <x:c r="C917" s="12" t="n"/>
      <x:c r="D917" s="12" t="n"/>
      <x:c r="E917" s="12" t="n"/>
      <x:c r="F917" s="12" t="n"/>
      <x:c r="G917" s="13">
        <x:f>IF(F917="","",IFERROR(VLOOKUP(F917,Master_Data!$E$24:$G$33,2,FALSE),"9999"))</x:f>
      </x:c>
      <x:c r="H917" s="12" t="n"/>
      <x:c r="I917" s="12" t="n"/>
      <x:c r="J917" s="12" t="n"/>
      <x:c r="K917" s="12" t="n"/>
      <x:c r="L917" s="11" t="n"/>
      <x:c r="M917" s="9" t="n"/>
      <x:c r="N917" s="12" t="n"/>
      <x:c r="O917" s="6">
        <x:f>IF(N917="","",IFERROR(VLOOKUP(N917,Master_Data!$A$5:$C$8,3,FALSE),0))</x:f>
      </x:c>
      <x:c r="P917" s="7">
        <x:f>IF(M917="","",M917*O917)</x:f>
      </x:c>
      <x:c r="Q917" s="7">
        <x:f>IF(M917="","",M917+P917)</x:f>
      </x:c>
      <x:c r="R917" s="7">
        <x:f>IF(K917&lt;&gt;"Paid",0,IF(C917="Income",Q917,-Q917))</x:f>
      </x:c>
      <x:c r="S917" s="14">
        <x:f>IF(A917="","",DATE(YEAR(A917),MONTH(A917),1))</x:f>
      </x:c>
      <x:c r="T917" s="14">
        <x:f>IF(L917="","",DATE(YEAR(L917),MONTH(L917),1))</x:f>
      </x:c>
    </x:row>
    <x:row r="918">
      <x:c r="A918" s="11" t="n"/>
      <x:c r="B918" s="5" t="n"/>
      <x:c r="C918" s="12" t="n"/>
      <x:c r="D918" s="12" t="n"/>
      <x:c r="E918" s="12" t="n"/>
      <x:c r="F918" s="12" t="n"/>
      <x:c r="G918" s="13">
        <x:f>IF(F918="","",IFERROR(VLOOKUP(F918,Master_Data!$E$24:$G$33,2,FALSE),"9999"))</x:f>
      </x:c>
      <x:c r="H918" s="12" t="n"/>
      <x:c r="I918" s="12" t="n"/>
      <x:c r="J918" s="12" t="n"/>
      <x:c r="K918" s="12" t="n"/>
      <x:c r="L918" s="11" t="n"/>
      <x:c r="M918" s="9" t="n"/>
      <x:c r="N918" s="12" t="n"/>
      <x:c r="O918" s="6">
        <x:f>IF(N918="","",IFERROR(VLOOKUP(N918,Master_Data!$A$5:$C$8,3,FALSE),0))</x:f>
      </x:c>
      <x:c r="P918" s="7">
        <x:f>IF(M918="","",M918*O918)</x:f>
      </x:c>
      <x:c r="Q918" s="7">
        <x:f>IF(M918="","",M918+P918)</x:f>
      </x:c>
      <x:c r="R918" s="7">
        <x:f>IF(K918&lt;&gt;"Paid",0,IF(C918="Income",Q918,-Q918))</x:f>
      </x:c>
      <x:c r="S918" s="14">
        <x:f>IF(A918="","",DATE(YEAR(A918),MONTH(A918),1))</x:f>
      </x:c>
      <x:c r="T918" s="14">
        <x:f>IF(L918="","",DATE(YEAR(L918),MONTH(L918),1))</x:f>
      </x:c>
    </x:row>
    <x:row r="919">
      <x:c r="A919" s="11" t="n"/>
      <x:c r="B919" s="5" t="n"/>
      <x:c r="C919" s="12" t="n"/>
      <x:c r="D919" s="12" t="n"/>
      <x:c r="E919" s="12" t="n"/>
      <x:c r="F919" s="12" t="n"/>
      <x:c r="G919" s="13">
        <x:f>IF(F919="","",IFERROR(VLOOKUP(F919,Master_Data!$E$24:$G$33,2,FALSE),"9999"))</x:f>
      </x:c>
      <x:c r="H919" s="12" t="n"/>
      <x:c r="I919" s="12" t="n"/>
      <x:c r="J919" s="12" t="n"/>
      <x:c r="K919" s="12" t="n"/>
      <x:c r="L919" s="11" t="n"/>
      <x:c r="M919" s="9" t="n"/>
      <x:c r="N919" s="12" t="n"/>
      <x:c r="O919" s="6">
        <x:f>IF(N919="","",IFERROR(VLOOKUP(N919,Master_Data!$A$5:$C$8,3,FALSE),0))</x:f>
      </x:c>
      <x:c r="P919" s="7">
        <x:f>IF(M919="","",M919*O919)</x:f>
      </x:c>
      <x:c r="Q919" s="7">
        <x:f>IF(M919="","",M919+P919)</x:f>
      </x:c>
      <x:c r="R919" s="7">
        <x:f>IF(K919&lt;&gt;"Paid",0,IF(C919="Income",Q919,-Q919))</x:f>
      </x:c>
      <x:c r="S919" s="14">
        <x:f>IF(A919="","",DATE(YEAR(A919),MONTH(A919),1))</x:f>
      </x:c>
      <x:c r="T919" s="14">
        <x:f>IF(L919="","",DATE(YEAR(L919),MONTH(L919),1))</x:f>
      </x:c>
    </x:row>
    <x:row r="920">
      <x:c r="A920" s="11" t="n"/>
      <x:c r="B920" s="5" t="n"/>
      <x:c r="C920" s="12" t="n"/>
      <x:c r="D920" s="12" t="n"/>
      <x:c r="E920" s="12" t="n"/>
      <x:c r="F920" s="12" t="n"/>
      <x:c r="G920" s="13">
        <x:f>IF(F920="","",IFERROR(VLOOKUP(F920,Master_Data!$E$24:$G$33,2,FALSE),"9999"))</x:f>
      </x:c>
      <x:c r="H920" s="12" t="n"/>
      <x:c r="I920" s="12" t="n"/>
      <x:c r="J920" s="12" t="n"/>
      <x:c r="K920" s="12" t="n"/>
      <x:c r="L920" s="11" t="n"/>
      <x:c r="M920" s="9" t="n"/>
      <x:c r="N920" s="12" t="n"/>
      <x:c r="O920" s="6">
        <x:f>IF(N920="","",IFERROR(VLOOKUP(N920,Master_Data!$A$5:$C$8,3,FALSE),0))</x:f>
      </x:c>
      <x:c r="P920" s="7">
        <x:f>IF(M920="","",M920*O920)</x:f>
      </x:c>
      <x:c r="Q920" s="7">
        <x:f>IF(M920="","",M920+P920)</x:f>
      </x:c>
      <x:c r="R920" s="7">
        <x:f>IF(K920&lt;&gt;"Paid",0,IF(C920="Income",Q920,-Q920))</x:f>
      </x:c>
      <x:c r="S920" s="14">
        <x:f>IF(A920="","",DATE(YEAR(A920),MONTH(A920),1))</x:f>
      </x:c>
      <x:c r="T920" s="14">
        <x:f>IF(L920="","",DATE(YEAR(L920),MONTH(L920),1))</x:f>
      </x:c>
    </x:row>
    <x:row r="921">
      <x:c r="A921" s="11" t="n"/>
      <x:c r="B921" s="5" t="n"/>
      <x:c r="C921" s="12" t="n"/>
      <x:c r="D921" s="12" t="n"/>
      <x:c r="E921" s="12" t="n"/>
      <x:c r="F921" s="12" t="n"/>
      <x:c r="G921" s="13">
        <x:f>IF(F921="","",IFERROR(VLOOKUP(F921,Master_Data!$E$24:$G$33,2,FALSE),"9999"))</x:f>
      </x:c>
      <x:c r="H921" s="12" t="n"/>
      <x:c r="I921" s="12" t="n"/>
      <x:c r="J921" s="12" t="n"/>
      <x:c r="K921" s="12" t="n"/>
      <x:c r="L921" s="11" t="n"/>
      <x:c r="M921" s="9" t="n"/>
      <x:c r="N921" s="12" t="n"/>
      <x:c r="O921" s="6">
        <x:f>IF(N921="","",IFERROR(VLOOKUP(N921,Master_Data!$A$5:$C$8,3,FALSE),0))</x:f>
      </x:c>
      <x:c r="P921" s="7">
        <x:f>IF(M921="","",M921*O921)</x:f>
      </x:c>
      <x:c r="Q921" s="7">
        <x:f>IF(M921="","",M921+P921)</x:f>
      </x:c>
      <x:c r="R921" s="7">
        <x:f>IF(K921&lt;&gt;"Paid",0,IF(C921="Income",Q921,-Q921))</x:f>
      </x:c>
      <x:c r="S921" s="14">
        <x:f>IF(A921="","",DATE(YEAR(A921),MONTH(A921),1))</x:f>
      </x:c>
      <x:c r="T921" s="14">
        <x:f>IF(L921="","",DATE(YEAR(L921),MONTH(L921),1))</x:f>
      </x:c>
    </x:row>
    <x:row r="922">
      <x:c r="A922" s="11" t="n"/>
      <x:c r="B922" s="5" t="n"/>
      <x:c r="C922" s="12" t="n"/>
      <x:c r="D922" s="12" t="n"/>
      <x:c r="E922" s="12" t="n"/>
      <x:c r="F922" s="12" t="n"/>
      <x:c r="G922" s="13">
        <x:f>IF(F922="","",IFERROR(VLOOKUP(F922,Master_Data!$E$24:$G$33,2,FALSE),"9999"))</x:f>
      </x:c>
      <x:c r="H922" s="12" t="n"/>
      <x:c r="I922" s="12" t="n"/>
      <x:c r="J922" s="12" t="n"/>
      <x:c r="K922" s="12" t="n"/>
      <x:c r="L922" s="11" t="n"/>
      <x:c r="M922" s="9" t="n"/>
      <x:c r="N922" s="12" t="n"/>
      <x:c r="O922" s="6">
        <x:f>IF(N922="","",IFERROR(VLOOKUP(N922,Master_Data!$A$5:$C$8,3,FALSE),0))</x:f>
      </x:c>
      <x:c r="P922" s="7">
        <x:f>IF(M922="","",M922*O922)</x:f>
      </x:c>
      <x:c r="Q922" s="7">
        <x:f>IF(M922="","",M922+P922)</x:f>
      </x:c>
      <x:c r="R922" s="7">
        <x:f>IF(K922&lt;&gt;"Paid",0,IF(C922="Income",Q922,-Q922))</x:f>
      </x:c>
      <x:c r="S922" s="14">
        <x:f>IF(A922="","",DATE(YEAR(A922),MONTH(A922),1))</x:f>
      </x:c>
      <x:c r="T922" s="14">
        <x:f>IF(L922="","",DATE(YEAR(L922),MONTH(L922),1))</x:f>
      </x:c>
    </x:row>
    <x:row r="923">
      <x:c r="A923" s="11" t="n"/>
      <x:c r="B923" s="5" t="n"/>
      <x:c r="C923" s="12" t="n"/>
      <x:c r="D923" s="12" t="n"/>
      <x:c r="E923" s="12" t="n"/>
      <x:c r="F923" s="12" t="n"/>
      <x:c r="G923" s="13">
        <x:f>IF(F923="","",IFERROR(VLOOKUP(F923,Master_Data!$E$24:$G$33,2,FALSE),"9999"))</x:f>
      </x:c>
      <x:c r="H923" s="12" t="n"/>
      <x:c r="I923" s="12" t="n"/>
      <x:c r="J923" s="12" t="n"/>
      <x:c r="K923" s="12" t="n"/>
      <x:c r="L923" s="11" t="n"/>
      <x:c r="M923" s="9" t="n"/>
      <x:c r="N923" s="12" t="n"/>
      <x:c r="O923" s="6">
        <x:f>IF(N923="","",IFERROR(VLOOKUP(N923,Master_Data!$A$5:$C$8,3,FALSE),0))</x:f>
      </x:c>
      <x:c r="P923" s="7">
        <x:f>IF(M923="","",M923*O923)</x:f>
      </x:c>
      <x:c r="Q923" s="7">
        <x:f>IF(M923="","",M923+P923)</x:f>
      </x:c>
      <x:c r="R923" s="7">
        <x:f>IF(K923&lt;&gt;"Paid",0,IF(C923="Income",Q923,-Q923))</x:f>
      </x:c>
      <x:c r="S923" s="14">
        <x:f>IF(A923="","",DATE(YEAR(A923),MONTH(A923),1))</x:f>
      </x:c>
      <x:c r="T923" s="14">
        <x:f>IF(L923="","",DATE(YEAR(L923),MONTH(L923),1))</x:f>
      </x:c>
    </x:row>
    <x:row r="924">
      <x:c r="A924" s="11" t="n"/>
      <x:c r="B924" s="5" t="n"/>
      <x:c r="C924" s="12" t="n"/>
      <x:c r="D924" s="12" t="n"/>
      <x:c r="E924" s="12" t="n"/>
      <x:c r="F924" s="12" t="n"/>
      <x:c r="G924" s="13">
        <x:f>IF(F924="","",IFERROR(VLOOKUP(F924,Master_Data!$E$24:$G$33,2,FALSE),"9999"))</x:f>
      </x:c>
      <x:c r="H924" s="12" t="n"/>
      <x:c r="I924" s="12" t="n"/>
      <x:c r="J924" s="12" t="n"/>
      <x:c r="K924" s="12" t="n"/>
      <x:c r="L924" s="11" t="n"/>
      <x:c r="M924" s="9" t="n"/>
      <x:c r="N924" s="12" t="n"/>
      <x:c r="O924" s="6">
        <x:f>IF(N924="","",IFERROR(VLOOKUP(N924,Master_Data!$A$5:$C$8,3,FALSE),0))</x:f>
      </x:c>
      <x:c r="P924" s="7">
        <x:f>IF(M924="","",M924*O924)</x:f>
      </x:c>
      <x:c r="Q924" s="7">
        <x:f>IF(M924="","",M924+P924)</x:f>
      </x:c>
      <x:c r="R924" s="7">
        <x:f>IF(K924&lt;&gt;"Paid",0,IF(C924="Income",Q924,-Q924))</x:f>
      </x:c>
      <x:c r="S924" s="14">
        <x:f>IF(A924="","",DATE(YEAR(A924),MONTH(A924),1))</x:f>
      </x:c>
      <x:c r="T924" s="14">
        <x:f>IF(L924="","",DATE(YEAR(L924),MONTH(L924),1))</x:f>
      </x:c>
    </x:row>
    <x:row r="925">
      <x:c r="A925" s="11" t="n"/>
      <x:c r="B925" s="5" t="n"/>
      <x:c r="C925" s="12" t="n"/>
      <x:c r="D925" s="12" t="n"/>
      <x:c r="E925" s="12" t="n"/>
      <x:c r="F925" s="12" t="n"/>
      <x:c r="G925" s="13">
        <x:f>IF(F925="","",IFERROR(VLOOKUP(F925,Master_Data!$E$24:$G$33,2,FALSE),"9999"))</x:f>
      </x:c>
      <x:c r="H925" s="12" t="n"/>
      <x:c r="I925" s="12" t="n"/>
      <x:c r="J925" s="12" t="n"/>
      <x:c r="K925" s="12" t="n"/>
      <x:c r="L925" s="11" t="n"/>
      <x:c r="M925" s="9" t="n"/>
      <x:c r="N925" s="12" t="n"/>
      <x:c r="O925" s="6">
        <x:f>IF(N925="","",IFERROR(VLOOKUP(N925,Master_Data!$A$5:$C$8,3,FALSE),0))</x:f>
      </x:c>
      <x:c r="P925" s="7">
        <x:f>IF(M925="","",M925*O925)</x:f>
      </x:c>
      <x:c r="Q925" s="7">
        <x:f>IF(M925="","",M925+P925)</x:f>
      </x:c>
      <x:c r="R925" s="7">
        <x:f>IF(K925&lt;&gt;"Paid",0,IF(C925="Income",Q925,-Q925))</x:f>
      </x:c>
      <x:c r="S925" s="14">
        <x:f>IF(A925="","",DATE(YEAR(A925),MONTH(A925),1))</x:f>
      </x:c>
      <x:c r="T925" s="14">
        <x:f>IF(L925="","",DATE(YEAR(L925),MONTH(L925),1))</x:f>
      </x:c>
    </x:row>
    <x:row r="926">
      <x:c r="A926" s="11" t="n"/>
      <x:c r="B926" s="5" t="n"/>
      <x:c r="C926" s="12" t="n"/>
      <x:c r="D926" s="12" t="n"/>
      <x:c r="E926" s="12" t="n"/>
      <x:c r="F926" s="12" t="n"/>
      <x:c r="G926" s="13">
        <x:f>IF(F926="","",IFERROR(VLOOKUP(F926,Master_Data!$E$24:$G$33,2,FALSE),"9999"))</x:f>
      </x:c>
      <x:c r="H926" s="12" t="n"/>
      <x:c r="I926" s="12" t="n"/>
      <x:c r="J926" s="12" t="n"/>
      <x:c r="K926" s="12" t="n"/>
      <x:c r="L926" s="11" t="n"/>
      <x:c r="M926" s="9" t="n"/>
      <x:c r="N926" s="12" t="n"/>
      <x:c r="O926" s="6">
        <x:f>IF(N926="","",IFERROR(VLOOKUP(N926,Master_Data!$A$5:$C$8,3,FALSE),0))</x:f>
      </x:c>
      <x:c r="P926" s="7">
        <x:f>IF(M926="","",M926*O926)</x:f>
      </x:c>
      <x:c r="Q926" s="7">
        <x:f>IF(M926="","",M926+P926)</x:f>
      </x:c>
      <x:c r="R926" s="7">
        <x:f>IF(K926&lt;&gt;"Paid",0,IF(C926="Income",Q926,-Q926))</x:f>
      </x:c>
      <x:c r="S926" s="14">
        <x:f>IF(A926="","",DATE(YEAR(A926),MONTH(A926),1))</x:f>
      </x:c>
      <x:c r="T926" s="14">
        <x:f>IF(L926="","",DATE(YEAR(L926),MONTH(L926),1))</x:f>
      </x:c>
    </x:row>
    <x:row r="927">
      <x:c r="A927" s="11" t="n"/>
      <x:c r="B927" s="5" t="n"/>
      <x:c r="C927" s="12" t="n"/>
      <x:c r="D927" s="12" t="n"/>
      <x:c r="E927" s="12" t="n"/>
      <x:c r="F927" s="12" t="n"/>
      <x:c r="G927" s="13">
        <x:f>IF(F927="","",IFERROR(VLOOKUP(F927,Master_Data!$E$24:$G$33,2,FALSE),"9999"))</x:f>
      </x:c>
      <x:c r="H927" s="12" t="n"/>
      <x:c r="I927" s="12" t="n"/>
      <x:c r="J927" s="12" t="n"/>
      <x:c r="K927" s="12" t="n"/>
      <x:c r="L927" s="11" t="n"/>
      <x:c r="M927" s="9" t="n"/>
      <x:c r="N927" s="12" t="n"/>
      <x:c r="O927" s="6">
        <x:f>IF(N927="","",IFERROR(VLOOKUP(N927,Master_Data!$A$5:$C$8,3,FALSE),0))</x:f>
      </x:c>
      <x:c r="P927" s="7">
        <x:f>IF(M927="","",M927*O927)</x:f>
      </x:c>
      <x:c r="Q927" s="7">
        <x:f>IF(M927="","",M927+P927)</x:f>
      </x:c>
      <x:c r="R927" s="7">
        <x:f>IF(K927&lt;&gt;"Paid",0,IF(C927="Income",Q927,-Q927))</x:f>
      </x:c>
      <x:c r="S927" s="14">
        <x:f>IF(A927="","",DATE(YEAR(A927),MONTH(A927),1))</x:f>
      </x:c>
      <x:c r="T927" s="14">
        <x:f>IF(L927="","",DATE(YEAR(L927),MONTH(L927),1))</x:f>
      </x:c>
    </x:row>
    <x:row r="928">
      <x:c r="A928" s="11" t="n"/>
      <x:c r="B928" s="5" t="n"/>
      <x:c r="C928" s="12" t="n"/>
      <x:c r="D928" s="12" t="n"/>
      <x:c r="E928" s="12" t="n"/>
      <x:c r="F928" s="12" t="n"/>
      <x:c r="G928" s="13">
        <x:f>IF(F928="","",IFERROR(VLOOKUP(F928,Master_Data!$E$24:$G$33,2,FALSE),"9999"))</x:f>
      </x:c>
      <x:c r="H928" s="12" t="n"/>
      <x:c r="I928" s="12" t="n"/>
      <x:c r="J928" s="12" t="n"/>
      <x:c r="K928" s="12" t="n"/>
      <x:c r="L928" s="11" t="n"/>
      <x:c r="M928" s="9" t="n"/>
      <x:c r="N928" s="12" t="n"/>
      <x:c r="O928" s="6">
        <x:f>IF(N928="","",IFERROR(VLOOKUP(N928,Master_Data!$A$5:$C$8,3,FALSE),0))</x:f>
      </x:c>
      <x:c r="P928" s="7">
        <x:f>IF(M928="","",M928*O928)</x:f>
      </x:c>
      <x:c r="Q928" s="7">
        <x:f>IF(M928="","",M928+P928)</x:f>
      </x:c>
      <x:c r="R928" s="7">
        <x:f>IF(K928&lt;&gt;"Paid",0,IF(C928="Income",Q928,-Q928))</x:f>
      </x:c>
      <x:c r="S928" s="14">
        <x:f>IF(A928="","",DATE(YEAR(A928),MONTH(A928),1))</x:f>
      </x:c>
      <x:c r="T928" s="14">
        <x:f>IF(L928="","",DATE(YEAR(L928),MONTH(L928),1))</x:f>
      </x:c>
    </x:row>
    <x:row r="929">
      <x:c r="A929" s="11" t="n"/>
      <x:c r="B929" s="5" t="n"/>
      <x:c r="C929" s="12" t="n"/>
      <x:c r="D929" s="12" t="n"/>
      <x:c r="E929" s="12" t="n"/>
      <x:c r="F929" s="12" t="n"/>
      <x:c r="G929" s="13">
        <x:f>IF(F929="","",IFERROR(VLOOKUP(F929,Master_Data!$E$24:$G$33,2,FALSE),"9999"))</x:f>
      </x:c>
      <x:c r="H929" s="12" t="n"/>
      <x:c r="I929" s="12" t="n"/>
      <x:c r="J929" s="12" t="n"/>
      <x:c r="K929" s="12" t="n"/>
      <x:c r="L929" s="11" t="n"/>
      <x:c r="M929" s="9" t="n"/>
      <x:c r="N929" s="12" t="n"/>
      <x:c r="O929" s="6">
        <x:f>IF(N929="","",IFERROR(VLOOKUP(N929,Master_Data!$A$5:$C$8,3,FALSE),0))</x:f>
      </x:c>
      <x:c r="P929" s="7">
        <x:f>IF(M929="","",M929*O929)</x:f>
      </x:c>
      <x:c r="Q929" s="7">
        <x:f>IF(M929="","",M929+P929)</x:f>
      </x:c>
      <x:c r="R929" s="7">
        <x:f>IF(K929&lt;&gt;"Paid",0,IF(C929="Income",Q929,-Q929))</x:f>
      </x:c>
      <x:c r="S929" s="14">
        <x:f>IF(A929="","",DATE(YEAR(A929),MONTH(A929),1))</x:f>
      </x:c>
      <x:c r="T929" s="14">
        <x:f>IF(L929="","",DATE(YEAR(L929),MONTH(L929),1))</x:f>
      </x:c>
    </x:row>
    <x:row r="930">
      <x:c r="A930" s="11" t="n"/>
      <x:c r="B930" s="5" t="n"/>
      <x:c r="C930" s="12" t="n"/>
      <x:c r="D930" s="12" t="n"/>
      <x:c r="E930" s="12" t="n"/>
      <x:c r="F930" s="12" t="n"/>
      <x:c r="G930" s="13">
        <x:f>IF(F930="","",IFERROR(VLOOKUP(F930,Master_Data!$E$24:$G$33,2,FALSE),"9999"))</x:f>
      </x:c>
      <x:c r="H930" s="12" t="n"/>
      <x:c r="I930" s="12" t="n"/>
      <x:c r="J930" s="12" t="n"/>
      <x:c r="K930" s="12" t="n"/>
      <x:c r="L930" s="11" t="n"/>
      <x:c r="M930" s="9" t="n"/>
      <x:c r="N930" s="12" t="n"/>
      <x:c r="O930" s="6">
        <x:f>IF(N930="","",IFERROR(VLOOKUP(N930,Master_Data!$A$5:$C$8,3,FALSE),0))</x:f>
      </x:c>
      <x:c r="P930" s="7">
        <x:f>IF(M930="","",M930*O930)</x:f>
      </x:c>
      <x:c r="Q930" s="7">
        <x:f>IF(M930="","",M930+P930)</x:f>
      </x:c>
      <x:c r="R930" s="7">
        <x:f>IF(K930&lt;&gt;"Paid",0,IF(C930="Income",Q930,-Q930))</x:f>
      </x:c>
      <x:c r="S930" s="14">
        <x:f>IF(A930="","",DATE(YEAR(A930),MONTH(A930),1))</x:f>
      </x:c>
      <x:c r="T930" s="14">
        <x:f>IF(L930="","",DATE(YEAR(L930),MONTH(L930),1))</x:f>
      </x:c>
    </x:row>
    <x:row r="931">
      <x:c r="A931" s="11" t="n"/>
      <x:c r="B931" s="5" t="n"/>
      <x:c r="C931" s="12" t="n"/>
      <x:c r="D931" s="12" t="n"/>
      <x:c r="E931" s="12" t="n"/>
      <x:c r="F931" s="12" t="n"/>
      <x:c r="G931" s="13">
        <x:f>IF(F931="","",IFERROR(VLOOKUP(F931,Master_Data!$E$24:$G$33,2,FALSE),"9999"))</x:f>
      </x:c>
      <x:c r="H931" s="12" t="n"/>
      <x:c r="I931" s="12" t="n"/>
      <x:c r="J931" s="12" t="n"/>
      <x:c r="K931" s="12" t="n"/>
      <x:c r="L931" s="11" t="n"/>
      <x:c r="M931" s="9" t="n"/>
      <x:c r="N931" s="12" t="n"/>
      <x:c r="O931" s="6">
        <x:f>IF(N931="","",IFERROR(VLOOKUP(N931,Master_Data!$A$5:$C$8,3,FALSE),0))</x:f>
      </x:c>
      <x:c r="P931" s="7">
        <x:f>IF(M931="","",M931*O931)</x:f>
      </x:c>
      <x:c r="Q931" s="7">
        <x:f>IF(M931="","",M931+P931)</x:f>
      </x:c>
      <x:c r="R931" s="7">
        <x:f>IF(K931&lt;&gt;"Paid",0,IF(C931="Income",Q931,-Q931))</x:f>
      </x:c>
      <x:c r="S931" s="14">
        <x:f>IF(A931="","",DATE(YEAR(A931),MONTH(A931),1))</x:f>
      </x:c>
      <x:c r="T931" s="14">
        <x:f>IF(L931="","",DATE(YEAR(L931),MONTH(L931),1))</x:f>
      </x:c>
    </x:row>
    <x:row r="932">
      <x:c r="A932" s="11" t="n"/>
      <x:c r="B932" s="5" t="n"/>
      <x:c r="C932" s="12" t="n"/>
      <x:c r="D932" s="12" t="n"/>
      <x:c r="E932" s="12" t="n"/>
      <x:c r="F932" s="12" t="n"/>
      <x:c r="G932" s="13">
        <x:f>IF(F932="","",IFERROR(VLOOKUP(F932,Master_Data!$E$24:$G$33,2,FALSE),"9999"))</x:f>
      </x:c>
      <x:c r="H932" s="12" t="n"/>
      <x:c r="I932" s="12" t="n"/>
      <x:c r="J932" s="12" t="n"/>
      <x:c r="K932" s="12" t="n"/>
      <x:c r="L932" s="11" t="n"/>
      <x:c r="M932" s="9" t="n"/>
      <x:c r="N932" s="12" t="n"/>
      <x:c r="O932" s="6">
        <x:f>IF(N932="","",IFERROR(VLOOKUP(N932,Master_Data!$A$5:$C$8,3,FALSE),0))</x:f>
      </x:c>
      <x:c r="P932" s="7">
        <x:f>IF(M932="","",M932*O932)</x:f>
      </x:c>
      <x:c r="Q932" s="7">
        <x:f>IF(M932="","",M932+P932)</x:f>
      </x:c>
      <x:c r="R932" s="7">
        <x:f>IF(K932&lt;&gt;"Paid",0,IF(C932="Income",Q932,-Q932))</x:f>
      </x:c>
      <x:c r="S932" s="14">
        <x:f>IF(A932="","",DATE(YEAR(A932),MONTH(A932),1))</x:f>
      </x:c>
      <x:c r="T932" s="14">
        <x:f>IF(L932="","",DATE(YEAR(L932),MONTH(L932),1))</x:f>
      </x:c>
    </x:row>
    <x:row r="933">
      <x:c r="A933" s="11" t="n"/>
      <x:c r="B933" s="5" t="n"/>
      <x:c r="C933" s="12" t="n"/>
      <x:c r="D933" s="12" t="n"/>
      <x:c r="E933" s="12" t="n"/>
      <x:c r="F933" s="12" t="n"/>
      <x:c r="G933" s="13">
        <x:f>IF(F933="","",IFERROR(VLOOKUP(F933,Master_Data!$E$24:$G$33,2,FALSE),"9999"))</x:f>
      </x:c>
      <x:c r="H933" s="12" t="n"/>
      <x:c r="I933" s="12" t="n"/>
      <x:c r="J933" s="12" t="n"/>
      <x:c r="K933" s="12" t="n"/>
      <x:c r="L933" s="11" t="n"/>
      <x:c r="M933" s="9" t="n"/>
      <x:c r="N933" s="12" t="n"/>
      <x:c r="O933" s="6">
        <x:f>IF(N933="","",IFERROR(VLOOKUP(N933,Master_Data!$A$5:$C$8,3,FALSE),0))</x:f>
      </x:c>
      <x:c r="P933" s="7">
        <x:f>IF(M933="","",M933*O933)</x:f>
      </x:c>
      <x:c r="Q933" s="7">
        <x:f>IF(M933="","",M933+P933)</x:f>
      </x:c>
      <x:c r="R933" s="7">
        <x:f>IF(K933&lt;&gt;"Paid",0,IF(C933="Income",Q933,-Q933))</x:f>
      </x:c>
      <x:c r="S933" s="14">
        <x:f>IF(A933="","",DATE(YEAR(A933),MONTH(A933),1))</x:f>
      </x:c>
      <x:c r="T933" s="14">
        <x:f>IF(L933="","",DATE(YEAR(L933),MONTH(L933),1))</x:f>
      </x:c>
    </x:row>
    <x:row r="934">
      <x:c r="A934" s="11" t="n"/>
      <x:c r="B934" s="5" t="n"/>
      <x:c r="C934" s="12" t="n"/>
      <x:c r="D934" s="12" t="n"/>
      <x:c r="E934" s="12" t="n"/>
      <x:c r="F934" s="12" t="n"/>
      <x:c r="G934" s="13">
        <x:f>IF(F934="","",IFERROR(VLOOKUP(F934,Master_Data!$E$24:$G$33,2,FALSE),"9999"))</x:f>
      </x:c>
      <x:c r="H934" s="12" t="n"/>
      <x:c r="I934" s="12" t="n"/>
      <x:c r="J934" s="12" t="n"/>
      <x:c r="K934" s="12" t="n"/>
      <x:c r="L934" s="11" t="n"/>
      <x:c r="M934" s="9" t="n"/>
      <x:c r="N934" s="12" t="n"/>
      <x:c r="O934" s="6">
        <x:f>IF(N934="","",IFERROR(VLOOKUP(N934,Master_Data!$A$5:$C$8,3,FALSE),0))</x:f>
      </x:c>
      <x:c r="P934" s="7">
        <x:f>IF(M934="","",M934*O934)</x:f>
      </x:c>
      <x:c r="Q934" s="7">
        <x:f>IF(M934="","",M934+P934)</x:f>
      </x:c>
      <x:c r="R934" s="7">
        <x:f>IF(K934&lt;&gt;"Paid",0,IF(C934="Income",Q934,-Q934))</x:f>
      </x:c>
      <x:c r="S934" s="14">
        <x:f>IF(A934="","",DATE(YEAR(A934),MONTH(A934),1))</x:f>
      </x:c>
      <x:c r="T934" s="14">
        <x:f>IF(L934="","",DATE(YEAR(L934),MONTH(L934),1))</x:f>
      </x:c>
    </x:row>
    <x:row r="935">
      <x:c r="A935" s="11" t="n"/>
      <x:c r="B935" s="5" t="n"/>
      <x:c r="C935" s="12" t="n"/>
      <x:c r="D935" s="12" t="n"/>
      <x:c r="E935" s="12" t="n"/>
      <x:c r="F935" s="12" t="n"/>
      <x:c r="G935" s="13">
        <x:f>IF(F935="","",IFERROR(VLOOKUP(F935,Master_Data!$E$24:$G$33,2,FALSE),"9999"))</x:f>
      </x:c>
      <x:c r="H935" s="12" t="n"/>
      <x:c r="I935" s="12" t="n"/>
      <x:c r="J935" s="12" t="n"/>
      <x:c r="K935" s="12" t="n"/>
      <x:c r="L935" s="11" t="n"/>
      <x:c r="M935" s="9" t="n"/>
      <x:c r="N935" s="12" t="n"/>
      <x:c r="O935" s="6">
        <x:f>IF(N935="","",IFERROR(VLOOKUP(N935,Master_Data!$A$5:$C$8,3,FALSE),0))</x:f>
      </x:c>
      <x:c r="P935" s="7">
        <x:f>IF(M935="","",M935*O935)</x:f>
      </x:c>
      <x:c r="Q935" s="7">
        <x:f>IF(M935="","",M935+P935)</x:f>
      </x:c>
      <x:c r="R935" s="7">
        <x:f>IF(K935&lt;&gt;"Paid",0,IF(C935="Income",Q935,-Q935))</x:f>
      </x:c>
      <x:c r="S935" s="14">
        <x:f>IF(A935="","",DATE(YEAR(A935),MONTH(A935),1))</x:f>
      </x:c>
      <x:c r="T935" s="14">
        <x:f>IF(L935="","",DATE(YEAR(L935),MONTH(L935),1))</x:f>
      </x:c>
    </x:row>
    <x:row r="936">
      <x:c r="A936" s="11" t="n"/>
      <x:c r="B936" s="5" t="n"/>
      <x:c r="C936" s="12" t="n"/>
      <x:c r="D936" s="12" t="n"/>
      <x:c r="E936" s="12" t="n"/>
      <x:c r="F936" s="12" t="n"/>
      <x:c r="G936" s="13">
        <x:f>IF(F936="","",IFERROR(VLOOKUP(F936,Master_Data!$E$24:$G$33,2,FALSE),"9999"))</x:f>
      </x:c>
      <x:c r="H936" s="12" t="n"/>
      <x:c r="I936" s="12" t="n"/>
      <x:c r="J936" s="12" t="n"/>
      <x:c r="K936" s="12" t="n"/>
      <x:c r="L936" s="11" t="n"/>
      <x:c r="M936" s="9" t="n"/>
      <x:c r="N936" s="12" t="n"/>
      <x:c r="O936" s="6">
        <x:f>IF(N936="","",IFERROR(VLOOKUP(N936,Master_Data!$A$5:$C$8,3,FALSE),0))</x:f>
      </x:c>
      <x:c r="P936" s="7">
        <x:f>IF(M936="","",M936*O936)</x:f>
      </x:c>
      <x:c r="Q936" s="7">
        <x:f>IF(M936="","",M936+P936)</x:f>
      </x:c>
      <x:c r="R936" s="7">
        <x:f>IF(K936&lt;&gt;"Paid",0,IF(C936="Income",Q936,-Q936))</x:f>
      </x:c>
      <x:c r="S936" s="14">
        <x:f>IF(A936="","",DATE(YEAR(A936),MONTH(A936),1))</x:f>
      </x:c>
      <x:c r="T936" s="14">
        <x:f>IF(L936="","",DATE(YEAR(L936),MONTH(L936),1))</x:f>
      </x:c>
    </x:row>
    <x:row r="937">
      <x:c r="A937" s="11" t="n"/>
      <x:c r="B937" s="5" t="n"/>
      <x:c r="C937" s="12" t="n"/>
      <x:c r="D937" s="12" t="n"/>
      <x:c r="E937" s="12" t="n"/>
      <x:c r="F937" s="12" t="n"/>
      <x:c r="G937" s="13">
        <x:f>IF(F937="","",IFERROR(VLOOKUP(F937,Master_Data!$E$24:$G$33,2,FALSE),"9999"))</x:f>
      </x:c>
      <x:c r="H937" s="12" t="n"/>
      <x:c r="I937" s="12" t="n"/>
      <x:c r="J937" s="12" t="n"/>
      <x:c r="K937" s="12" t="n"/>
      <x:c r="L937" s="11" t="n"/>
      <x:c r="M937" s="9" t="n"/>
      <x:c r="N937" s="12" t="n"/>
      <x:c r="O937" s="6">
        <x:f>IF(N937="","",IFERROR(VLOOKUP(N937,Master_Data!$A$5:$C$8,3,FALSE),0))</x:f>
      </x:c>
      <x:c r="P937" s="7">
        <x:f>IF(M937="","",M937*O937)</x:f>
      </x:c>
      <x:c r="Q937" s="7">
        <x:f>IF(M937="","",M937+P937)</x:f>
      </x:c>
      <x:c r="R937" s="7">
        <x:f>IF(K937&lt;&gt;"Paid",0,IF(C937="Income",Q937,-Q937))</x:f>
      </x:c>
      <x:c r="S937" s="14">
        <x:f>IF(A937="","",DATE(YEAR(A937),MONTH(A937),1))</x:f>
      </x:c>
      <x:c r="T937" s="14">
        <x:f>IF(L937="","",DATE(YEAR(L937),MONTH(L937),1))</x:f>
      </x:c>
    </x:row>
    <x:row r="938">
      <x:c r="A938" s="11" t="n"/>
      <x:c r="B938" s="5" t="n"/>
      <x:c r="C938" s="12" t="n"/>
      <x:c r="D938" s="12" t="n"/>
      <x:c r="E938" s="12" t="n"/>
      <x:c r="F938" s="12" t="n"/>
      <x:c r="G938" s="13">
        <x:f>IF(F938="","",IFERROR(VLOOKUP(F938,Master_Data!$E$24:$G$33,2,FALSE),"9999"))</x:f>
      </x:c>
      <x:c r="H938" s="12" t="n"/>
      <x:c r="I938" s="12" t="n"/>
      <x:c r="J938" s="12" t="n"/>
      <x:c r="K938" s="12" t="n"/>
      <x:c r="L938" s="11" t="n"/>
      <x:c r="M938" s="9" t="n"/>
      <x:c r="N938" s="12" t="n"/>
      <x:c r="O938" s="6">
        <x:f>IF(N938="","",IFERROR(VLOOKUP(N938,Master_Data!$A$5:$C$8,3,FALSE),0))</x:f>
      </x:c>
      <x:c r="P938" s="7">
        <x:f>IF(M938="","",M938*O938)</x:f>
      </x:c>
      <x:c r="Q938" s="7">
        <x:f>IF(M938="","",M938+P938)</x:f>
      </x:c>
      <x:c r="R938" s="7">
        <x:f>IF(K938&lt;&gt;"Paid",0,IF(C938="Income",Q938,-Q938))</x:f>
      </x:c>
      <x:c r="S938" s="14">
        <x:f>IF(A938="","",DATE(YEAR(A938),MONTH(A938),1))</x:f>
      </x:c>
      <x:c r="T938" s="14">
        <x:f>IF(L938="","",DATE(YEAR(L938),MONTH(L938),1))</x:f>
      </x:c>
    </x:row>
    <x:row r="939">
      <x:c r="A939" s="11" t="n"/>
      <x:c r="B939" s="5" t="n"/>
      <x:c r="C939" s="12" t="n"/>
      <x:c r="D939" s="12" t="n"/>
      <x:c r="E939" s="12" t="n"/>
      <x:c r="F939" s="12" t="n"/>
      <x:c r="G939" s="13">
        <x:f>IF(F939="","",IFERROR(VLOOKUP(F939,Master_Data!$E$24:$G$33,2,FALSE),"9999"))</x:f>
      </x:c>
      <x:c r="H939" s="12" t="n"/>
      <x:c r="I939" s="12" t="n"/>
      <x:c r="J939" s="12" t="n"/>
      <x:c r="K939" s="12" t="n"/>
      <x:c r="L939" s="11" t="n"/>
      <x:c r="M939" s="9" t="n"/>
      <x:c r="N939" s="12" t="n"/>
      <x:c r="O939" s="6">
        <x:f>IF(N939="","",IFERROR(VLOOKUP(N939,Master_Data!$A$5:$C$8,3,FALSE),0))</x:f>
      </x:c>
      <x:c r="P939" s="7">
        <x:f>IF(M939="","",M939*O939)</x:f>
      </x:c>
      <x:c r="Q939" s="7">
        <x:f>IF(M939="","",M939+P939)</x:f>
      </x:c>
      <x:c r="R939" s="7">
        <x:f>IF(K939&lt;&gt;"Paid",0,IF(C939="Income",Q939,-Q939))</x:f>
      </x:c>
      <x:c r="S939" s="14">
        <x:f>IF(A939="","",DATE(YEAR(A939),MONTH(A939),1))</x:f>
      </x:c>
      <x:c r="T939" s="14">
        <x:f>IF(L939="","",DATE(YEAR(L939),MONTH(L939),1))</x:f>
      </x:c>
    </x:row>
    <x:row r="940">
      <x:c r="A940" s="11" t="n"/>
      <x:c r="B940" s="5" t="n"/>
      <x:c r="C940" s="12" t="n"/>
      <x:c r="D940" s="12" t="n"/>
      <x:c r="E940" s="12" t="n"/>
      <x:c r="F940" s="12" t="n"/>
      <x:c r="G940" s="13">
        <x:f>IF(F940="","",IFERROR(VLOOKUP(F940,Master_Data!$E$24:$G$33,2,FALSE),"9999"))</x:f>
      </x:c>
      <x:c r="H940" s="12" t="n"/>
      <x:c r="I940" s="12" t="n"/>
      <x:c r="J940" s="12" t="n"/>
      <x:c r="K940" s="12" t="n"/>
      <x:c r="L940" s="11" t="n"/>
      <x:c r="M940" s="9" t="n"/>
      <x:c r="N940" s="12" t="n"/>
      <x:c r="O940" s="6">
        <x:f>IF(N940="","",IFERROR(VLOOKUP(N940,Master_Data!$A$5:$C$8,3,FALSE),0))</x:f>
      </x:c>
      <x:c r="P940" s="7">
        <x:f>IF(M940="","",M940*O940)</x:f>
      </x:c>
      <x:c r="Q940" s="7">
        <x:f>IF(M940="","",M940+P940)</x:f>
      </x:c>
      <x:c r="R940" s="7">
        <x:f>IF(K940&lt;&gt;"Paid",0,IF(C940="Income",Q940,-Q940))</x:f>
      </x:c>
      <x:c r="S940" s="14">
        <x:f>IF(A940="","",DATE(YEAR(A940),MONTH(A940),1))</x:f>
      </x:c>
      <x:c r="T940" s="14">
        <x:f>IF(L940="","",DATE(YEAR(L940),MONTH(L940),1))</x:f>
      </x:c>
    </x:row>
    <x:row r="941">
      <x:c r="A941" s="11" t="n"/>
      <x:c r="B941" s="5" t="n"/>
      <x:c r="C941" s="12" t="n"/>
      <x:c r="D941" s="12" t="n"/>
      <x:c r="E941" s="12" t="n"/>
      <x:c r="F941" s="12" t="n"/>
      <x:c r="G941" s="13">
        <x:f>IF(F941="","",IFERROR(VLOOKUP(F941,Master_Data!$E$24:$G$33,2,FALSE),"9999"))</x:f>
      </x:c>
      <x:c r="H941" s="12" t="n"/>
      <x:c r="I941" s="12" t="n"/>
      <x:c r="J941" s="12" t="n"/>
      <x:c r="K941" s="12" t="n"/>
      <x:c r="L941" s="11" t="n"/>
      <x:c r="M941" s="9" t="n"/>
      <x:c r="N941" s="12" t="n"/>
      <x:c r="O941" s="6">
        <x:f>IF(N941="","",IFERROR(VLOOKUP(N941,Master_Data!$A$5:$C$8,3,FALSE),0))</x:f>
      </x:c>
      <x:c r="P941" s="7">
        <x:f>IF(M941="","",M941*O941)</x:f>
      </x:c>
      <x:c r="Q941" s="7">
        <x:f>IF(M941="","",M941+P941)</x:f>
      </x:c>
      <x:c r="R941" s="7">
        <x:f>IF(K941&lt;&gt;"Paid",0,IF(C941="Income",Q941,-Q941))</x:f>
      </x:c>
      <x:c r="S941" s="14">
        <x:f>IF(A941="","",DATE(YEAR(A941),MONTH(A941),1))</x:f>
      </x:c>
      <x:c r="T941" s="14">
        <x:f>IF(L941="","",DATE(YEAR(L941),MONTH(L941),1))</x:f>
      </x:c>
    </x:row>
    <x:row r="942">
      <x:c r="A942" s="11" t="n"/>
      <x:c r="B942" s="5" t="n"/>
      <x:c r="C942" s="12" t="n"/>
      <x:c r="D942" s="12" t="n"/>
      <x:c r="E942" s="12" t="n"/>
      <x:c r="F942" s="12" t="n"/>
      <x:c r="G942" s="13">
        <x:f>IF(F942="","",IFERROR(VLOOKUP(F942,Master_Data!$E$24:$G$33,2,FALSE),"9999"))</x:f>
      </x:c>
      <x:c r="H942" s="12" t="n"/>
      <x:c r="I942" s="12" t="n"/>
      <x:c r="J942" s="12" t="n"/>
      <x:c r="K942" s="12" t="n"/>
      <x:c r="L942" s="11" t="n"/>
      <x:c r="M942" s="9" t="n"/>
      <x:c r="N942" s="12" t="n"/>
      <x:c r="O942" s="6">
        <x:f>IF(N942="","",IFERROR(VLOOKUP(N942,Master_Data!$A$5:$C$8,3,FALSE),0))</x:f>
      </x:c>
      <x:c r="P942" s="7">
        <x:f>IF(M942="","",M942*O942)</x:f>
      </x:c>
      <x:c r="Q942" s="7">
        <x:f>IF(M942="","",M942+P942)</x:f>
      </x:c>
      <x:c r="R942" s="7">
        <x:f>IF(K942&lt;&gt;"Paid",0,IF(C942="Income",Q942,-Q942))</x:f>
      </x:c>
      <x:c r="S942" s="14">
        <x:f>IF(A942="","",DATE(YEAR(A942),MONTH(A942),1))</x:f>
      </x:c>
      <x:c r="T942" s="14">
        <x:f>IF(L942="","",DATE(YEAR(L942),MONTH(L942),1))</x:f>
      </x:c>
    </x:row>
    <x:row r="943">
      <x:c r="A943" s="11" t="n"/>
      <x:c r="B943" s="5" t="n"/>
      <x:c r="C943" s="12" t="n"/>
      <x:c r="D943" s="12" t="n"/>
      <x:c r="E943" s="12" t="n"/>
      <x:c r="F943" s="12" t="n"/>
      <x:c r="G943" s="13">
        <x:f>IF(F943="","",IFERROR(VLOOKUP(F943,Master_Data!$E$24:$G$33,2,FALSE),"9999"))</x:f>
      </x:c>
      <x:c r="H943" s="12" t="n"/>
      <x:c r="I943" s="12" t="n"/>
      <x:c r="J943" s="12" t="n"/>
      <x:c r="K943" s="12" t="n"/>
      <x:c r="L943" s="11" t="n"/>
      <x:c r="M943" s="9" t="n"/>
      <x:c r="N943" s="12" t="n"/>
      <x:c r="O943" s="6">
        <x:f>IF(N943="","",IFERROR(VLOOKUP(N943,Master_Data!$A$5:$C$8,3,FALSE),0))</x:f>
      </x:c>
      <x:c r="P943" s="7">
        <x:f>IF(M943="","",M943*O943)</x:f>
      </x:c>
      <x:c r="Q943" s="7">
        <x:f>IF(M943="","",M943+P943)</x:f>
      </x:c>
      <x:c r="R943" s="7">
        <x:f>IF(K943&lt;&gt;"Paid",0,IF(C943="Income",Q943,-Q943))</x:f>
      </x:c>
      <x:c r="S943" s="14">
        <x:f>IF(A943="","",DATE(YEAR(A943),MONTH(A943),1))</x:f>
      </x:c>
      <x:c r="T943" s="14">
        <x:f>IF(L943="","",DATE(YEAR(L943),MONTH(L943),1))</x:f>
      </x:c>
    </x:row>
    <x:row r="944">
      <x:c r="A944" s="11" t="n"/>
      <x:c r="B944" s="5" t="n"/>
      <x:c r="C944" s="12" t="n"/>
      <x:c r="D944" s="12" t="n"/>
      <x:c r="E944" s="12" t="n"/>
      <x:c r="F944" s="12" t="n"/>
      <x:c r="G944" s="13">
        <x:f>IF(F944="","",IFERROR(VLOOKUP(F944,Master_Data!$E$24:$G$33,2,FALSE),"9999"))</x:f>
      </x:c>
      <x:c r="H944" s="12" t="n"/>
      <x:c r="I944" s="12" t="n"/>
      <x:c r="J944" s="12" t="n"/>
      <x:c r="K944" s="12" t="n"/>
      <x:c r="L944" s="11" t="n"/>
      <x:c r="M944" s="9" t="n"/>
      <x:c r="N944" s="12" t="n"/>
      <x:c r="O944" s="6">
        <x:f>IF(N944="","",IFERROR(VLOOKUP(N944,Master_Data!$A$5:$C$8,3,FALSE),0))</x:f>
      </x:c>
      <x:c r="P944" s="7">
        <x:f>IF(M944="","",M944*O944)</x:f>
      </x:c>
      <x:c r="Q944" s="7">
        <x:f>IF(M944="","",M944+P944)</x:f>
      </x:c>
      <x:c r="R944" s="7">
        <x:f>IF(K944&lt;&gt;"Paid",0,IF(C944="Income",Q944,-Q944))</x:f>
      </x:c>
      <x:c r="S944" s="14">
        <x:f>IF(A944="","",DATE(YEAR(A944),MONTH(A944),1))</x:f>
      </x:c>
      <x:c r="T944" s="14">
        <x:f>IF(L944="","",DATE(YEAR(L944),MONTH(L944),1))</x:f>
      </x:c>
    </x:row>
    <x:row r="945">
      <x:c r="A945" s="11" t="n"/>
      <x:c r="B945" s="5" t="n"/>
      <x:c r="C945" s="12" t="n"/>
      <x:c r="D945" s="12" t="n"/>
      <x:c r="E945" s="12" t="n"/>
      <x:c r="F945" s="12" t="n"/>
      <x:c r="G945" s="13">
        <x:f>IF(F945="","",IFERROR(VLOOKUP(F945,Master_Data!$E$24:$G$33,2,FALSE),"9999"))</x:f>
      </x:c>
      <x:c r="H945" s="12" t="n"/>
      <x:c r="I945" s="12" t="n"/>
      <x:c r="J945" s="12" t="n"/>
      <x:c r="K945" s="12" t="n"/>
      <x:c r="L945" s="11" t="n"/>
      <x:c r="M945" s="9" t="n"/>
      <x:c r="N945" s="12" t="n"/>
      <x:c r="O945" s="6">
        <x:f>IF(N945="","",IFERROR(VLOOKUP(N945,Master_Data!$A$5:$C$8,3,FALSE),0))</x:f>
      </x:c>
      <x:c r="P945" s="7">
        <x:f>IF(M945="","",M945*O945)</x:f>
      </x:c>
      <x:c r="Q945" s="7">
        <x:f>IF(M945="","",M945+P945)</x:f>
      </x:c>
      <x:c r="R945" s="7">
        <x:f>IF(K945&lt;&gt;"Paid",0,IF(C945="Income",Q945,-Q945))</x:f>
      </x:c>
      <x:c r="S945" s="14">
        <x:f>IF(A945="","",DATE(YEAR(A945),MONTH(A945),1))</x:f>
      </x:c>
      <x:c r="T945" s="14">
        <x:f>IF(L945="","",DATE(YEAR(L945),MONTH(L945),1))</x:f>
      </x:c>
    </x:row>
    <x:row r="946">
      <x:c r="A946" s="11" t="n"/>
      <x:c r="B946" s="5" t="n"/>
      <x:c r="C946" s="12" t="n"/>
      <x:c r="D946" s="12" t="n"/>
      <x:c r="E946" s="12" t="n"/>
      <x:c r="F946" s="12" t="n"/>
      <x:c r="G946" s="13">
        <x:f>IF(F946="","",IFERROR(VLOOKUP(F946,Master_Data!$E$24:$G$33,2,FALSE),"9999"))</x:f>
      </x:c>
      <x:c r="H946" s="12" t="n"/>
      <x:c r="I946" s="12" t="n"/>
      <x:c r="J946" s="12" t="n"/>
      <x:c r="K946" s="12" t="n"/>
      <x:c r="L946" s="11" t="n"/>
      <x:c r="M946" s="9" t="n"/>
      <x:c r="N946" s="12" t="n"/>
      <x:c r="O946" s="6">
        <x:f>IF(N946="","",IFERROR(VLOOKUP(N946,Master_Data!$A$5:$C$8,3,FALSE),0))</x:f>
      </x:c>
      <x:c r="P946" s="7">
        <x:f>IF(M946="","",M946*O946)</x:f>
      </x:c>
      <x:c r="Q946" s="7">
        <x:f>IF(M946="","",M946+P946)</x:f>
      </x:c>
      <x:c r="R946" s="7">
        <x:f>IF(K946&lt;&gt;"Paid",0,IF(C946="Income",Q946,-Q946))</x:f>
      </x:c>
      <x:c r="S946" s="14">
        <x:f>IF(A946="","",DATE(YEAR(A946),MONTH(A946),1))</x:f>
      </x:c>
      <x:c r="T946" s="14">
        <x:f>IF(L946="","",DATE(YEAR(L946),MONTH(L946),1))</x:f>
      </x:c>
    </x:row>
    <x:row r="947">
      <x:c r="A947" s="11" t="n"/>
      <x:c r="B947" s="5" t="n"/>
      <x:c r="C947" s="12" t="n"/>
      <x:c r="D947" s="12" t="n"/>
      <x:c r="E947" s="12" t="n"/>
      <x:c r="F947" s="12" t="n"/>
      <x:c r="G947" s="13">
        <x:f>IF(F947="","",IFERROR(VLOOKUP(F947,Master_Data!$E$24:$G$33,2,FALSE),"9999"))</x:f>
      </x:c>
      <x:c r="H947" s="12" t="n"/>
      <x:c r="I947" s="12" t="n"/>
      <x:c r="J947" s="12" t="n"/>
      <x:c r="K947" s="12" t="n"/>
      <x:c r="L947" s="11" t="n"/>
      <x:c r="M947" s="9" t="n"/>
      <x:c r="N947" s="12" t="n"/>
      <x:c r="O947" s="6">
        <x:f>IF(N947="","",IFERROR(VLOOKUP(N947,Master_Data!$A$5:$C$8,3,FALSE),0))</x:f>
      </x:c>
      <x:c r="P947" s="7">
        <x:f>IF(M947="","",M947*O947)</x:f>
      </x:c>
      <x:c r="Q947" s="7">
        <x:f>IF(M947="","",M947+P947)</x:f>
      </x:c>
      <x:c r="R947" s="7">
        <x:f>IF(K947&lt;&gt;"Paid",0,IF(C947="Income",Q947,-Q947))</x:f>
      </x:c>
      <x:c r="S947" s="14">
        <x:f>IF(A947="","",DATE(YEAR(A947),MONTH(A947),1))</x:f>
      </x:c>
      <x:c r="T947" s="14">
        <x:f>IF(L947="","",DATE(YEAR(L947),MONTH(L947),1))</x:f>
      </x:c>
    </x:row>
    <x:row r="948">
      <x:c r="A948" s="11" t="n"/>
      <x:c r="B948" s="5" t="n"/>
      <x:c r="C948" s="12" t="n"/>
      <x:c r="D948" s="12" t="n"/>
      <x:c r="E948" s="12" t="n"/>
      <x:c r="F948" s="12" t="n"/>
      <x:c r="G948" s="13">
        <x:f>IF(F948="","",IFERROR(VLOOKUP(F948,Master_Data!$E$24:$G$33,2,FALSE),"9999"))</x:f>
      </x:c>
      <x:c r="H948" s="12" t="n"/>
      <x:c r="I948" s="12" t="n"/>
      <x:c r="J948" s="12" t="n"/>
      <x:c r="K948" s="12" t="n"/>
      <x:c r="L948" s="11" t="n"/>
      <x:c r="M948" s="9" t="n"/>
      <x:c r="N948" s="12" t="n"/>
      <x:c r="O948" s="6">
        <x:f>IF(N948="","",IFERROR(VLOOKUP(N948,Master_Data!$A$5:$C$8,3,FALSE),0))</x:f>
      </x:c>
      <x:c r="P948" s="7">
        <x:f>IF(M948="","",M948*O948)</x:f>
      </x:c>
      <x:c r="Q948" s="7">
        <x:f>IF(M948="","",M948+P948)</x:f>
      </x:c>
      <x:c r="R948" s="7">
        <x:f>IF(K948&lt;&gt;"Paid",0,IF(C948="Income",Q948,-Q948))</x:f>
      </x:c>
      <x:c r="S948" s="14">
        <x:f>IF(A948="","",DATE(YEAR(A948),MONTH(A948),1))</x:f>
      </x:c>
      <x:c r="T948" s="14">
        <x:f>IF(L948="","",DATE(YEAR(L948),MONTH(L948),1))</x:f>
      </x:c>
    </x:row>
    <x:row r="949">
      <x:c r="A949" s="11" t="n"/>
      <x:c r="B949" s="5" t="n"/>
      <x:c r="C949" s="12" t="n"/>
      <x:c r="D949" s="12" t="n"/>
      <x:c r="E949" s="12" t="n"/>
      <x:c r="F949" s="12" t="n"/>
      <x:c r="G949" s="13">
        <x:f>IF(F949="","",IFERROR(VLOOKUP(F949,Master_Data!$E$24:$G$33,2,FALSE),"9999"))</x:f>
      </x:c>
      <x:c r="H949" s="12" t="n"/>
      <x:c r="I949" s="12" t="n"/>
      <x:c r="J949" s="12" t="n"/>
      <x:c r="K949" s="12" t="n"/>
      <x:c r="L949" s="11" t="n"/>
      <x:c r="M949" s="9" t="n"/>
      <x:c r="N949" s="12" t="n"/>
      <x:c r="O949" s="6">
        <x:f>IF(N949="","",IFERROR(VLOOKUP(N949,Master_Data!$A$5:$C$8,3,FALSE),0))</x:f>
      </x:c>
      <x:c r="P949" s="7">
        <x:f>IF(M949="","",M949*O949)</x:f>
      </x:c>
      <x:c r="Q949" s="7">
        <x:f>IF(M949="","",M949+P949)</x:f>
      </x:c>
      <x:c r="R949" s="7">
        <x:f>IF(K949&lt;&gt;"Paid",0,IF(C949="Income",Q949,-Q949))</x:f>
      </x:c>
      <x:c r="S949" s="14">
        <x:f>IF(A949="","",DATE(YEAR(A949),MONTH(A949),1))</x:f>
      </x:c>
      <x:c r="T949" s="14">
        <x:f>IF(L949="","",DATE(YEAR(L949),MONTH(L949),1))</x:f>
      </x:c>
    </x:row>
    <x:row r="950">
      <x:c r="A950" s="11" t="n"/>
      <x:c r="B950" s="5" t="n"/>
      <x:c r="C950" s="12" t="n"/>
      <x:c r="D950" s="12" t="n"/>
      <x:c r="E950" s="12" t="n"/>
      <x:c r="F950" s="12" t="n"/>
      <x:c r="G950" s="13">
        <x:f>IF(F950="","",IFERROR(VLOOKUP(F950,Master_Data!$E$24:$G$33,2,FALSE),"9999"))</x:f>
      </x:c>
      <x:c r="H950" s="12" t="n"/>
      <x:c r="I950" s="12" t="n"/>
      <x:c r="J950" s="12" t="n"/>
      <x:c r="K950" s="12" t="n"/>
      <x:c r="L950" s="11" t="n"/>
      <x:c r="M950" s="9" t="n"/>
      <x:c r="N950" s="12" t="n"/>
      <x:c r="O950" s="6">
        <x:f>IF(N950="","",IFERROR(VLOOKUP(N950,Master_Data!$A$5:$C$8,3,FALSE),0))</x:f>
      </x:c>
      <x:c r="P950" s="7">
        <x:f>IF(M950="","",M950*O950)</x:f>
      </x:c>
      <x:c r="Q950" s="7">
        <x:f>IF(M950="","",M950+P950)</x:f>
      </x:c>
      <x:c r="R950" s="7">
        <x:f>IF(K950&lt;&gt;"Paid",0,IF(C950="Income",Q950,-Q950))</x:f>
      </x:c>
      <x:c r="S950" s="14">
        <x:f>IF(A950="","",DATE(YEAR(A950),MONTH(A950),1))</x:f>
      </x:c>
      <x:c r="T950" s="14">
        <x:f>IF(L950="","",DATE(YEAR(L950),MONTH(L950),1))</x:f>
      </x:c>
    </x:row>
    <x:row r="951">
      <x:c r="A951" s="11" t="n"/>
      <x:c r="B951" s="5" t="n"/>
      <x:c r="C951" s="12" t="n"/>
      <x:c r="D951" s="12" t="n"/>
      <x:c r="E951" s="12" t="n"/>
      <x:c r="F951" s="12" t="n"/>
      <x:c r="G951" s="13">
        <x:f>IF(F951="","",IFERROR(VLOOKUP(F951,Master_Data!$E$24:$G$33,2,FALSE),"9999"))</x:f>
      </x:c>
      <x:c r="H951" s="12" t="n"/>
      <x:c r="I951" s="12" t="n"/>
      <x:c r="J951" s="12" t="n"/>
      <x:c r="K951" s="12" t="n"/>
      <x:c r="L951" s="11" t="n"/>
      <x:c r="M951" s="9" t="n"/>
      <x:c r="N951" s="12" t="n"/>
      <x:c r="O951" s="6">
        <x:f>IF(N951="","",IFERROR(VLOOKUP(N951,Master_Data!$A$5:$C$8,3,FALSE),0))</x:f>
      </x:c>
      <x:c r="P951" s="7">
        <x:f>IF(M951="","",M951*O951)</x:f>
      </x:c>
      <x:c r="Q951" s="7">
        <x:f>IF(M951="","",M951+P951)</x:f>
      </x:c>
      <x:c r="R951" s="7">
        <x:f>IF(K951&lt;&gt;"Paid",0,IF(C951="Income",Q951,-Q951))</x:f>
      </x:c>
      <x:c r="S951" s="14">
        <x:f>IF(A951="","",DATE(YEAR(A951),MONTH(A951),1))</x:f>
      </x:c>
      <x:c r="T951" s="14">
        <x:f>IF(L951="","",DATE(YEAR(L951),MONTH(L951),1))</x:f>
      </x:c>
    </x:row>
    <x:row r="952">
      <x:c r="A952" s="11" t="n"/>
      <x:c r="B952" s="5" t="n"/>
      <x:c r="C952" s="12" t="n"/>
      <x:c r="D952" s="12" t="n"/>
      <x:c r="E952" s="12" t="n"/>
      <x:c r="F952" s="12" t="n"/>
      <x:c r="G952" s="13">
        <x:f>IF(F952="","",IFERROR(VLOOKUP(F952,Master_Data!$E$24:$G$33,2,FALSE),"9999"))</x:f>
      </x:c>
      <x:c r="H952" s="12" t="n"/>
      <x:c r="I952" s="12" t="n"/>
      <x:c r="J952" s="12" t="n"/>
      <x:c r="K952" s="12" t="n"/>
      <x:c r="L952" s="11" t="n"/>
      <x:c r="M952" s="9" t="n"/>
      <x:c r="N952" s="12" t="n"/>
      <x:c r="O952" s="6">
        <x:f>IF(N952="","",IFERROR(VLOOKUP(N952,Master_Data!$A$5:$C$8,3,FALSE),0))</x:f>
      </x:c>
      <x:c r="P952" s="7">
        <x:f>IF(M952="","",M952*O952)</x:f>
      </x:c>
      <x:c r="Q952" s="7">
        <x:f>IF(M952="","",M952+P952)</x:f>
      </x:c>
      <x:c r="R952" s="7">
        <x:f>IF(K952&lt;&gt;"Paid",0,IF(C952="Income",Q952,-Q952))</x:f>
      </x:c>
      <x:c r="S952" s="14">
        <x:f>IF(A952="","",DATE(YEAR(A952),MONTH(A952),1))</x:f>
      </x:c>
      <x:c r="T952" s="14">
        <x:f>IF(L952="","",DATE(YEAR(L952),MONTH(L952),1))</x:f>
      </x:c>
    </x:row>
    <x:row r="953">
      <x:c r="A953" s="11" t="n"/>
      <x:c r="B953" s="5" t="n"/>
      <x:c r="C953" s="12" t="n"/>
      <x:c r="D953" s="12" t="n"/>
      <x:c r="E953" s="12" t="n"/>
      <x:c r="F953" s="12" t="n"/>
      <x:c r="G953" s="13">
        <x:f>IF(F953="","",IFERROR(VLOOKUP(F953,Master_Data!$E$24:$G$33,2,FALSE),"9999"))</x:f>
      </x:c>
      <x:c r="H953" s="12" t="n"/>
      <x:c r="I953" s="12" t="n"/>
      <x:c r="J953" s="12" t="n"/>
      <x:c r="K953" s="12" t="n"/>
      <x:c r="L953" s="11" t="n"/>
      <x:c r="M953" s="9" t="n"/>
      <x:c r="N953" s="12" t="n"/>
      <x:c r="O953" s="6">
        <x:f>IF(N953="","",IFERROR(VLOOKUP(N953,Master_Data!$A$5:$C$8,3,FALSE),0))</x:f>
      </x:c>
      <x:c r="P953" s="7">
        <x:f>IF(M953="","",M953*O953)</x:f>
      </x:c>
      <x:c r="Q953" s="7">
        <x:f>IF(M953="","",M953+P953)</x:f>
      </x:c>
      <x:c r="R953" s="7">
        <x:f>IF(K953&lt;&gt;"Paid",0,IF(C953="Income",Q953,-Q953))</x:f>
      </x:c>
      <x:c r="S953" s="14">
        <x:f>IF(A953="","",DATE(YEAR(A953),MONTH(A953),1))</x:f>
      </x:c>
      <x:c r="T953" s="14">
        <x:f>IF(L953="","",DATE(YEAR(L953),MONTH(L953),1))</x:f>
      </x:c>
    </x:row>
    <x:row r="954">
      <x:c r="A954" s="11" t="n"/>
      <x:c r="B954" s="5" t="n"/>
      <x:c r="C954" s="12" t="n"/>
      <x:c r="D954" s="12" t="n"/>
      <x:c r="E954" s="12" t="n"/>
      <x:c r="F954" s="12" t="n"/>
      <x:c r="G954" s="13">
        <x:f>IF(F954="","",IFERROR(VLOOKUP(F954,Master_Data!$E$24:$G$33,2,FALSE),"9999"))</x:f>
      </x:c>
      <x:c r="H954" s="12" t="n"/>
      <x:c r="I954" s="12" t="n"/>
      <x:c r="J954" s="12" t="n"/>
      <x:c r="K954" s="12" t="n"/>
      <x:c r="L954" s="11" t="n"/>
      <x:c r="M954" s="9" t="n"/>
      <x:c r="N954" s="12" t="n"/>
      <x:c r="O954" s="6">
        <x:f>IF(N954="","",IFERROR(VLOOKUP(N954,Master_Data!$A$5:$C$8,3,FALSE),0))</x:f>
      </x:c>
      <x:c r="P954" s="7">
        <x:f>IF(M954="","",M954*O954)</x:f>
      </x:c>
      <x:c r="Q954" s="7">
        <x:f>IF(M954="","",M954+P954)</x:f>
      </x:c>
      <x:c r="R954" s="7">
        <x:f>IF(K954&lt;&gt;"Paid",0,IF(C954="Income",Q954,-Q954))</x:f>
      </x:c>
      <x:c r="S954" s="14">
        <x:f>IF(A954="","",DATE(YEAR(A954),MONTH(A954),1))</x:f>
      </x:c>
      <x:c r="T954" s="14">
        <x:f>IF(L954="","",DATE(YEAR(L954),MONTH(L954),1))</x:f>
      </x:c>
    </x:row>
    <x:row r="955">
      <x:c r="A955" s="11" t="n"/>
      <x:c r="B955" s="5" t="n"/>
      <x:c r="C955" s="12" t="n"/>
      <x:c r="D955" s="12" t="n"/>
      <x:c r="E955" s="12" t="n"/>
      <x:c r="F955" s="12" t="n"/>
      <x:c r="G955" s="13">
        <x:f>IF(F955="","",IFERROR(VLOOKUP(F955,Master_Data!$E$24:$G$33,2,FALSE),"9999"))</x:f>
      </x:c>
      <x:c r="H955" s="12" t="n"/>
      <x:c r="I955" s="12" t="n"/>
      <x:c r="J955" s="12" t="n"/>
      <x:c r="K955" s="12" t="n"/>
      <x:c r="L955" s="11" t="n"/>
      <x:c r="M955" s="9" t="n"/>
      <x:c r="N955" s="12" t="n"/>
      <x:c r="O955" s="6">
        <x:f>IF(N955="","",IFERROR(VLOOKUP(N955,Master_Data!$A$5:$C$8,3,FALSE),0))</x:f>
      </x:c>
      <x:c r="P955" s="7">
        <x:f>IF(M955="","",M955*O955)</x:f>
      </x:c>
      <x:c r="Q955" s="7">
        <x:f>IF(M955="","",M955+P955)</x:f>
      </x:c>
      <x:c r="R955" s="7">
        <x:f>IF(K955&lt;&gt;"Paid",0,IF(C955="Income",Q955,-Q955))</x:f>
      </x:c>
      <x:c r="S955" s="14">
        <x:f>IF(A955="","",DATE(YEAR(A955),MONTH(A955),1))</x:f>
      </x:c>
      <x:c r="T955" s="14">
        <x:f>IF(L955="","",DATE(YEAR(L955),MONTH(L955),1))</x:f>
      </x:c>
    </x:row>
    <x:row r="956">
      <x:c r="A956" s="11" t="n"/>
      <x:c r="B956" s="5" t="n"/>
      <x:c r="C956" s="12" t="n"/>
      <x:c r="D956" s="12" t="n"/>
      <x:c r="E956" s="12" t="n"/>
      <x:c r="F956" s="12" t="n"/>
      <x:c r="G956" s="13">
        <x:f>IF(F956="","",IFERROR(VLOOKUP(F956,Master_Data!$E$24:$G$33,2,FALSE),"9999"))</x:f>
      </x:c>
      <x:c r="H956" s="12" t="n"/>
      <x:c r="I956" s="12" t="n"/>
      <x:c r="J956" s="12" t="n"/>
      <x:c r="K956" s="12" t="n"/>
      <x:c r="L956" s="11" t="n"/>
      <x:c r="M956" s="9" t="n"/>
      <x:c r="N956" s="12" t="n"/>
      <x:c r="O956" s="6">
        <x:f>IF(N956="","",IFERROR(VLOOKUP(N956,Master_Data!$A$5:$C$8,3,FALSE),0))</x:f>
      </x:c>
      <x:c r="P956" s="7">
        <x:f>IF(M956="","",M956*O956)</x:f>
      </x:c>
      <x:c r="Q956" s="7">
        <x:f>IF(M956="","",M956+P956)</x:f>
      </x:c>
      <x:c r="R956" s="7">
        <x:f>IF(K956&lt;&gt;"Paid",0,IF(C956="Income",Q956,-Q956))</x:f>
      </x:c>
      <x:c r="S956" s="14">
        <x:f>IF(A956="","",DATE(YEAR(A956),MONTH(A956),1))</x:f>
      </x:c>
      <x:c r="T956" s="14">
        <x:f>IF(L956="","",DATE(YEAR(L956),MONTH(L956),1))</x:f>
      </x:c>
    </x:row>
    <x:row r="957">
      <x:c r="A957" s="11" t="n"/>
      <x:c r="B957" s="5" t="n"/>
      <x:c r="C957" s="12" t="n"/>
      <x:c r="D957" s="12" t="n"/>
      <x:c r="E957" s="12" t="n"/>
      <x:c r="F957" s="12" t="n"/>
      <x:c r="G957" s="13">
        <x:f>IF(F957="","",IFERROR(VLOOKUP(F957,Master_Data!$E$24:$G$33,2,FALSE),"9999"))</x:f>
      </x:c>
      <x:c r="H957" s="12" t="n"/>
      <x:c r="I957" s="12" t="n"/>
      <x:c r="J957" s="12" t="n"/>
      <x:c r="K957" s="12" t="n"/>
      <x:c r="L957" s="11" t="n"/>
      <x:c r="M957" s="9" t="n"/>
      <x:c r="N957" s="12" t="n"/>
      <x:c r="O957" s="6">
        <x:f>IF(N957="","",IFERROR(VLOOKUP(N957,Master_Data!$A$5:$C$8,3,FALSE),0))</x:f>
      </x:c>
      <x:c r="P957" s="7">
        <x:f>IF(M957="","",M957*O957)</x:f>
      </x:c>
      <x:c r="Q957" s="7">
        <x:f>IF(M957="","",M957+P957)</x:f>
      </x:c>
      <x:c r="R957" s="7">
        <x:f>IF(K957&lt;&gt;"Paid",0,IF(C957="Income",Q957,-Q957))</x:f>
      </x:c>
      <x:c r="S957" s="14">
        <x:f>IF(A957="","",DATE(YEAR(A957),MONTH(A957),1))</x:f>
      </x:c>
      <x:c r="T957" s="14">
        <x:f>IF(L957="","",DATE(YEAR(L957),MONTH(L957),1))</x:f>
      </x:c>
    </x:row>
    <x:row r="958">
      <x:c r="A958" s="11" t="n"/>
      <x:c r="B958" s="5" t="n"/>
      <x:c r="C958" s="12" t="n"/>
      <x:c r="D958" s="12" t="n"/>
      <x:c r="E958" s="12" t="n"/>
      <x:c r="F958" s="12" t="n"/>
      <x:c r="G958" s="13">
        <x:f>IF(F958="","",IFERROR(VLOOKUP(F958,Master_Data!$E$24:$G$33,2,FALSE),"9999"))</x:f>
      </x:c>
      <x:c r="H958" s="12" t="n"/>
      <x:c r="I958" s="12" t="n"/>
      <x:c r="J958" s="12" t="n"/>
      <x:c r="K958" s="12" t="n"/>
      <x:c r="L958" s="11" t="n"/>
      <x:c r="M958" s="9" t="n"/>
      <x:c r="N958" s="12" t="n"/>
      <x:c r="O958" s="6">
        <x:f>IF(N958="","",IFERROR(VLOOKUP(N958,Master_Data!$A$5:$C$8,3,FALSE),0))</x:f>
      </x:c>
      <x:c r="P958" s="7">
        <x:f>IF(M958="","",M958*O958)</x:f>
      </x:c>
      <x:c r="Q958" s="7">
        <x:f>IF(M958="","",M958+P958)</x:f>
      </x:c>
      <x:c r="R958" s="7">
        <x:f>IF(K958&lt;&gt;"Paid",0,IF(C958="Income",Q958,-Q958))</x:f>
      </x:c>
      <x:c r="S958" s="14">
        <x:f>IF(A958="","",DATE(YEAR(A958),MONTH(A958),1))</x:f>
      </x:c>
      <x:c r="T958" s="14">
        <x:f>IF(L958="","",DATE(YEAR(L958),MONTH(L958),1))</x:f>
      </x:c>
    </x:row>
    <x:row r="959">
      <x:c r="A959" s="11" t="n"/>
      <x:c r="B959" s="5" t="n"/>
      <x:c r="C959" s="12" t="n"/>
      <x:c r="D959" s="12" t="n"/>
      <x:c r="E959" s="12" t="n"/>
      <x:c r="F959" s="12" t="n"/>
      <x:c r="G959" s="13">
        <x:f>IF(F959="","",IFERROR(VLOOKUP(F959,Master_Data!$E$24:$G$33,2,FALSE),"9999"))</x:f>
      </x:c>
      <x:c r="H959" s="12" t="n"/>
      <x:c r="I959" s="12" t="n"/>
      <x:c r="J959" s="12" t="n"/>
      <x:c r="K959" s="12" t="n"/>
      <x:c r="L959" s="11" t="n"/>
      <x:c r="M959" s="9" t="n"/>
      <x:c r="N959" s="12" t="n"/>
      <x:c r="O959" s="6">
        <x:f>IF(N959="","",IFERROR(VLOOKUP(N959,Master_Data!$A$5:$C$8,3,FALSE),0))</x:f>
      </x:c>
      <x:c r="P959" s="7">
        <x:f>IF(M959="","",M959*O959)</x:f>
      </x:c>
      <x:c r="Q959" s="7">
        <x:f>IF(M959="","",M959+P959)</x:f>
      </x:c>
      <x:c r="R959" s="7">
        <x:f>IF(K959&lt;&gt;"Paid",0,IF(C959="Income",Q959,-Q959))</x:f>
      </x:c>
      <x:c r="S959" s="14">
        <x:f>IF(A959="","",DATE(YEAR(A959),MONTH(A959),1))</x:f>
      </x:c>
      <x:c r="T959" s="14">
        <x:f>IF(L959="","",DATE(YEAR(L959),MONTH(L959),1))</x:f>
      </x:c>
    </x:row>
    <x:row r="960">
      <x:c r="A960" s="11" t="n"/>
      <x:c r="B960" s="5" t="n"/>
      <x:c r="C960" s="12" t="n"/>
      <x:c r="D960" s="12" t="n"/>
      <x:c r="E960" s="12" t="n"/>
      <x:c r="F960" s="12" t="n"/>
      <x:c r="G960" s="13">
        <x:f>IF(F960="","",IFERROR(VLOOKUP(F960,Master_Data!$E$24:$G$33,2,FALSE),"9999"))</x:f>
      </x:c>
      <x:c r="H960" s="12" t="n"/>
      <x:c r="I960" s="12" t="n"/>
      <x:c r="J960" s="12" t="n"/>
      <x:c r="K960" s="12" t="n"/>
      <x:c r="L960" s="11" t="n"/>
      <x:c r="M960" s="9" t="n"/>
      <x:c r="N960" s="12" t="n"/>
      <x:c r="O960" s="6">
        <x:f>IF(N960="","",IFERROR(VLOOKUP(N960,Master_Data!$A$5:$C$8,3,FALSE),0))</x:f>
      </x:c>
      <x:c r="P960" s="7">
        <x:f>IF(M960="","",M960*O960)</x:f>
      </x:c>
      <x:c r="Q960" s="7">
        <x:f>IF(M960="","",M960+P960)</x:f>
      </x:c>
      <x:c r="R960" s="7">
        <x:f>IF(K960&lt;&gt;"Paid",0,IF(C960="Income",Q960,-Q960))</x:f>
      </x:c>
      <x:c r="S960" s="14">
        <x:f>IF(A960="","",DATE(YEAR(A960),MONTH(A960),1))</x:f>
      </x:c>
      <x:c r="T960" s="14">
        <x:f>IF(L960="","",DATE(YEAR(L960),MONTH(L960),1))</x:f>
      </x:c>
    </x:row>
    <x:row r="961">
      <x:c r="A961" s="11" t="n"/>
      <x:c r="B961" s="5" t="n"/>
      <x:c r="C961" s="12" t="n"/>
      <x:c r="D961" s="12" t="n"/>
      <x:c r="E961" s="12" t="n"/>
      <x:c r="F961" s="12" t="n"/>
      <x:c r="G961" s="13">
        <x:f>IF(F961="","",IFERROR(VLOOKUP(F961,Master_Data!$E$24:$G$33,2,FALSE),"9999"))</x:f>
      </x:c>
      <x:c r="H961" s="12" t="n"/>
      <x:c r="I961" s="12" t="n"/>
      <x:c r="J961" s="12" t="n"/>
      <x:c r="K961" s="12" t="n"/>
      <x:c r="L961" s="11" t="n"/>
      <x:c r="M961" s="9" t="n"/>
      <x:c r="N961" s="12" t="n"/>
      <x:c r="O961" s="6">
        <x:f>IF(N961="","",IFERROR(VLOOKUP(N961,Master_Data!$A$5:$C$8,3,FALSE),0))</x:f>
      </x:c>
      <x:c r="P961" s="7">
        <x:f>IF(M961="","",M961*O961)</x:f>
      </x:c>
      <x:c r="Q961" s="7">
        <x:f>IF(M961="","",M961+P961)</x:f>
      </x:c>
      <x:c r="R961" s="7">
        <x:f>IF(K961&lt;&gt;"Paid",0,IF(C961="Income",Q961,-Q961))</x:f>
      </x:c>
      <x:c r="S961" s="14">
        <x:f>IF(A961="","",DATE(YEAR(A961),MONTH(A961),1))</x:f>
      </x:c>
      <x:c r="T961" s="14">
        <x:f>IF(L961="","",DATE(YEAR(L961),MONTH(L961),1))</x:f>
      </x:c>
    </x:row>
    <x:row r="962">
      <x:c r="A962" s="11" t="n"/>
      <x:c r="B962" s="5" t="n"/>
      <x:c r="C962" s="12" t="n"/>
      <x:c r="D962" s="12" t="n"/>
      <x:c r="E962" s="12" t="n"/>
      <x:c r="F962" s="12" t="n"/>
      <x:c r="G962" s="13">
        <x:f>IF(F962="","",IFERROR(VLOOKUP(F962,Master_Data!$E$24:$G$33,2,FALSE),"9999"))</x:f>
      </x:c>
      <x:c r="H962" s="12" t="n"/>
      <x:c r="I962" s="12" t="n"/>
      <x:c r="J962" s="12" t="n"/>
      <x:c r="K962" s="12" t="n"/>
      <x:c r="L962" s="11" t="n"/>
      <x:c r="M962" s="9" t="n"/>
      <x:c r="N962" s="12" t="n"/>
      <x:c r="O962" s="6">
        <x:f>IF(N962="","",IFERROR(VLOOKUP(N962,Master_Data!$A$5:$C$8,3,FALSE),0))</x:f>
      </x:c>
      <x:c r="P962" s="7">
        <x:f>IF(M962="","",M962*O962)</x:f>
      </x:c>
      <x:c r="Q962" s="7">
        <x:f>IF(M962="","",M962+P962)</x:f>
      </x:c>
      <x:c r="R962" s="7">
        <x:f>IF(K962&lt;&gt;"Paid",0,IF(C962="Income",Q962,-Q962))</x:f>
      </x:c>
      <x:c r="S962" s="14">
        <x:f>IF(A962="","",DATE(YEAR(A962),MONTH(A962),1))</x:f>
      </x:c>
      <x:c r="T962" s="14">
        <x:f>IF(L962="","",DATE(YEAR(L962),MONTH(L962),1))</x:f>
      </x:c>
    </x:row>
    <x:row r="963">
      <x:c r="A963" s="11" t="n"/>
      <x:c r="B963" s="5" t="n"/>
      <x:c r="C963" s="12" t="n"/>
      <x:c r="D963" s="12" t="n"/>
      <x:c r="E963" s="12" t="n"/>
      <x:c r="F963" s="12" t="n"/>
      <x:c r="G963" s="13">
        <x:f>IF(F963="","",IFERROR(VLOOKUP(F963,Master_Data!$E$24:$G$33,2,FALSE),"9999"))</x:f>
      </x:c>
      <x:c r="H963" s="12" t="n"/>
      <x:c r="I963" s="12" t="n"/>
      <x:c r="J963" s="12" t="n"/>
      <x:c r="K963" s="12" t="n"/>
      <x:c r="L963" s="11" t="n"/>
      <x:c r="M963" s="9" t="n"/>
      <x:c r="N963" s="12" t="n"/>
      <x:c r="O963" s="6">
        <x:f>IF(N963="","",IFERROR(VLOOKUP(N963,Master_Data!$A$5:$C$8,3,FALSE),0))</x:f>
      </x:c>
      <x:c r="P963" s="7">
        <x:f>IF(M963="","",M963*O963)</x:f>
      </x:c>
      <x:c r="Q963" s="7">
        <x:f>IF(M963="","",M963+P963)</x:f>
      </x:c>
      <x:c r="R963" s="7">
        <x:f>IF(K963&lt;&gt;"Paid",0,IF(C963="Income",Q963,-Q963))</x:f>
      </x:c>
      <x:c r="S963" s="14">
        <x:f>IF(A963="","",DATE(YEAR(A963),MONTH(A963),1))</x:f>
      </x:c>
      <x:c r="T963" s="14">
        <x:f>IF(L963="","",DATE(YEAR(L963),MONTH(L963),1))</x:f>
      </x:c>
    </x:row>
    <x:row r="964">
      <x:c r="A964" s="11" t="n"/>
      <x:c r="B964" s="5" t="n"/>
      <x:c r="C964" s="12" t="n"/>
      <x:c r="D964" s="12" t="n"/>
      <x:c r="E964" s="12" t="n"/>
      <x:c r="F964" s="12" t="n"/>
      <x:c r="G964" s="13">
        <x:f>IF(F964="","",IFERROR(VLOOKUP(F964,Master_Data!$E$24:$G$33,2,FALSE),"9999"))</x:f>
      </x:c>
      <x:c r="H964" s="12" t="n"/>
      <x:c r="I964" s="12" t="n"/>
      <x:c r="J964" s="12" t="n"/>
      <x:c r="K964" s="12" t="n"/>
      <x:c r="L964" s="11" t="n"/>
      <x:c r="M964" s="9" t="n"/>
      <x:c r="N964" s="12" t="n"/>
      <x:c r="O964" s="6">
        <x:f>IF(N964="","",IFERROR(VLOOKUP(N964,Master_Data!$A$5:$C$8,3,FALSE),0))</x:f>
      </x:c>
      <x:c r="P964" s="7">
        <x:f>IF(M964="","",M964*O964)</x:f>
      </x:c>
      <x:c r="Q964" s="7">
        <x:f>IF(M964="","",M964+P964)</x:f>
      </x:c>
      <x:c r="R964" s="7">
        <x:f>IF(K964&lt;&gt;"Paid",0,IF(C964="Income",Q964,-Q964))</x:f>
      </x:c>
      <x:c r="S964" s="14">
        <x:f>IF(A964="","",DATE(YEAR(A964),MONTH(A964),1))</x:f>
      </x:c>
      <x:c r="T964" s="14">
        <x:f>IF(L964="","",DATE(YEAR(L964),MONTH(L964),1))</x:f>
      </x:c>
    </x:row>
    <x:row r="965">
      <x:c r="A965" s="11" t="n"/>
      <x:c r="B965" s="5" t="n"/>
      <x:c r="C965" s="12" t="n"/>
      <x:c r="D965" s="12" t="n"/>
      <x:c r="E965" s="12" t="n"/>
      <x:c r="F965" s="12" t="n"/>
      <x:c r="G965" s="13">
        <x:f>IF(F965="","",IFERROR(VLOOKUP(F965,Master_Data!$E$24:$G$33,2,FALSE),"9999"))</x:f>
      </x:c>
      <x:c r="H965" s="12" t="n"/>
      <x:c r="I965" s="12" t="n"/>
      <x:c r="J965" s="12" t="n"/>
      <x:c r="K965" s="12" t="n"/>
      <x:c r="L965" s="11" t="n"/>
      <x:c r="M965" s="9" t="n"/>
      <x:c r="N965" s="12" t="n"/>
      <x:c r="O965" s="6">
        <x:f>IF(N965="","",IFERROR(VLOOKUP(N965,Master_Data!$A$5:$C$8,3,FALSE),0))</x:f>
      </x:c>
      <x:c r="P965" s="7">
        <x:f>IF(M965="","",M965*O965)</x:f>
      </x:c>
      <x:c r="Q965" s="7">
        <x:f>IF(M965="","",M965+P965)</x:f>
      </x:c>
      <x:c r="R965" s="7">
        <x:f>IF(K965&lt;&gt;"Paid",0,IF(C965="Income",Q965,-Q965))</x:f>
      </x:c>
      <x:c r="S965" s="14">
        <x:f>IF(A965="","",DATE(YEAR(A965),MONTH(A965),1))</x:f>
      </x:c>
      <x:c r="T965" s="14">
        <x:f>IF(L965="","",DATE(YEAR(L965),MONTH(L965),1))</x:f>
      </x:c>
    </x:row>
    <x:row r="966">
      <x:c r="A966" s="11" t="n"/>
      <x:c r="B966" s="5" t="n"/>
      <x:c r="C966" s="12" t="n"/>
      <x:c r="D966" s="12" t="n"/>
      <x:c r="E966" s="12" t="n"/>
      <x:c r="F966" s="12" t="n"/>
      <x:c r="G966" s="13">
        <x:f>IF(F966="","",IFERROR(VLOOKUP(F966,Master_Data!$E$24:$G$33,2,FALSE),"9999"))</x:f>
      </x:c>
      <x:c r="H966" s="12" t="n"/>
      <x:c r="I966" s="12" t="n"/>
      <x:c r="J966" s="12" t="n"/>
      <x:c r="K966" s="12" t="n"/>
      <x:c r="L966" s="11" t="n"/>
      <x:c r="M966" s="9" t="n"/>
      <x:c r="N966" s="12" t="n"/>
      <x:c r="O966" s="6">
        <x:f>IF(N966="","",IFERROR(VLOOKUP(N966,Master_Data!$A$5:$C$8,3,FALSE),0))</x:f>
      </x:c>
      <x:c r="P966" s="7">
        <x:f>IF(M966="","",M966*O966)</x:f>
      </x:c>
      <x:c r="Q966" s="7">
        <x:f>IF(M966="","",M966+P966)</x:f>
      </x:c>
      <x:c r="R966" s="7">
        <x:f>IF(K966&lt;&gt;"Paid",0,IF(C966="Income",Q966,-Q966))</x:f>
      </x:c>
      <x:c r="S966" s="14">
        <x:f>IF(A966="","",DATE(YEAR(A966),MONTH(A966),1))</x:f>
      </x:c>
      <x:c r="T966" s="14">
        <x:f>IF(L966="","",DATE(YEAR(L966),MONTH(L966),1))</x:f>
      </x:c>
    </x:row>
    <x:row r="967">
      <x:c r="A967" s="11" t="n"/>
      <x:c r="B967" s="5" t="n"/>
      <x:c r="C967" s="12" t="n"/>
      <x:c r="D967" s="12" t="n"/>
      <x:c r="E967" s="12" t="n"/>
      <x:c r="F967" s="12" t="n"/>
      <x:c r="G967" s="13">
        <x:f>IF(F967="","",IFERROR(VLOOKUP(F967,Master_Data!$E$24:$G$33,2,FALSE),"9999"))</x:f>
      </x:c>
      <x:c r="H967" s="12" t="n"/>
      <x:c r="I967" s="12" t="n"/>
      <x:c r="J967" s="12" t="n"/>
      <x:c r="K967" s="12" t="n"/>
      <x:c r="L967" s="11" t="n"/>
      <x:c r="M967" s="9" t="n"/>
      <x:c r="N967" s="12" t="n"/>
      <x:c r="O967" s="6">
        <x:f>IF(N967="","",IFERROR(VLOOKUP(N967,Master_Data!$A$5:$C$8,3,FALSE),0))</x:f>
      </x:c>
      <x:c r="P967" s="7">
        <x:f>IF(M967="","",M967*O967)</x:f>
      </x:c>
      <x:c r="Q967" s="7">
        <x:f>IF(M967="","",M967+P967)</x:f>
      </x:c>
      <x:c r="R967" s="7">
        <x:f>IF(K967&lt;&gt;"Paid",0,IF(C967="Income",Q967,-Q967))</x:f>
      </x:c>
      <x:c r="S967" s="14">
        <x:f>IF(A967="","",DATE(YEAR(A967),MONTH(A967),1))</x:f>
      </x:c>
      <x:c r="T967" s="14">
        <x:f>IF(L967="","",DATE(YEAR(L967),MONTH(L967),1))</x:f>
      </x:c>
    </x:row>
    <x:row r="968">
      <x:c r="A968" s="11" t="n"/>
      <x:c r="B968" s="5" t="n"/>
      <x:c r="C968" s="12" t="n"/>
      <x:c r="D968" s="12" t="n"/>
      <x:c r="E968" s="12" t="n"/>
      <x:c r="F968" s="12" t="n"/>
      <x:c r="G968" s="13">
        <x:f>IF(F968="","",IFERROR(VLOOKUP(F968,Master_Data!$E$24:$G$33,2,FALSE),"9999"))</x:f>
      </x:c>
      <x:c r="H968" s="12" t="n"/>
      <x:c r="I968" s="12" t="n"/>
      <x:c r="J968" s="12" t="n"/>
      <x:c r="K968" s="12" t="n"/>
      <x:c r="L968" s="11" t="n"/>
      <x:c r="M968" s="9" t="n"/>
      <x:c r="N968" s="12" t="n"/>
      <x:c r="O968" s="6">
        <x:f>IF(N968="","",IFERROR(VLOOKUP(N968,Master_Data!$A$5:$C$8,3,FALSE),0))</x:f>
      </x:c>
      <x:c r="P968" s="7">
        <x:f>IF(M968="","",M968*O968)</x:f>
      </x:c>
      <x:c r="Q968" s="7">
        <x:f>IF(M968="","",M968+P968)</x:f>
      </x:c>
      <x:c r="R968" s="7">
        <x:f>IF(K968&lt;&gt;"Paid",0,IF(C968="Income",Q968,-Q968))</x:f>
      </x:c>
      <x:c r="S968" s="14">
        <x:f>IF(A968="","",DATE(YEAR(A968),MONTH(A968),1))</x:f>
      </x:c>
      <x:c r="T968" s="14">
        <x:f>IF(L968="","",DATE(YEAR(L968),MONTH(L968),1))</x:f>
      </x:c>
    </x:row>
    <x:row r="969">
      <x:c r="A969" s="11" t="n"/>
      <x:c r="B969" s="5" t="n"/>
      <x:c r="C969" s="12" t="n"/>
      <x:c r="D969" s="12" t="n"/>
      <x:c r="E969" s="12" t="n"/>
      <x:c r="F969" s="12" t="n"/>
      <x:c r="G969" s="13">
        <x:f>IF(F969="","",IFERROR(VLOOKUP(F969,Master_Data!$E$24:$G$33,2,FALSE),"9999"))</x:f>
      </x:c>
      <x:c r="H969" s="12" t="n"/>
      <x:c r="I969" s="12" t="n"/>
      <x:c r="J969" s="12" t="n"/>
      <x:c r="K969" s="12" t="n"/>
      <x:c r="L969" s="11" t="n"/>
      <x:c r="M969" s="9" t="n"/>
      <x:c r="N969" s="12" t="n"/>
      <x:c r="O969" s="6">
        <x:f>IF(N969="","",IFERROR(VLOOKUP(N969,Master_Data!$A$5:$C$8,3,FALSE),0))</x:f>
      </x:c>
      <x:c r="P969" s="7">
        <x:f>IF(M969="","",M969*O969)</x:f>
      </x:c>
      <x:c r="Q969" s="7">
        <x:f>IF(M969="","",M969+P969)</x:f>
      </x:c>
      <x:c r="R969" s="7">
        <x:f>IF(K969&lt;&gt;"Paid",0,IF(C969="Income",Q969,-Q969))</x:f>
      </x:c>
      <x:c r="S969" s="14">
        <x:f>IF(A969="","",DATE(YEAR(A969),MONTH(A969),1))</x:f>
      </x:c>
      <x:c r="T969" s="14">
        <x:f>IF(L969="","",DATE(YEAR(L969),MONTH(L969),1))</x:f>
      </x:c>
    </x:row>
    <x:row r="970">
      <x:c r="A970" s="11" t="n"/>
      <x:c r="B970" s="5" t="n"/>
      <x:c r="C970" s="12" t="n"/>
      <x:c r="D970" s="12" t="n"/>
      <x:c r="E970" s="12" t="n"/>
      <x:c r="F970" s="12" t="n"/>
      <x:c r="G970" s="13">
        <x:f>IF(F970="","",IFERROR(VLOOKUP(F970,Master_Data!$E$24:$G$33,2,FALSE),"9999"))</x:f>
      </x:c>
      <x:c r="H970" s="12" t="n"/>
      <x:c r="I970" s="12" t="n"/>
      <x:c r="J970" s="12" t="n"/>
      <x:c r="K970" s="12" t="n"/>
      <x:c r="L970" s="11" t="n"/>
      <x:c r="M970" s="9" t="n"/>
      <x:c r="N970" s="12" t="n"/>
      <x:c r="O970" s="6">
        <x:f>IF(N970="","",IFERROR(VLOOKUP(N970,Master_Data!$A$5:$C$8,3,FALSE),0))</x:f>
      </x:c>
      <x:c r="P970" s="7">
        <x:f>IF(M970="","",M970*O970)</x:f>
      </x:c>
      <x:c r="Q970" s="7">
        <x:f>IF(M970="","",M970+P970)</x:f>
      </x:c>
      <x:c r="R970" s="7">
        <x:f>IF(K970&lt;&gt;"Paid",0,IF(C970="Income",Q970,-Q970))</x:f>
      </x:c>
      <x:c r="S970" s="14">
        <x:f>IF(A970="","",DATE(YEAR(A970),MONTH(A970),1))</x:f>
      </x:c>
      <x:c r="T970" s="14">
        <x:f>IF(L970="","",DATE(YEAR(L970),MONTH(L970),1))</x:f>
      </x:c>
    </x:row>
    <x:row r="971">
      <x:c r="A971" s="11" t="n"/>
      <x:c r="B971" s="5" t="n"/>
      <x:c r="C971" s="12" t="n"/>
      <x:c r="D971" s="12" t="n"/>
      <x:c r="E971" s="12" t="n"/>
      <x:c r="F971" s="12" t="n"/>
      <x:c r="G971" s="13">
        <x:f>IF(F971="","",IFERROR(VLOOKUP(F971,Master_Data!$E$24:$G$33,2,FALSE),"9999"))</x:f>
      </x:c>
      <x:c r="H971" s="12" t="n"/>
      <x:c r="I971" s="12" t="n"/>
      <x:c r="J971" s="12" t="n"/>
      <x:c r="K971" s="12" t="n"/>
      <x:c r="L971" s="11" t="n"/>
      <x:c r="M971" s="9" t="n"/>
      <x:c r="N971" s="12" t="n"/>
      <x:c r="O971" s="6">
        <x:f>IF(N971="","",IFERROR(VLOOKUP(N971,Master_Data!$A$5:$C$8,3,FALSE),0))</x:f>
      </x:c>
      <x:c r="P971" s="7">
        <x:f>IF(M971="","",M971*O971)</x:f>
      </x:c>
      <x:c r="Q971" s="7">
        <x:f>IF(M971="","",M971+P971)</x:f>
      </x:c>
      <x:c r="R971" s="7">
        <x:f>IF(K971&lt;&gt;"Paid",0,IF(C971="Income",Q971,-Q971))</x:f>
      </x:c>
      <x:c r="S971" s="14">
        <x:f>IF(A971="","",DATE(YEAR(A971),MONTH(A971),1))</x:f>
      </x:c>
      <x:c r="T971" s="14">
        <x:f>IF(L971="","",DATE(YEAR(L971),MONTH(L971),1))</x:f>
      </x:c>
    </x:row>
    <x:row r="972">
      <x:c r="A972" s="11" t="n"/>
      <x:c r="B972" s="5" t="n"/>
      <x:c r="C972" s="12" t="n"/>
      <x:c r="D972" s="12" t="n"/>
      <x:c r="E972" s="12" t="n"/>
      <x:c r="F972" s="12" t="n"/>
      <x:c r="G972" s="13">
        <x:f>IF(F972="","",IFERROR(VLOOKUP(F972,Master_Data!$E$24:$G$33,2,FALSE),"9999"))</x:f>
      </x:c>
      <x:c r="H972" s="12" t="n"/>
      <x:c r="I972" s="12" t="n"/>
      <x:c r="J972" s="12" t="n"/>
      <x:c r="K972" s="12" t="n"/>
      <x:c r="L972" s="11" t="n"/>
      <x:c r="M972" s="9" t="n"/>
      <x:c r="N972" s="12" t="n"/>
      <x:c r="O972" s="6">
        <x:f>IF(N972="","",IFERROR(VLOOKUP(N972,Master_Data!$A$5:$C$8,3,FALSE),0))</x:f>
      </x:c>
      <x:c r="P972" s="7">
        <x:f>IF(M972="","",M972*O972)</x:f>
      </x:c>
      <x:c r="Q972" s="7">
        <x:f>IF(M972="","",M972+P972)</x:f>
      </x:c>
      <x:c r="R972" s="7">
        <x:f>IF(K972&lt;&gt;"Paid",0,IF(C972="Income",Q972,-Q972))</x:f>
      </x:c>
      <x:c r="S972" s="14">
        <x:f>IF(A972="","",DATE(YEAR(A972),MONTH(A972),1))</x:f>
      </x:c>
      <x:c r="T972" s="14">
        <x:f>IF(L972="","",DATE(YEAR(L972),MONTH(L972),1))</x:f>
      </x:c>
    </x:row>
    <x:row r="973">
      <x:c r="A973" s="11" t="n"/>
      <x:c r="B973" s="5" t="n"/>
      <x:c r="C973" s="12" t="n"/>
      <x:c r="D973" s="12" t="n"/>
      <x:c r="E973" s="12" t="n"/>
      <x:c r="F973" s="12" t="n"/>
      <x:c r="G973" s="13">
        <x:f>IF(F973="","",IFERROR(VLOOKUP(F973,Master_Data!$E$24:$G$33,2,FALSE),"9999"))</x:f>
      </x:c>
      <x:c r="H973" s="12" t="n"/>
      <x:c r="I973" s="12" t="n"/>
      <x:c r="J973" s="12" t="n"/>
      <x:c r="K973" s="12" t="n"/>
      <x:c r="L973" s="11" t="n"/>
      <x:c r="M973" s="9" t="n"/>
      <x:c r="N973" s="12" t="n"/>
      <x:c r="O973" s="6">
        <x:f>IF(N973="","",IFERROR(VLOOKUP(N973,Master_Data!$A$5:$C$8,3,FALSE),0))</x:f>
      </x:c>
      <x:c r="P973" s="7">
        <x:f>IF(M973="","",M973*O973)</x:f>
      </x:c>
      <x:c r="Q973" s="7">
        <x:f>IF(M973="","",M973+P973)</x:f>
      </x:c>
      <x:c r="R973" s="7">
        <x:f>IF(K973&lt;&gt;"Paid",0,IF(C973="Income",Q973,-Q973))</x:f>
      </x:c>
      <x:c r="S973" s="14">
        <x:f>IF(A973="","",DATE(YEAR(A973),MONTH(A973),1))</x:f>
      </x:c>
      <x:c r="T973" s="14">
        <x:f>IF(L973="","",DATE(YEAR(L973),MONTH(L973),1))</x:f>
      </x:c>
    </x:row>
    <x:row r="974">
      <x:c r="A974" s="11" t="n"/>
      <x:c r="B974" s="5" t="n"/>
      <x:c r="C974" s="12" t="n"/>
      <x:c r="D974" s="12" t="n"/>
      <x:c r="E974" s="12" t="n"/>
      <x:c r="F974" s="12" t="n"/>
      <x:c r="G974" s="13">
        <x:f>IF(F974="","",IFERROR(VLOOKUP(F974,Master_Data!$E$24:$G$33,2,FALSE),"9999"))</x:f>
      </x:c>
      <x:c r="H974" s="12" t="n"/>
      <x:c r="I974" s="12" t="n"/>
      <x:c r="J974" s="12" t="n"/>
      <x:c r="K974" s="12" t="n"/>
      <x:c r="L974" s="11" t="n"/>
      <x:c r="M974" s="9" t="n"/>
      <x:c r="N974" s="12" t="n"/>
      <x:c r="O974" s="6">
        <x:f>IF(N974="","",IFERROR(VLOOKUP(N974,Master_Data!$A$5:$C$8,3,FALSE),0))</x:f>
      </x:c>
      <x:c r="P974" s="7">
        <x:f>IF(M974="","",M974*O974)</x:f>
      </x:c>
      <x:c r="Q974" s="7">
        <x:f>IF(M974="","",M974+P974)</x:f>
      </x:c>
      <x:c r="R974" s="7">
        <x:f>IF(K974&lt;&gt;"Paid",0,IF(C974="Income",Q974,-Q974))</x:f>
      </x:c>
      <x:c r="S974" s="14">
        <x:f>IF(A974="","",DATE(YEAR(A974),MONTH(A974),1))</x:f>
      </x:c>
      <x:c r="T974" s="14">
        <x:f>IF(L974="","",DATE(YEAR(L974),MONTH(L974),1))</x:f>
      </x:c>
    </x:row>
    <x:row r="975">
      <x:c r="A975" s="11" t="n"/>
      <x:c r="B975" s="5" t="n"/>
      <x:c r="C975" s="12" t="n"/>
      <x:c r="D975" s="12" t="n"/>
      <x:c r="E975" s="12" t="n"/>
      <x:c r="F975" s="12" t="n"/>
      <x:c r="G975" s="13">
        <x:f>IF(F975="","",IFERROR(VLOOKUP(F975,Master_Data!$E$24:$G$33,2,FALSE),"9999"))</x:f>
      </x:c>
      <x:c r="H975" s="12" t="n"/>
      <x:c r="I975" s="12" t="n"/>
      <x:c r="J975" s="12" t="n"/>
      <x:c r="K975" s="12" t="n"/>
      <x:c r="L975" s="11" t="n"/>
      <x:c r="M975" s="9" t="n"/>
      <x:c r="N975" s="12" t="n"/>
      <x:c r="O975" s="6">
        <x:f>IF(N975="","",IFERROR(VLOOKUP(N975,Master_Data!$A$5:$C$8,3,FALSE),0))</x:f>
      </x:c>
      <x:c r="P975" s="7">
        <x:f>IF(M975="","",M975*O975)</x:f>
      </x:c>
      <x:c r="Q975" s="7">
        <x:f>IF(M975="","",M975+P975)</x:f>
      </x:c>
      <x:c r="R975" s="7">
        <x:f>IF(K975&lt;&gt;"Paid",0,IF(C975="Income",Q975,-Q975))</x:f>
      </x:c>
      <x:c r="S975" s="14">
        <x:f>IF(A975="","",DATE(YEAR(A975),MONTH(A975),1))</x:f>
      </x:c>
      <x:c r="T975" s="14">
        <x:f>IF(L975="","",DATE(YEAR(L975),MONTH(L975),1))</x:f>
      </x:c>
    </x:row>
    <x:row r="976">
      <x:c r="A976" s="11" t="n"/>
      <x:c r="B976" s="5" t="n"/>
      <x:c r="C976" s="12" t="n"/>
      <x:c r="D976" s="12" t="n"/>
      <x:c r="E976" s="12" t="n"/>
      <x:c r="F976" s="12" t="n"/>
      <x:c r="G976" s="13">
        <x:f>IF(F976="","",IFERROR(VLOOKUP(F976,Master_Data!$E$24:$G$33,2,FALSE),"9999"))</x:f>
      </x:c>
      <x:c r="H976" s="12" t="n"/>
      <x:c r="I976" s="12" t="n"/>
      <x:c r="J976" s="12" t="n"/>
      <x:c r="K976" s="12" t="n"/>
      <x:c r="L976" s="11" t="n"/>
      <x:c r="M976" s="9" t="n"/>
      <x:c r="N976" s="12" t="n"/>
      <x:c r="O976" s="6">
        <x:f>IF(N976="","",IFERROR(VLOOKUP(N976,Master_Data!$A$5:$C$8,3,FALSE),0))</x:f>
      </x:c>
      <x:c r="P976" s="7">
        <x:f>IF(M976="","",M976*O976)</x:f>
      </x:c>
      <x:c r="Q976" s="7">
        <x:f>IF(M976="","",M976+P976)</x:f>
      </x:c>
      <x:c r="R976" s="7">
        <x:f>IF(K976&lt;&gt;"Paid",0,IF(C976="Income",Q976,-Q976))</x:f>
      </x:c>
      <x:c r="S976" s="14">
        <x:f>IF(A976="","",DATE(YEAR(A976),MONTH(A976),1))</x:f>
      </x:c>
      <x:c r="T976" s="14">
        <x:f>IF(L976="","",DATE(YEAR(L976),MONTH(L976),1))</x:f>
      </x:c>
    </x:row>
    <x:row r="977">
      <x:c r="A977" s="11" t="n"/>
      <x:c r="B977" s="5" t="n"/>
      <x:c r="C977" s="12" t="n"/>
      <x:c r="D977" s="12" t="n"/>
      <x:c r="E977" s="12" t="n"/>
      <x:c r="F977" s="12" t="n"/>
      <x:c r="G977" s="13">
        <x:f>IF(F977="","",IFERROR(VLOOKUP(F977,Master_Data!$E$24:$G$33,2,FALSE),"9999"))</x:f>
      </x:c>
      <x:c r="H977" s="12" t="n"/>
      <x:c r="I977" s="12" t="n"/>
      <x:c r="J977" s="12" t="n"/>
      <x:c r="K977" s="12" t="n"/>
      <x:c r="L977" s="11" t="n"/>
      <x:c r="M977" s="9" t="n"/>
      <x:c r="N977" s="12" t="n"/>
      <x:c r="O977" s="6">
        <x:f>IF(N977="","",IFERROR(VLOOKUP(N977,Master_Data!$A$5:$C$8,3,FALSE),0))</x:f>
      </x:c>
      <x:c r="P977" s="7">
        <x:f>IF(M977="","",M977*O977)</x:f>
      </x:c>
      <x:c r="Q977" s="7">
        <x:f>IF(M977="","",M977+P977)</x:f>
      </x:c>
      <x:c r="R977" s="7">
        <x:f>IF(K977&lt;&gt;"Paid",0,IF(C977="Income",Q977,-Q977))</x:f>
      </x:c>
      <x:c r="S977" s="14">
        <x:f>IF(A977="","",DATE(YEAR(A977),MONTH(A977),1))</x:f>
      </x:c>
      <x:c r="T977" s="14">
        <x:f>IF(L977="","",DATE(YEAR(L977),MONTH(L977),1))</x:f>
      </x:c>
    </x:row>
    <x:row r="978">
      <x:c r="A978" s="11" t="n"/>
      <x:c r="B978" s="5" t="n"/>
      <x:c r="C978" s="12" t="n"/>
      <x:c r="D978" s="12" t="n"/>
      <x:c r="E978" s="12" t="n"/>
      <x:c r="F978" s="12" t="n"/>
      <x:c r="G978" s="13">
        <x:f>IF(F978="","",IFERROR(VLOOKUP(F978,Master_Data!$E$24:$G$33,2,FALSE),"9999"))</x:f>
      </x:c>
      <x:c r="H978" s="12" t="n"/>
      <x:c r="I978" s="12" t="n"/>
      <x:c r="J978" s="12" t="n"/>
      <x:c r="K978" s="12" t="n"/>
      <x:c r="L978" s="11" t="n"/>
      <x:c r="M978" s="9" t="n"/>
      <x:c r="N978" s="12" t="n"/>
      <x:c r="O978" s="6">
        <x:f>IF(N978="","",IFERROR(VLOOKUP(N978,Master_Data!$A$5:$C$8,3,FALSE),0))</x:f>
      </x:c>
      <x:c r="P978" s="7">
        <x:f>IF(M978="","",M978*O978)</x:f>
      </x:c>
      <x:c r="Q978" s="7">
        <x:f>IF(M978="","",M978+P978)</x:f>
      </x:c>
      <x:c r="R978" s="7">
        <x:f>IF(K978&lt;&gt;"Paid",0,IF(C978="Income",Q978,-Q978))</x:f>
      </x:c>
      <x:c r="S978" s="14">
        <x:f>IF(A978="","",DATE(YEAR(A978),MONTH(A978),1))</x:f>
      </x:c>
      <x:c r="T978" s="14">
        <x:f>IF(L978="","",DATE(YEAR(L978),MONTH(L978),1))</x:f>
      </x:c>
    </x:row>
    <x:row r="979">
      <x:c r="A979" s="11" t="n"/>
      <x:c r="B979" s="5" t="n"/>
      <x:c r="C979" s="12" t="n"/>
      <x:c r="D979" s="12" t="n"/>
      <x:c r="E979" s="12" t="n"/>
      <x:c r="F979" s="12" t="n"/>
      <x:c r="G979" s="13">
        <x:f>IF(F979="","",IFERROR(VLOOKUP(F979,Master_Data!$E$24:$G$33,2,FALSE),"9999"))</x:f>
      </x:c>
      <x:c r="H979" s="12" t="n"/>
      <x:c r="I979" s="12" t="n"/>
      <x:c r="J979" s="12" t="n"/>
      <x:c r="K979" s="12" t="n"/>
      <x:c r="L979" s="11" t="n"/>
      <x:c r="M979" s="9" t="n"/>
      <x:c r="N979" s="12" t="n"/>
      <x:c r="O979" s="6">
        <x:f>IF(N979="","",IFERROR(VLOOKUP(N979,Master_Data!$A$5:$C$8,3,FALSE),0))</x:f>
      </x:c>
      <x:c r="P979" s="7">
        <x:f>IF(M979="","",M979*O979)</x:f>
      </x:c>
      <x:c r="Q979" s="7">
        <x:f>IF(M979="","",M979+P979)</x:f>
      </x:c>
      <x:c r="R979" s="7">
        <x:f>IF(K979&lt;&gt;"Paid",0,IF(C979="Income",Q979,-Q979))</x:f>
      </x:c>
      <x:c r="S979" s="14">
        <x:f>IF(A979="","",DATE(YEAR(A979),MONTH(A979),1))</x:f>
      </x:c>
      <x:c r="T979" s="14">
        <x:f>IF(L979="","",DATE(YEAR(L979),MONTH(L979),1))</x:f>
      </x:c>
    </x:row>
    <x:row r="980">
      <x:c r="A980" s="11" t="n"/>
      <x:c r="B980" s="5" t="n"/>
      <x:c r="C980" s="12" t="n"/>
      <x:c r="D980" s="12" t="n"/>
      <x:c r="E980" s="12" t="n"/>
      <x:c r="F980" s="12" t="n"/>
      <x:c r="G980" s="13">
        <x:f>IF(F980="","",IFERROR(VLOOKUP(F980,Master_Data!$E$24:$G$33,2,FALSE),"9999"))</x:f>
      </x:c>
      <x:c r="H980" s="12" t="n"/>
      <x:c r="I980" s="12" t="n"/>
      <x:c r="J980" s="12" t="n"/>
      <x:c r="K980" s="12" t="n"/>
      <x:c r="L980" s="11" t="n"/>
      <x:c r="M980" s="9" t="n"/>
      <x:c r="N980" s="12" t="n"/>
      <x:c r="O980" s="6">
        <x:f>IF(N980="","",IFERROR(VLOOKUP(N980,Master_Data!$A$5:$C$8,3,FALSE),0))</x:f>
      </x:c>
      <x:c r="P980" s="7">
        <x:f>IF(M980="","",M980*O980)</x:f>
      </x:c>
      <x:c r="Q980" s="7">
        <x:f>IF(M980="","",M980+P980)</x:f>
      </x:c>
      <x:c r="R980" s="7">
        <x:f>IF(K980&lt;&gt;"Paid",0,IF(C980="Income",Q980,-Q980))</x:f>
      </x:c>
      <x:c r="S980" s="14">
        <x:f>IF(A980="","",DATE(YEAR(A980),MONTH(A980),1))</x:f>
      </x:c>
      <x:c r="T980" s="14">
        <x:f>IF(L980="","",DATE(YEAR(L980),MONTH(L980),1))</x:f>
      </x:c>
    </x:row>
    <x:row r="981">
      <x:c r="A981" s="11" t="n"/>
      <x:c r="B981" s="5" t="n"/>
      <x:c r="C981" s="12" t="n"/>
      <x:c r="D981" s="12" t="n"/>
      <x:c r="E981" s="12" t="n"/>
      <x:c r="F981" s="12" t="n"/>
      <x:c r="G981" s="13">
        <x:f>IF(F981="","",IFERROR(VLOOKUP(F981,Master_Data!$E$24:$G$33,2,FALSE),"9999"))</x:f>
      </x:c>
      <x:c r="H981" s="12" t="n"/>
      <x:c r="I981" s="12" t="n"/>
      <x:c r="J981" s="12" t="n"/>
      <x:c r="K981" s="12" t="n"/>
      <x:c r="L981" s="11" t="n"/>
      <x:c r="M981" s="9" t="n"/>
      <x:c r="N981" s="12" t="n"/>
      <x:c r="O981" s="6">
        <x:f>IF(N981="","",IFERROR(VLOOKUP(N981,Master_Data!$A$5:$C$8,3,FALSE),0))</x:f>
      </x:c>
      <x:c r="P981" s="7">
        <x:f>IF(M981="","",M981*O981)</x:f>
      </x:c>
      <x:c r="Q981" s="7">
        <x:f>IF(M981="","",M981+P981)</x:f>
      </x:c>
      <x:c r="R981" s="7">
        <x:f>IF(K981&lt;&gt;"Paid",0,IF(C981="Income",Q981,-Q981))</x:f>
      </x:c>
      <x:c r="S981" s="14">
        <x:f>IF(A981="","",DATE(YEAR(A981),MONTH(A981),1))</x:f>
      </x:c>
      <x:c r="T981" s="14">
        <x:f>IF(L981="","",DATE(YEAR(L981),MONTH(L981),1))</x:f>
      </x:c>
    </x:row>
    <x:row r="982">
      <x:c r="A982" s="11" t="n"/>
      <x:c r="B982" s="5" t="n"/>
      <x:c r="C982" s="12" t="n"/>
      <x:c r="D982" s="12" t="n"/>
      <x:c r="E982" s="12" t="n"/>
      <x:c r="F982" s="12" t="n"/>
      <x:c r="G982" s="13">
        <x:f>IF(F982="","",IFERROR(VLOOKUP(F982,Master_Data!$E$24:$G$33,2,FALSE),"9999"))</x:f>
      </x:c>
      <x:c r="H982" s="12" t="n"/>
      <x:c r="I982" s="12" t="n"/>
      <x:c r="J982" s="12" t="n"/>
      <x:c r="K982" s="12" t="n"/>
      <x:c r="L982" s="11" t="n"/>
      <x:c r="M982" s="9" t="n"/>
      <x:c r="N982" s="12" t="n"/>
      <x:c r="O982" s="6">
        <x:f>IF(N982="","",IFERROR(VLOOKUP(N982,Master_Data!$A$5:$C$8,3,FALSE),0))</x:f>
      </x:c>
      <x:c r="P982" s="7">
        <x:f>IF(M982="","",M982*O982)</x:f>
      </x:c>
      <x:c r="Q982" s="7">
        <x:f>IF(M982="","",M982+P982)</x:f>
      </x:c>
      <x:c r="R982" s="7">
        <x:f>IF(K982&lt;&gt;"Paid",0,IF(C982="Income",Q982,-Q982))</x:f>
      </x:c>
      <x:c r="S982" s="14">
        <x:f>IF(A982="","",DATE(YEAR(A982),MONTH(A982),1))</x:f>
      </x:c>
      <x:c r="T982" s="14">
        <x:f>IF(L982="","",DATE(YEAR(L982),MONTH(L982),1))</x:f>
      </x:c>
    </x:row>
    <x:row r="983">
      <x:c r="A983" s="11" t="n"/>
      <x:c r="B983" s="5" t="n"/>
      <x:c r="C983" s="12" t="n"/>
      <x:c r="D983" s="12" t="n"/>
      <x:c r="E983" s="12" t="n"/>
      <x:c r="F983" s="12" t="n"/>
      <x:c r="G983" s="13">
        <x:f>IF(F983="","",IFERROR(VLOOKUP(F983,Master_Data!$E$24:$G$33,2,FALSE),"9999"))</x:f>
      </x:c>
      <x:c r="H983" s="12" t="n"/>
      <x:c r="I983" s="12" t="n"/>
      <x:c r="J983" s="12" t="n"/>
      <x:c r="K983" s="12" t="n"/>
      <x:c r="L983" s="11" t="n"/>
      <x:c r="M983" s="9" t="n"/>
      <x:c r="N983" s="12" t="n"/>
      <x:c r="O983" s="6">
        <x:f>IF(N983="","",IFERROR(VLOOKUP(N983,Master_Data!$A$5:$C$8,3,FALSE),0))</x:f>
      </x:c>
      <x:c r="P983" s="7">
        <x:f>IF(M983="","",M983*O983)</x:f>
      </x:c>
      <x:c r="Q983" s="7">
        <x:f>IF(M983="","",M983+P983)</x:f>
      </x:c>
      <x:c r="R983" s="7">
        <x:f>IF(K983&lt;&gt;"Paid",0,IF(C983="Income",Q983,-Q983))</x:f>
      </x:c>
      <x:c r="S983" s="14">
        <x:f>IF(A983="","",DATE(YEAR(A983),MONTH(A983),1))</x:f>
      </x:c>
      <x:c r="T983" s="14">
        <x:f>IF(L983="","",DATE(YEAR(L983),MONTH(L983),1))</x:f>
      </x:c>
    </x:row>
    <x:row r="984">
      <x:c r="A984" s="11" t="n"/>
      <x:c r="B984" s="5" t="n"/>
      <x:c r="C984" s="12" t="n"/>
      <x:c r="D984" s="12" t="n"/>
      <x:c r="E984" s="12" t="n"/>
      <x:c r="F984" s="12" t="n"/>
      <x:c r="G984" s="13">
        <x:f>IF(F984="","",IFERROR(VLOOKUP(F984,Master_Data!$E$24:$G$33,2,FALSE),"9999"))</x:f>
      </x:c>
      <x:c r="H984" s="12" t="n"/>
      <x:c r="I984" s="12" t="n"/>
      <x:c r="J984" s="12" t="n"/>
      <x:c r="K984" s="12" t="n"/>
      <x:c r="L984" s="11" t="n"/>
      <x:c r="M984" s="9" t="n"/>
      <x:c r="N984" s="12" t="n"/>
      <x:c r="O984" s="6">
        <x:f>IF(N984="","",IFERROR(VLOOKUP(N984,Master_Data!$A$5:$C$8,3,FALSE),0))</x:f>
      </x:c>
      <x:c r="P984" s="7">
        <x:f>IF(M984="","",M984*O984)</x:f>
      </x:c>
      <x:c r="Q984" s="7">
        <x:f>IF(M984="","",M984+P984)</x:f>
      </x:c>
      <x:c r="R984" s="7">
        <x:f>IF(K984&lt;&gt;"Paid",0,IF(C984="Income",Q984,-Q984))</x:f>
      </x:c>
      <x:c r="S984" s="14">
        <x:f>IF(A984="","",DATE(YEAR(A984),MONTH(A984),1))</x:f>
      </x:c>
      <x:c r="T984" s="14">
        <x:f>IF(L984="","",DATE(YEAR(L984),MONTH(L984),1))</x:f>
      </x:c>
    </x:row>
    <x:row r="985">
      <x:c r="A985" s="11" t="n"/>
      <x:c r="B985" s="5" t="n"/>
      <x:c r="C985" s="12" t="n"/>
      <x:c r="D985" s="12" t="n"/>
      <x:c r="E985" s="12" t="n"/>
      <x:c r="F985" s="12" t="n"/>
      <x:c r="G985" s="13">
        <x:f>IF(F985="","",IFERROR(VLOOKUP(F985,Master_Data!$E$24:$G$33,2,FALSE),"9999"))</x:f>
      </x:c>
      <x:c r="H985" s="12" t="n"/>
      <x:c r="I985" s="12" t="n"/>
      <x:c r="J985" s="12" t="n"/>
      <x:c r="K985" s="12" t="n"/>
      <x:c r="L985" s="11" t="n"/>
      <x:c r="M985" s="9" t="n"/>
      <x:c r="N985" s="12" t="n"/>
      <x:c r="O985" s="6">
        <x:f>IF(N985="","",IFERROR(VLOOKUP(N985,Master_Data!$A$5:$C$8,3,FALSE),0))</x:f>
      </x:c>
      <x:c r="P985" s="7">
        <x:f>IF(M985="","",M985*O985)</x:f>
      </x:c>
      <x:c r="Q985" s="7">
        <x:f>IF(M985="","",M985+P985)</x:f>
      </x:c>
      <x:c r="R985" s="7">
        <x:f>IF(K985&lt;&gt;"Paid",0,IF(C985="Income",Q985,-Q985))</x:f>
      </x:c>
      <x:c r="S985" s="14">
        <x:f>IF(A985="","",DATE(YEAR(A985),MONTH(A985),1))</x:f>
      </x:c>
      <x:c r="T985" s="14">
        <x:f>IF(L985="","",DATE(YEAR(L985),MONTH(L985),1))</x:f>
      </x:c>
    </x:row>
    <x:row r="986">
      <x:c r="A986" s="11" t="n"/>
      <x:c r="B986" s="5" t="n"/>
      <x:c r="C986" s="12" t="n"/>
      <x:c r="D986" s="12" t="n"/>
      <x:c r="E986" s="12" t="n"/>
      <x:c r="F986" s="12" t="n"/>
      <x:c r="G986" s="13">
        <x:f>IF(F986="","",IFERROR(VLOOKUP(F986,Master_Data!$E$24:$G$33,2,FALSE),"9999"))</x:f>
      </x:c>
      <x:c r="H986" s="12" t="n"/>
      <x:c r="I986" s="12" t="n"/>
      <x:c r="J986" s="12" t="n"/>
      <x:c r="K986" s="12" t="n"/>
      <x:c r="L986" s="11" t="n"/>
      <x:c r="M986" s="9" t="n"/>
      <x:c r="N986" s="12" t="n"/>
      <x:c r="O986" s="6">
        <x:f>IF(N986="","",IFERROR(VLOOKUP(N986,Master_Data!$A$5:$C$8,3,FALSE),0))</x:f>
      </x:c>
      <x:c r="P986" s="7">
        <x:f>IF(M986="","",M986*O986)</x:f>
      </x:c>
      <x:c r="Q986" s="7">
        <x:f>IF(M986="","",M986+P986)</x:f>
      </x:c>
      <x:c r="R986" s="7">
        <x:f>IF(K986&lt;&gt;"Paid",0,IF(C986="Income",Q986,-Q986))</x:f>
      </x:c>
      <x:c r="S986" s="14">
        <x:f>IF(A986="","",DATE(YEAR(A986),MONTH(A986),1))</x:f>
      </x:c>
      <x:c r="T986" s="14">
        <x:f>IF(L986="","",DATE(YEAR(L986),MONTH(L986),1))</x:f>
      </x:c>
    </x:row>
    <x:row r="987">
      <x:c r="A987" s="11" t="n"/>
      <x:c r="B987" s="5" t="n"/>
      <x:c r="C987" s="12" t="n"/>
      <x:c r="D987" s="12" t="n"/>
      <x:c r="E987" s="12" t="n"/>
      <x:c r="F987" s="12" t="n"/>
      <x:c r="G987" s="13">
        <x:f>IF(F987="","",IFERROR(VLOOKUP(F987,Master_Data!$E$24:$G$33,2,FALSE),"9999"))</x:f>
      </x:c>
      <x:c r="H987" s="12" t="n"/>
      <x:c r="I987" s="12" t="n"/>
      <x:c r="J987" s="12" t="n"/>
      <x:c r="K987" s="12" t="n"/>
      <x:c r="L987" s="11" t="n"/>
      <x:c r="M987" s="9" t="n"/>
      <x:c r="N987" s="12" t="n"/>
      <x:c r="O987" s="6">
        <x:f>IF(N987="","",IFERROR(VLOOKUP(N987,Master_Data!$A$5:$C$8,3,FALSE),0))</x:f>
      </x:c>
      <x:c r="P987" s="7">
        <x:f>IF(M987="","",M987*O987)</x:f>
      </x:c>
      <x:c r="Q987" s="7">
        <x:f>IF(M987="","",M987+P987)</x:f>
      </x:c>
      <x:c r="R987" s="7">
        <x:f>IF(K987&lt;&gt;"Paid",0,IF(C987="Income",Q987,-Q987))</x:f>
      </x:c>
      <x:c r="S987" s="14">
        <x:f>IF(A987="","",DATE(YEAR(A987),MONTH(A987),1))</x:f>
      </x:c>
      <x:c r="T987" s="14">
        <x:f>IF(L987="","",DATE(YEAR(L987),MONTH(L987),1))</x:f>
      </x:c>
    </x:row>
    <x:row r="988">
      <x:c r="A988" s="11" t="n"/>
      <x:c r="B988" s="5" t="n"/>
      <x:c r="C988" s="12" t="n"/>
      <x:c r="D988" s="12" t="n"/>
      <x:c r="E988" s="12" t="n"/>
      <x:c r="F988" s="12" t="n"/>
      <x:c r="G988" s="13">
        <x:f>IF(F988="","",IFERROR(VLOOKUP(F988,Master_Data!$E$24:$G$33,2,FALSE),"9999"))</x:f>
      </x:c>
      <x:c r="H988" s="12" t="n"/>
      <x:c r="I988" s="12" t="n"/>
      <x:c r="J988" s="12" t="n"/>
      <x:c r="K988" s="12" t="n"/>
      <x:c r="L988" s="11" t="n"/>
      <x:c r="M988" s="9" t="n"/>
      <x:c r="N988" s="12" t="n"/>
      <x:c r="O988" s="6">
        <x:f>IF(N988="","",IFERROR(VLOOKUP(N988,Master_Data!$A$5:$C$8,3,FALSE),0))</x:f>
      </x:c>
      <x:c r="P988" s="7">
        <x:f>IF(M988="","",M988*O988)</x:f>
      </x:c>
      <x:c r="Q988" s="7">
        <x:f>IF(M988="","",M988+P988)</x:f>
      </x:c>
      <x:c r="R988" s="7">
        <x:f>IF(K988&lt;&gt;"Paid",0,IF(C988="Income",Q988,-Q988))</x:f>
      </x:c>
      <x:c r="S988" s="14">
        <x:f>IF(A988="","",DATE(YEAR(A988),MONTH(A988),1))</x:f>
      </x:c>
      <x:c r="T988" s="14">
        <x:f>IF(L988="","",DATE(YEAR(L988),MONTH(L988),1))</x:f>
      </x:c>
    </x:row>
    <x:row r="989">
      <x:c r="A989" s="11" t="n"/>
      <x:c r="B989" s="5" t="n"/>
      <x:c r="C989" s="12" t="n"/>
      <x:c r="D989" s="12" t="n"/>
      <x:c r="E989" s="12" t="n"/>
      <x:c r="F989" s="12" t="n"/>
      <x:c r="G989" s="13">
        <x:f>IF(F989="","",IFERROR(VLOOKUP(F989,Master_Data!$E$24:$G$33,2,FALSE),"9999"))</x:f>
      </x:c>
      <x:c r="H989" s="12" t="n"/>
      <x:c r="I989" s="12" t="n"/>
      <x:c r="J989" s="12" t="n"/>
      <x:c r="K989" s="12" t="n"/>
      <x:c r="L989" s="11" t="n"/>
      <x:c r="M989" s="9" t="n"/>
      <x:c r="N989" s="12" t="n"/>
      <x:c r="O989" s="6">
        <x:f>IF(N989="","",IFERROR(VLOOKUP(N989,Master_Data!$A$5:$C$8,3,FALSE),0))</x:f>
      </x:c>
      <x:c r="P989" s="7">
        <x:f>IF(M989="","",M989*O989)</x:f>
      </x:c>
      <x:c r="Q989" s="7">
        <x:f>IF(M989="","",M989+P989)</x:f>
      </x:c>
      <x:c r="R989" s="7">
        <x:f>IF(K989&lt;&gt;"Paid",0,IF(C989="Income",Q989,-Q989))</x:f>
      </x:c>
      <x:c r="S989" s="14">
        <x:f>IF(A989="","",DATE(YEAR(A989),MONTH(A989),1))</x:f>
      </x:c>
      <x:c r="T989" s="14">
        <x:f>IF(L989="","",DATE(YEAR(L989),MONTH(L989),1))</x:f>
      </x:c>
    </x:row>
    <x:row r="990">
      <x:c r="A990" s="11" t="n"/>
      <x:c r="B990" s="5" t="n"/>
      <x:c r="C990" s="12" t="n"/>
      <x:c r="D990" s="12" t="n"/>
      <x:c r="E990" s="12" t="n"/>
      <x:c r="F990" s="12" t="n"/>
      <x:c r="G990" s="13">
        <x:f>IF(F990="","",IFERROR(VLOOKUP(F990,Master_Data!$E$24:$G$33,2,FALSE),"9999"))</x:f>
      </x:c>
      <x:c r="H990" s="12" t="n"/>
      <x:c r="I990" s="12" t="n"/>
      <x:c r="J990" s="12" t="n"/>
      <x:c r="K990" s="12" t="n"/>
      <x:c r="L990" s="11" t="n"/>
      <x:c r="M990" s="9" t="n"/>
      <x:c r="N990" s="12" t="n"/>
      <x:c r="O990" s="6">
        <x:f>IF(N990="","",IFERROR(VLOOKUP(N990,Master_Data!$A$5:$C$8,3,FALSE),0))</x:f>
      </x:c>
      <x:c r="P990" s="7">
        <x:f>IF(M990="","",M990*O990)</x:f>
      </x:c>
      <x:c r="Q990" s="7">
        <x:f>IF(M990="","",M990+P990)</x:f>
      </x:c>
      <x:c r="R990" s="7">
        <x:f>IF(K990&lt;&gt;"Paid",0,IF(C990="Income",Q990,-Q990))</x:f>
      </x:c>
      <x:c r="S990" s="14">
        <x:f>IF(A990="","",DATE(YEAR(A990),MONTH(A990),1))</x:f>
      </x:c>
      <x:c r="T990" s="14">
        <x:f>IF(L990="","",DATE(YEAR(L990),MONTH(L990),1))</x:f>
      </x:c>
    </x:row>
    <x:row r="991">
      <x:c r="A991" s="11" t="n"/>
      <x:c r="B991" s="5" t="n"/>
      <x:c r="C991" s="12" t="n"/>
      <x:c r="D991" s="12" t="n"/>
      <x:c r="E991" s="12" t="n"/>
      <x:c r="F991" s="12" t="n"/>
      <x:c r="G991" s="13">
        <x:f>IF(F991="","",IFERROR(VLOOKUP(F991,Master_Data!$E$24:$G$33,2,FALSE),"9999"))</x:f>
      </x:c>
      <x:c r="H991" s="12" t="n"/>
      <x:c r="I991" s="12" t="n"/>
      <x:c r="J991" s="12" t="n"/>
      <x:c r="K991" s="12" t="n"/>
      <x:c r="L991" s="11" t="n"/>
      <x:c r="M991" s="9" t="n"/>
      <x:c r="N991" s="12" t="n"/>
      <x:c r="O991" s="6">
        <x:f>IF(N991="","",IFERROR(VLOOKUP(N991,Master_Data!$A$5:$C$8,3,FALSE),0))</x:f>
      </x:c>
      <x:c r="P991" s="7">
        <x:f>IF(M991="","",M991*O991)</x:f>
      </x:c>
      <x:c r="Q991" s="7">
        <x:f>IF(M991="","",M991+P991)</x:f>
      </x:c>
      <x:c r="R991" s="7">
        <x:f>IF(K991&lt;&gt;"Paid",0,IF(C991="Income",Q991,-Q991))</x:f>
      </x:c>
      <x:c r="S991" s="14">
        <x:f>IF(A991="","",DATE(YEAR(A991),MONTH(A991),1))</x:f>
      </x:c>
      <x:c r="T991" s="14">
        <x:f>IF(L991="","",DATE(YEAR(L991),MONTH(L991),1))</x:f>
      </x:c>
    </x:row>
    <x:row r="992">
      <x:c r="A992" s="11" t="n"/>
      <x:c r="B992" s="5" t="n"/>
      <x:c r="C992" s="12" t="n"/>
      <x:c r="D992" s="12" t="n"/>
      <x:c r="E992" s="12" t="n"/>
      <x:c r="F992" s="12" t="n"/>
      <x:c r="G992" s="13">
        <x:f>IF(F992="","",IFERROR(VLOOKUP(F992,Master_Data!$E$24:$G$33,2,FALSE),"9999"))</x:f>
      </x:c>
      <x:c r="H992" s="12" t="n"/>
      <x:c r="I992" s="12" t="n"/>
      <x:c r="J992" s="12" t="n"/>
      <x:c r="K992" s="12" t="n"/>
      <x:c r="L992" s="11" t="n"/>
      <x:c r="M992" s="9" t="n"/>
      <x:c r="N992" s="12" t="n"/>
      <x:c r="O992" s="6">
        <x:f>IF(N992="","",IFERROR(VLOOKUP(N992,Master_Data!$A$5:$C$8,3,FALSE),0))</x:f>
      </x:c>
      <x:c r="P992" s="7">
        <x:f>IF(M992="","",M992*O992)</x:f>
      </x:c>
      <x:c r="Q992" s="7">
        <x:f>IF(M992="","",M992+P992)</x:f>
      </x:c>
      <x:c r="R992" s="7">
        <x:f>IF(K992&lt;&gt;"Paid",0,IF(C992="Income",Q992,-Q992))</x:f>
      </x:c>
      <x:c r="S992" s="14">
        <x:f>IF(A992="","",DATE(YEAR(A992),MONTH(A992),1))</x:f>
      </x:c>
      <x:c r="T992" s="14">
        <x:f>IF(L992="","",DATE(YEAR(L992),MONTH(L992),1))</x:f>
      </x:c>
    </x:row>
    <x:row r="993">
      <x:c r="A993" s="11" t="n"/>
      <x:c r="B993" s="5" t="n"/>
      <x:c r="C993" s="12" t="n"/>
      <x:c r="D993" s="12" t="n"/>
      <x:c r="E993" s="12" t="n"/>
      <x:c r="F993" s="12" t="n"/>
      <x:c r="G993" s="13">
        <x:f>IF(F993="","",IFERROR(VLOOKUP(F993,Master_Data!$E$24:$G$33,2,FALSE),"9999"))</x:f>
      </x:c>
      <x:c r="H993" s="12" t="n"/>
      <x:c r="I993" s="12" t="n"/>
      <x:c r="J993" s="12" t="n"/>
      <x:c r="K993" s="12" t="n"/>
      <x:c r="L993" s="11" t="n"/>
      <x:c r="M993" s="9" t="n"/>
      <x:c r="N993" s="12" t="n"/>
      <x:c r="O993" s="6">
        <x:f>IF(N993="","",IFERROR(VLOOKUP(N993,Master_Data!$A$5:$C$8,3,FALSE),0))</x:f>
      </x:c>
      <x:c r="P993" s="7">
        <x:f>IF(M993="","",M993*O993)</x:f>
      </x:c>
      <x:c r="Q993" s="7">
        <x:f>IF(M993="","",M993+P993)</x:f>
      </x:c>
      <x:c r="R993" s="7">
        <x:f>IF(K993&lt;&gt;"Paid",0,IF(C993="Income",Q993,-Q993))</x:f>
      </x:c>
      <x:c r="S993" s="14">
        <x:f>IF(A993="","",DATE(YEAR(A993),MONTH(A993),1))</x:f>
      </x:c>
      <x:c r="T993" s="14">
        <x:f>IF(L993="","",DATE(YEAR(L993),MONTH(L993),1))</x:f>
      </x:c>
    </x:row>
    <x:row r="994">
      <x:c r="A994" s="11" t="n"/>
      <x:c r="B994" s="5" t="n"/>
      <x:c r="C994" s="12" t="n"/>
      <x:c r="D994" s="12" t="n"/>
      <x:c r="E994" s="12" t="n"/>
      <x:c r="F994" s="12" t="n"/>
      <x:c r="G994" s="13">
        <x:f>IF(F994="","",IFERROR(VLOOKUP(F994,Master_Data!$E$24:$G$33,2,FALSE),"9999"))</x:f>
      </x:c>
      <x:c r="H994" s="12" t="n"/>
      <x:c r="I994" s="12" t="n"/>
      <x:c r="J994" s="12" t="n"/>
      <x:c r="K994" s="12" t="n"/>
      <x:c r="L994" s="11" t="n"/>
      <x:c r="M994" s="9" t="n"/>
      <x:c r="N994" s="12" t="n"/>
      <x:c r="O994" s="6">
        <x:f>IF(N994="","",IFERROR(VLOOKUP(N994,Master_Data!$A$5:$C$8,3,FALSE),0))</x:f>
      </x:c>
      <x:c r="P994" s="7">
        <x:f>IF(M994="","",M994*O994)</x:f>
      </x:c>
      <x:c r="Q994" s="7">
        <x:f>IF(M994="","",M994+P994)</x:f>
      </x:c>
      <x:c r="R994" s="7">
        <x:f>IF(K994&lt;&gt;"Paid",0,IF(C994="Income",Q994,-Q994))</x:f>
      </x:c>
      <x:c r="S994" s="14">
        <x:f>IF(A994="","",DATE(YEAR(A994),MONTH(A994),1))</x:f>
      </x:c>
      <x:c r="T994" s="14">
        <x:f>IF(L994="","",DATE(YEAR(L994),MONTH(L994),1))</x:f>
      </x:c>
    </x:row>
    <x:row r="995">
      <x:c r="A995" s="11" t="n"/>
      <x:c r="B995" s="5" t="n"/>
      <x:c r="C995" s="12" t="n"/>
      <x:c r="D995" s="12" t="n"/>
      <x:c r="E995" s="12" t="n"/>
      <x:c r="F995" s="12" t="n"/>
      <x:c r="G995" s="13">
        <x:f>IF(F995="","",IFERROR(VLOOKUP(F995,Master_Data!$E$24:$G$33,2,FALSE),"9999"))</x:f>
      </x:c>
      <x:c r="H995" s="12" t="n"/>
      <x:c r="I995" s="12" t="n"/>
      <x:c r="J995" s="12" t="n"/>
      <x:c r="K995" s="12" t="n"/>
      <x:c r="L995" s="11" t="n"/>
      <x:c r="M995" s="9" t="n"/>
      <x:c r="N995" s="12" t="n"/>
      <x:c r="O995" s="6">
        <x:f>IF(N995="","",IFERROR(VLOOKUP(N995,Master_Data!$A$5:$C$8,3,FALSE),0))</x:f>
      </x:c>
      <x:c r="P995" s="7">
        <x:f>IF(M995="","",M995*O995)</x:f>
      </x:c>
      <x:c r="Q995" s="7">
        <x:f>IF(M995="","",M995+P995)</x:f>
      </x:c>
      <x:c r="R995" s="7">
        <x:f>IF(K995&lt;&gt;"Paid",0,IF(C995="Income",Q995,-Q995))</x:f>
      </x:c>
      <x:c r="S995" s="14">
        <x:f>IF(A995="","",DATE(YEAR(A995),MONTH(A995),1))</x:f>
      </x:c>
      <x:c r="T995" s="14">
        <x:f>IF(L995="","",DATE(YEAR(L995),MONTH(L995),1))</x:f>
      </x:c>
    </x:row>
    <x:row r="996">
      <x:c r="A996" s="11" t="n"/>
      <x:c r="B996" s="5" t="n"/>
      <x:c r="C996" s="12" t="n"/>
      <x:c r="D996" s="12" t="n"/>
      <x:c r="E996" s="12" t="n"/>
      <x:c r="F996" s="12" t="n"/>
      <x:c r="G996" s="13">
        <x:f>IF(F996="","",IFERROR(VLOOKUP(F996,Master_Data!$E$24:$G$33,2,FALSE),"9999"))</x:f>
      </x:c>
      <x:c r="H996" s="12" t="n"/>
      <x:c r="I996" s="12" t="n"/>
      <x:c r="J996" s="12" t="n"/>
      <x:c r="K996" s="12" t="n"/>
      <x:c r="L996" s="11" t="n"/>
      <x:c r="M996" s="9" t="n"/>
      <x:c r="N996" s="12" t="n"/>
      <x:c r="O996" s="6">
        <x:f>IF(N996="","",IFERROR(VLOOKUP(N996,Master_Data!$A$5:$C$8,3,FALSE),0))</x:f>
      </x:c>
      <x:c r="P996" s="7">
        <x:f>IF(M996="","",M996*O996)</x:f>
      </x:c>
      <x:c r="Q996" s="7">
        <x:f>IF(M996="","",M996+P996)</x:f>
      </x:c>
      <x:c r="R996" s="7">
        <x:f>IF(K996&lt;&gt;"Paid",0,IF(C996="Income",Q996,-Q996))</x:f>
      </x:c>
      <x:c r="S996" s="14">
        <x:f>IF(A996="","",DATE(YEAR(A996),MONTH(A996),1))</x:f>
      </x:c>
      <x:c r="T996" s="14">
        <x:f>IF(L996="","",DATE(YEAR(L996),MONTH(L996),1))</x:f>
      </x:c>
    </x:row>
    <x:row r="997">
      <x:c r="A997" s="11" t="n"/>
      <x:c r="B997" s="5" t="n"/>
      <x:c r="C997" s="12" t="n"/>
      <x:c r="D997" s="12" t="n"/>
      <x:c r="E997" s="12" t="n"/>
      <x:c r="F997" s="12" t="n"/>
      <x:c r="G997" s="13">
        <x:f>IF(F997="","",IFERROR(VLOOKUP(F997,Master_Data!$E$24:$G$33,2,FALSE),"9999"))</x:f>
      </x:c>
      <x:c r="H997" s="12" t="n"/>
      <x:c r="I997" s="12" t="n"/>
      <x:c r="J997" s="12" t="n"/>
      <x:c r="K997" s="12" t="n"/>
      <x:c r="L997" s="11" t="n"/>
      <x:c r="M997" s="9" t="n"/>
      <x:c r="N997" s="12" t="n"/>
      <x:c r="O997" s="6">
        <x:f>IF(N997="","",IFERROR(VLOOKUP(N997,Master_Data!$A$5:$C$8,3,FALSE),0))</x:f>
      </x:c>
      <x:c r="P997" s="7">
        <x:f>IF(M997="","",M997*O997)</x:f>
      </x:c>
      <x:c r="Q997" s="7">
        <x:f>IF(M997="","",M997+P997)</x:f>
      </x:c>
      <x:c r="R997" s="7">
        <x:f>IF(K997&lt;&gt;"Paid",0,IF(C997="Income",Q997,-Q997))</x:f>
      </x:c>
      <x:c r="S997" s="14">
        <x:f>IF(A997="","",DATE(YEAR(A997),MONTH(A997),1))</x:f>
      </x:c>
      <x:c r="T997" s="14">
        <x:f>IF(L997="","",DATE(YEAR(L997),MONTH(L997),1))</x:f>
      </x:c>
    </x:row>
    <x:row r="998">
      <x:c r="A998" s="11" t="n"/>
      <x:c r="B998" s="5" t="n"/>
      <x:c r="C998" s="12" t="n"/>
      <x:c r="D998" s="12" t="n"/>
      <x:c r="E998" s="12" t="n"/>
      <x:c r="F998" s="12" t="n"/>
      <x:c r="G998" s="13">
        <x:f>IF(F998="","",IFERROR(VLOOKUP(F998,Master_Data!$E$24:$G$33,2,FALSE),"9999"))</x:f>
      </x:c>
      <x:c r="H998" s="12" t="n"/>
      <x:c r="I998" s="12" t="n"/>
      <x:c r="J998" s="12" t="n"/>
      <x:c r="K998" s="12" t="n"/>
      <x:c r="L998" s="11" t="n"/>
      <x:c r="M998" s="9" t="n"/>
      <x:c r="N998" s="12" t="n"/>
      <x:c r="O998" s="6">
        <x:f>IF(N998="","",IFERROR(VLOOKUP(N998,Master_Data!$A$5:$C$8,3,FALSE),0))</x:f>
      </x:c>
      <x:c r="P998" s="7">
        <x:f>IF(M998="","",M998*O998)</x:f>
      </x:c>
      <x:c r="Q998" s="7">
        <x:f>IF(M998="","",M998+P998)</x:f>
      </x:c>
      <x:c r="R998" s="7">
        <x:f>IF(K998&lt;&gt;"Paid",0,IF(C998="Income",Q998,-Q998))</x:f>
      </x:c>
      <x:c r="S998" s="14">
        <x:f>IF(A998="","",DATE(YEAR(A998),MONTH(A998),1))</x:f>
      </x:c>
      <x:c r="T998" s="14">
        <x:f>IF(L998="","",DATE(YEAR(L998),MONTH(L998),1))</x:f>
      </x:c>
    </x:row>
    <x:row r="999">
      <x:c r="A999" s="11" t="n"/>
      <x:c r="B999" s="5" t="n"/>
      <x:c r="C999" s="12" t="n"/>
      <x:c r="D999" s="12" t="n"/>
      <x:c r="E999" s="12" t="n"/>
      <x:c r="F999" s="12" t="n"/>
      <x:c r="G999" s="13">
        <x:f>IF(F999="","",IFERROR(VLOOKUP(F999,Master_Data!$E$24:$G$33,2,FALSE),"9999"))</x:f>
      </x:c>
      <x:c r="H999" s="12" t="n"/>
      <x:c r="I999" s="12" t="n"/>
      <x:c r="J999" s="12" t="n"/>
      <x:c r="K999" s="12" t="n"/>
      <x:c r="L999" s="11" t="n"/>
      <x:c r="M999" s="9" t="n"/>
      <x:c r="N999" s="12" t="n"/>
      <x:c r="O999" s="6">
        <x:f>IF(N999="","",IFERROR(VLOOKUP(N999,Master_Data!$A$5:$C$8,3,FALSE),0))</x:f>
      </x:c>
      <x:c r="P999" s="7">
        <x:f>IF(M999="","",M999*O999)</x:f>
      </x:c>
      <x:c r="Q999" s="7">
        <x:f>IF(M999="","",M999+P999)</x:f>
      </x:c>
      <x:c r="R999" s="7">
        <x:f>IF(K999&lt;&gt;"Paid",0,IF(C999="Income",Q999,-Q999))</x:f>
      </x:c>
      <x:c r="S999" s="14">
        <x:f>IF(A999="","",DATE(YEAR(A999),MONTH(A999),1))</x:f>
      </x:c>
      <x:c r="T999" s="14">
        <x:f>IF(L999="","",DATE(YEAR(L999),MONTH(L999),1))</x:f>
      </x:c>
    </x:row>
    <x:row r="1000">
      <x:c r="A1000" s="11" t="n"/>
      <x:c r="B1000" s="5" t="n"/>
      <x:c r="C1000" s="12" t="n"/>
      <x:c r="D1000" s="12" t="n"/>
      <x:c r="E1000" s="12" t="n"/>
      <x:c r="F1000" s="12" t="n"/>
      <x:c r="G1000" s="13">
        <x:f>IF(F1000="","",IFERROR(VLOOKUP(F1000,Master_Data!$E$24:$G$33,2,FALSE),"9999"))</x:f>
      </x:c>
      <x:c r="H1000" s="12" t="n"/>
      <x:c r="I1000" s="12" t="n"/>
      <x:c r="J1000" s="12" t="n"/>
      <x:c r="K1000" s="12" t="n"/>
      <x:c r="L1000" s="11" t="n"/>
      <x:c r="M1000" s="9" t="n"/>
      <x:c r="N1000" s="12" t="n"/>
      <x:c r="O1000" s="6">
        <x:f>IF(N1000="","",IFERROR(VLOOKUP(N1000,Master_Data!$A$5:$C$8,3,FALSE),0))</x:f>
      </x:c>
      <x:c r="P1000" s="7">
        <x:f>IF(M1000="","",M1000*O1000)</x:f>
      </x:c>
      <x:c r="Q1000" s="7">
        <x:f>IF(M1000="","",M1000+P1000)</x:f>
      </x:c>
      <x:c r="R1000" s="7">
        <x:f>IF(K1000&lt;&gt;"Paid",0,IF(C1000="Income",Q1000,-Q1000))</x:f>
      </x:c>
      <x:c r="S1000" s="14">
        <x:f>IF(A1000="","",DATE(YEAR(A1000),MONTH(A1000),1))</x:f>
      </x:c>
      <x:c r="T1000" s="14">
        <x:f>IF(L1000="","",DATE(YEAR(L1000),MONTH(L1000),1))</x:f>
      </x:c>
    </x:row>
    <x:row r="1001">
      <x:c r="A1001" s="11" t="n"/>
      <x:c r="B1001" s="5" t="n"/>
      <x:c r="C1001" s="12" t="n"/>
      <x:c r="D1001" s="12" t="n"/>
      <x:c r="E1001" s="12" t="n"/>
      <x:c r="F1001" s="12" t="n"/>
      <x:c r="G1001" s="13">
        <x:f>IF(F1001="","",IFERROR(VLOOKUP(F1001,Master_Data!$E$24:$G$33,2,FALSE),"9999"))</x:f>
      </x:c>
      <x:c r="H1001" s="12" t="n"/>
      <x:c r="I1001" s="12" t="n"/>
      <x:c r="J1001" s="12" t="n"/>
      <x:c r="K1001" s="12" t="n"/>
      <x:c r="L1001" s="11" t="n"/>
      <x:c r="M1001" s="9" t="n"/>
      <x:c r="N1001" s="12" t="n"/>
      <x:c r="O1001" s="6">
        <x:f>IF(N1001="","",IFERROR(VLOOKUP(N1001,Master_Data!$A$5:$C$8,3,FALSE),0))</x:f>
      </x:c>
      <x:c r="P1001" s="7">
        <x:f>IF(M1001="","",M1001*O1001)</x:f>
      </x:c>
      <x:c r="Q1001" s="7">
        <x:f>IF(M1001="","",M1001+P1001)</x:f>
      </x:c>
      <x:c r="R1001" s="7">
        <x:f>IF(K1001&lt;&gt;"Paid",0,IF(C1001="Income",Q1001,-Q1001))</x:f>
      </x:c>
      <x:c r="S1001" s="14">
        <x:f>IF(A1001="","",DATE(YEAR(A1001),MONTH(A1001),1))</x:f>
      </x:c>
      <x:c r="T1001" s="14">
        <x:f>IF(L1001="","",DATE(YEAR(L1001),MONTH(L1001),1))</x:f>
      </x:c>
    </x:row>
    <x:row r="1002">
      <x:c r="A1002" s="11" t="n"/>
      <x:c r="B1002" s="5" t="n"/>
      <x:c r="C1002" s="12" t="n"/>
      <x:c r="D1002" s="12" t="n"/>
      <x:c r="E1002" s="12" t="n"/>
      <x:c r="F1002" s="12" t="n"/>
      <x:c r="G1002" s="13">
        <x:f>IF(F1002="","",IFERROR(VLOOKUP(F1002,Master_Data!$E$24:$G$33,2,FALSE),"9999"))</x:f>
      </x:c>
      <x:c r="H1002" s="12" t="n"/>
      <x:c r="I1002" s="12" t="n"/>
      <x:c r="J1002" s="12" t="n"/>
      <x:c r="K1002" s="12" t="n"/>
      <x:c r="L1002" s="11" t="n"/>
      <x:c r="M1002" s="9" t="n"/>
      <x:c r="N1002" s="12" t="n"/>
      <x:c r="O1002" s="6">
        <x:f>IF(N1002="","",IFERROR(VLOOKUP(N1002,Master_Data!$A$5:$C$8,3,FALSE),0))</x:f>
      </x:c>
      <x:c r="P1002" s="7">
        <x:f>IF(M1002="","",M1002*O1002)</x:f>
      </x:c>
      <x:c r="Q1002" s="7">
        <x:f>IF(M1002="","",M1002+P1002)</x:f>
      </x:c>
      <x:c r="R1002" s="7">
        <x:f>IF(K1002&lt;&gt;"Paid",0,IF(C1002="Income",Q1002,-Q1002))</x:f>
      </x:c>
      <x:c r="S1002" s="14">
        <x:f>IF(A1002="","",DATE(YEAR(A1002),MONTH(A1002),1))</x:f>
      </x:c>
      <x:c r="T1002" s="14">
        <x:f>IF(L1002="","",DATE(YEAR(L1002),MONTH(L1002),1))</x:f>
      </x:c>
    </x:row>
    <x:row r="1003">
      <x:c r="A1003" s="11" t="n"/>
      <x:c r="B1003" s="5" t="n"/>
      <x:c r="C1003" s="12" t="n"/>
      <x:c r="D1003" s="12" t="n"/>
      <x:c r="E1003" s="12" t="n"/>
      <x:c r="F1003" s="12" t="n"/>
      <x:c r="G1003" s="13">
        <x:f>IF(F1003="","",IFERROR(VLOOKUP(F1003,Master_Data!$E$24:$G$33,2,FALSE),"9999"))</x:f>
      </x:c>
      <x:c r="H1003" s="12" t="n"/>
      <x:c r="I1003" s="12" t="n"/>
      <x:c r="J1003" s="12" t="n"/>
      <x:c r="K1003" s="12" t="n"/>
      <x:c r="L1003" s="11" t="n"/>
      <x:c r="M1003" s="9" t="n"/>
      <x:c r="N1003" s="12" t="n"/>
      <x:c r="O1003" s="6">
        <x:f>IF(N1003="","",IFERROR(VLOOKUP(N1003,Master_Data!$A$5:$C$8,3,FALSE),0))</x:f>
      </x:c>
      <x:c r="P1003" s="7">
        <x:f>IF(M1003="","",M1003*O1003)</x:f>
      </x:c>
      <x:c r="Q1003" s="7">
        <x:f>IF(M1003="","",M1003+P1003)</x:f>
      </x:c>
      <x:c r="R1003" s="7">
        <x:f>IF(K1003&lt;&gt;"Paid",0,IF(C1003="Income",Q1003,-Q1003))</x:f>
      </x:c>
      <x:c r="S1003" s="14">
        <x:f>IF(A1003="","",DATE(YEAR(A1003),MONTH(A1003),1))</x:f>
      </x:c>
      <x:c r="T1003" s="14">
        <x:f>IF(L1003="","",DATE(YEAR(L1003),MONTH(L1003),1))</x:f>
      </x:c>
    </x:row>
    <x:row r="1004">
      <x:c r="A1004" s="11" t="n"/>
      <x:c r="B1004" s="5" t="n"/>
      <x:c r="C1004" s="12" t="n"/>
      <x:c r="D1004" s="12" t="n"/>
      <x:c r="E1004" s="12" t="n"/>
      <x:c r="F1004" s="12" t="n"/>
      <x:c r="G1004" s="13">
        <x:f>IF(F1004="","",IFERROR(VLOOKUP(F1004,Master_Data!$E$24:$G$33,2,FALSE),"9999"))</x:f>
      </x:c>
      <x:c r="H1004" s="12" t="n"/>
      <x:c r="I1004" s="12" t="n"/>
      <x:c r="J1004" s="12" t="n"/>
      <x:c r="K1004" s="12" t="n"/>
      <x:c r="L1004" s="11" t="n"/>
      <x:c r="M1004" s="9" t="n"/>
      <x:c r="N1004" s="12" t="n"/>
      <x:c r="O1004" s="6">
        <x:f>IF(N1004="","",IFERROR(VLOOKUP(N1004,Master_Data!$A$5:$C$8,3,FALSE),0))</x:f>
      </x:c>
      <x:c r="P1004" s="7">
        <x:f>IF(M1004="","",M1004*O1004)</x:f>
      </x:c>
      <x:c r="Q1004" s="7">
        <x:f>IF(M1004="","",M1004+P1004)</x:f>
      </x:c>
      <x:c r="R1004" s="7">
        <x:f>IF(K1004&lt;&gt;"Paid",0,IF(C1004="Income",Q1004,-Q1004))</x:f>
      </x:c>
      <x:c r="S1004" s="14">
        <x:f>IF(A1004="","",DATE(YEAR(A1004),MONTH(A1004),1))</x:f>
      </x:c>
      <x:c r="T1004" s="14">
        <x:f>IF(L1004="","",DATE(YEAR(L1004),MONTH(L1004),1))</x:f>
      </x:c>
    </x:row>
    <x:row r="1005">
      <x:c r="A1005" s="11" t="n"/>
      <x:c r="B1005" s="5" t="n"/>
      <x:c r="C1005" s="12" t="n"/>
      <x:c r="D1005" s="12" t="n"/>
      <x:c r="E1005" s="12" t="n"/>
      <x:c r="F1005" s="12" t="n"/>
      <x:c r="G1005" s="13">
        <x:f>IF(F1005="","",IFERROR(VLOOKUP(F1005,Master_Data!$E$24:$G$33,2,FALSE),"9999"))</x:f>
      </x:c>
      <x:c r="H1005" s="12" t="n"/>
      <x:c r="I1005" s="12" t="n"/>
      <x:c r="J1005" s="12" t="n"/>
      <x:c r="K1005" s="12" t="n"/>
      <x:c r="L1005" s="11" t="n"/>
      <x:c r="M1005" s="9" t="n"/>
      <x:c r="N1005" s="12" t="n"/>
      <x:c r="O1005" s="6">
        <x:f>IF(N1005="","",IFERROR(VLOOKUP(N1005,Master_Data!$A$5:$C$8,3,FALSE),0))</x:f>
      </x:c>
      <x:c r="P1005" s="7">
        <x:f>IF(M1005="","",M1005*O1005)</x:f>
      </x:c>
      <x:c r="Q1005" s="7">
        <x:f>IF(M1005="","",M1005+P1005)</x:f>
      </x:c>
      <x:c r="R1005" s="7">
        <x:f>IF(K1005&lt;&gt;"Paid",0,IF(C1005="Income",Q1005,-Q1005))</x:f>
      </x:c>
      <x:c r="S1005" s="14">
        <x:f>IF(A1005="","",DATE(YEAR(A1005),MONTH(A1005),1))</x:f>
      </x:c>
      <x:c r="T1005" s="14">
        <x:f>IF(L1005="","",DATE(YEAR(L1005),MONTH(L1005),1))</x:f>
      </x:c>
    </x:row>
    <x:row r="1006">
      <x:c r="A1006" s="11" t="n"/>
      <x:c r="B1006" s="5" t="n"/>
      <x:c r="C1006" s="12" t="n"/>
      <x:c r="D1006" s="12" t="n"/>
      <x:c r="E1006" s="12" t="n"/>
      <x:c r="F1006" s="12" t="n"/>
      <x:c r="G1006" s="13">
        <x:f>IF(F1006="","",IFERROR(VLOOKUP(F1006,Master_Data!$E$24:$G$33,2,FALSE),"9999"))</x:f>
      </x:c>
      <x:c r="H1006" s="12" t="n"/>
      <x:c r="I1006" s="12" t="n"/>
      <x:c r="J1006" s="12" t="n"/>
      <x:c r="K1006" s="12" t="n"/>
      <x:c r="L1006" s="11" t="n"/>
      <x:c r="M1006" s="9" t="n"/>
      <x:c r="N1006" s="12" t="n"/>
      <x:c r="O1006" s="6">
        <x:f>IF(N1006="","",IFERROR(VLOOKUP(N1006,Master_Data!$A$5:$C$8,3,FALSE),0))</x:f>
      </x:c>
      <x:c r="P1006" s="7">
        <x:f>IF(M1006="","",M1006*O1006)</x:f>
      </x:c>
      <x:c r="Q1006" s="7">
        <x:f>IF(M1006="","",M1006+P1006)</x:f>
      </x:c>
      <x:c r="R1006" s="7">
        <x:f>IF(K1006&lt;&gt;"Paid",0,IF(C1006="Income",Q1006,-Q1006))</x:f>
      </x:c>
      <x:c r="S1006" s="14">
        <x:f>IF(A1006="","",DATE(YEAR(A1006),MONTH(A1006),1))</x:f>
      </x:c>
      <x:c r="T1006" s="14">
        <x:f>IF(L1006="","",DATE(YEAR(L1006),MONTH(L1006),1))</x:f>
      </x:c>
    </x:row>
    <x:row r="1007">
      <x:c r="A1007" s="11" t="n"/>
      <x:c r="B1007" s="5" t="n"/>
      <x:c r="C1007" s="12" t="n"/>
      <x:c r="D1007" s="12" t="n"/>
      <x:c r="E1007" s="12" t="n"/>
      <x:c r="F1007" s="12" t="n"/>
      <x:c r="G1007" s="13">
        <x:f>IF(F1007="","",IFERROR(VLOOKUP(F1007,Master_Data!$E$24:$G$33,2,FALSE),"9999"))</x:f>
      </x:c>
      <x:c r="H1007" s="12" t="n"/>
      <x:c r="I1007" s="12" t="n"/>
      <x:c r="J1007" s="12" t="n"/>
      <x:c r="K1007" s="12" t="n"/>
      <x:c r="L1007" s="11" t="n"/>
      <x:c r="M1007" s="9" t="n"/>
      <x:c r="N1007" s="12" t="n"/>
      <x:c r="O1007" s="6">
        <x:f>IF(N1007="","",IFERROR(VLOOKUP(N1007,Master_Data!$A$5:$C$8,3,FALSE),0))</x:f>
      </x:c>
      <x:c r="P1007" s="7">
        <x:f>IF(M1007="","",M1007*O1007)</x:f>
      </x:c>
      <x:c r="Q1007" s="7">
        <x:f>IF(M1007="","",M1007+P1007)</x:f>
      </x:c>
      <x:c r="R1007" s="7">
        <x:f>IF(K1007&lt;&gt;"Paid",0,IF(C1007="Income",Q1007,-Q1007))</x:f>
      </x:c>
      <x:c r="S1007" s="14">
        <x:f>IF(A1007="","",DATE(YEAR(A1007),MONTH(A1007),1))</x:f>
      </x:c>
      <x:c r="T1007" s="14">
        <x:f>IF(L1007="","",DATE(YEAR(L1007),MONTH(L1007),1))</x:f>
      </x:c>
    </x:row>
    <x:row r="1008">
      <x:c r="A1008" s="11" t="n"/>
      <x:c r="B1008" s="5" t="n"/>
      <x:c r="C1008" s="12" t="n"/>
      <x:c r="D1008" s="12" t="n"/>
      <x:c r="E1008" s="12" t="n"/>
      <x:c r="F1008" s="12" t="n"/>
      <x:c r="G1008" s="13">
        <x:f>IF(F1008="","",IFERROR(VLOOKUP(F1008,Master_Data!$E$24:$G$33,2,FALSE),"9999"))</x:f>
      </x:c>
      <x:c r="H1008" s="12" t="n"/>
      <x:c r="I1008" s="12" t="n"/>
      <x:c r="J1008" s="12" t="n"/>
      <x:c r="K1008" s="12" t="n"/>
      <x:c r="L1008" s="11" t="n"/>
      <x:c r="M1008" s="9" t="n"/>
      <x:c r="N1008" s="12" t="n"/>
      <x:c r="O1008" s="6">
        <x:f>IF(N1008="","",IFERROR(VLOOKUP(N1008,Master_Data!$A$5:$C$8,3,FALSE),0))</x:f>
      </x:c>
      <x:c r="P1008" s="7">
        <x:f>IF(M1008="","",M1008*O1008)</x:f>
      </x:c>
      <x:c r="Q1008" s="7">
        <x:f>IF(M1008="","",M1008+P1008)</x:f>
      </x:c>
      <x:c r="R1008" s="7">
        <x:f>IF(K1008&lt;&gt;"Paid",0,IF(C1008="Income",Q1008,-Q1008))</x:f>
      </x:c>
      <x:c r="S1008" s="14">
        <x:f>IF(A1008="","",DATE(YEAR(A1008),MONTH(A1008),1))</x:f>
      </x:c>
      <x:c r="T1008" s="14">
        <x:f>IF(L1008="","",DATE(YEAR(L1008),MONTH(L1008),1))</x:f>
      </x:c>
    </x:row>
    <x:row r="1009">
      <x:c r="A1009" s="11" t="n"/>
      <x:c r="B1009" s="5" t="n"/>
      <x:c r="C1009" s="12" t="n"/>
      <x:c r="D1009" s="12" t="n"/>
      <x:c r="E1009" s="12" t="n"/>
      <x:c r="F1009" s="12" t="n"/>
      <x:c r="G1009" s="13">
        <x:f>IF(F1009="","",IFERROR(VLOOKUP(F1009,Master_Data!$E$24:$G$33,2,FALSE),"9999"))</x:f>
      </x:c>
      <x:c r="H1009" s="12" t="n"/>
      <x:c r="I1009" s="12" t="n"/>
      <x:c r="J1009" s="12" t="n"/>
      <x:c r="K1009" s="12" t="n"/>
      <x:c r="L1009" s="11" t="n"/>
      <x:c r="M1009" s="9" t="n"/>
      <x:c r="N1009" s="12" t="n"/>
      <x:c r="O1009" s="6">
        <x:f>IF(N1009="","",IFERROR(VLOOKUP(N1009,Master_Data!$A$5:$C$8,3,FALSE),0))</x:f>
      </x:c>
      <x:c r="P1009" s="7">
        <x:f>IF(M1009="","",M1009*O1009)</x:f>
      </x:c>
      <x:c r="Q1009" s="7">
        <x:f>IF(M1009="","",M1009+P1009)</x:f>
      </x:c>
      <x:c r="R1009" s="7">
        <x:f>IF(K1009&lt;&gt;"Paid",0,IF(C1009="Income",Q1009,-Q1009))</x:f>
      </x:c>
      <x:c r="S1009" s="14">
        <x:f>IF(A1009="","",DATE(YEAR(A1009),MONTH(A1009),1))</x:f>
      </x:c>
      <x:c r="T1009" s="14">
        <x:f>IF(L1009="","",DATE(YEAR(L1009),MONTH(L1009),1))</x:f>
      </x:c>
    </x:row>
    <x:row r="1010">
      <x:c r="A1010" s="11" t="n"/>
      <x:c r="B1010" s="5" t="n"/>
      <x:c r="C1010" s="12" t="n"/>
      <x:c r="D1010" s="12" t="n"/>
      <x:c r="E1010" s="12" t="n"/>
      <x:c r="F1010" s="12" t="n"/>
      <x:c r="G1010" s="13">
        <x:f>IF(F1010="","",IFERROR(VLOOKUP(F1010,Master_Data!$E$24:$G$33,2,FALSE),"9999"))</x:f>
      </x:c>
      <x:c r="H1010" s="12" t="n"/>
      <x:c r="I1010" s="12" t="n"/>
      <x:c r="J1010" s="12" t="n"/>
      <x:c r="K1010" s="12" t="n"/>
      <x:c r="L1010" s="11" t="n"/>
      <x:c r="M1010" s="9" t="n"/>
      <x:c r="N1010" s="12" t="n"/>
      <x:c r="O1010" s="6">
        <x:f>IF(N1010="","",IFERROR(VLOOKUP(N1010,Master_Data!$A$5:$C$8,3,FALSE),0))</x:f>
      </x:c>
      <x:c r="P1010" s="7">
        <x:f>IF(M1010="","",M1010*O1010)</x:f>
      </x:c>
      <x:c r="Q1010" s="7">
        <x:f>IF(M1010="","",M1010+P1010)</x:f>
      </x:c>
      <x:c r="R1010" s="7">
        <x:f>IF(K1010&lt;&gt;"Paid",0,IF(C1010="Income",Q1010,-Q1010))</x:f>
      </x:c>
      <x:c r="S1010" s="14">
        <x:f>IF(A1010="","",DATE(YEAR(A1010),MONTH(A1010),1))</x:f>
      </x:c>
      <x:c r="T1010" s="14">
        <x:f>IF(L1010="","",DATE(YEAR(L1010),MONTH(L1010),1))</x:f>
      </x:c>
    </x:row>
    <x:row r="1011">
      <x:c r="A1011" s="11" t="n"/>
      <x:c r="B1011" s="5" t="n"/>
      <x:c r="C1011" s="12" t="n"/>
      <x:c r="D1011" s="12" t="n"/>
      <x:c r="E1011" s="12" t="n"/>
      <x:c r="F1011" s="12" t="n"/>
      <x:c r="G1011" s="13">
        <x:f>IF(F1011="","",IFERROR(VLOOKUP(F1011,Master_Data!$E$24:$G$33,2,FALSE),"9999"))</x:f>
      </x:c>
      <x:c r="H1011" s="12" t="n"/>
      <x:c r="I1011" s="12" t="n"/>
      <x:c r="J1011" s="12" t="n"/>
      <x:c r="K1011" s="12" t="n"/>
      <x:c r="L1011" s="11" t="n"/>
      <x:c r="M1011" s="9" t="n"/>
      <x:c r="N1011" s="12" t="n"/>
      <x:c r="O1011" s="6">
        <x:f>IF(N1011="","",IFERROR(VLOOKUP(N1011,Master_Data!$A$5:$C$8,3,FALSE),0))</x:f>
      </x:c>
      <x:c r="P1011" s="7">
        <x:f>IF(M1011="","",M1011*O1011)</x:f>
      </x:c>
      <x:c r="Q1011" s="7">
        <x:f>IF(M1011="","",M1011+P1011)</x:f>
      </x:c>
      <x:c r="R1011" s="7">
        <x:f>IF(K1011&lt;&gt;"Paid",0,IF(C1011="Income",Q1011,-Q1011))</x:f>
      </x:c>
      <x:c r="S1011" s="14">
        <x:f>IF(A1011="","",DATE(YEAR(A1011),MONTH(A1011),1))</x:f>
      </x:c>
      <x:c r="T1011" s="14">
        <x:f>IF(L1011="","",DATE(YEAR(L1011),MONTH(L1011),1))</x:f>
      </x:c>
    </x:row>
    <x:row r="1012">
      <x:c r="A1012" s="11" t="n"/>
      <x:c r="B1012" s="5" t="n"/>
      <x:c r="C1012" s="12" t="n"/>
      <x:c r="D1012" s="12" t="n"/>
      <x:c r="E1012" s="12" t="n"/>
      <x:c r="F1012" s="12" t="n"/>
      <x:c r="G1012" s="13">
        <x:f>IF(F1012="","",IFERROR(VLOOKUP(F1012,Master_Data!$E$24:$G$33,2,FALSE),"9999"))</x:f>
      </x:c>
      <x:c r="H1012" s="12" t="n"/>
      <x:c r="I1012" s="12" t="n"/>
      <x:c r="J1012" s="12" t="n"/>
      <x:c r="K1012" s="12" t="n"/>
      <x:c r="L1012" s="11" t="n"/>
      <x:c r="M1012" s="9" t="n"/>
      <x:c r="N1012" s="12" t="n"/>
      <x:c r="O1012" s="6">
        <x:f>IF(N1012="","",IFERROR(VLOOKUP(N1012,Master_Data!$A$5:$C$8,3,FALSE),0))</x:f>
      </x:c>
      <x:c r="P1012" s="7">
        <x:f>IF(M1012="","",M1012*O1012)</x:f>
      </x:c>
      <x:c r="Q1012" s="7">
        <x:f>IF(M1012="","",M1012+P1012)</x:f>
      </x:c>
      <x:c r="R1012" s="7">
        <x:f>IF(K1012&lt;&gt;"Paid",0,IF(C1012="Income",Q1012,-Q1012))</x:f>
      </x:c>
      <x:c r="S1012" s="14">
        <x:f>IF(A1012="","",DATE(YEAR(A1012),MONTH(A1012),1))</x:f>
      </x:c>
      <x:c r="T1012" s="14">
        <x:f>IF(L1012="","",DATE(YEAR(L1012),MONTH(L1012),1))</x:f>
      </x:c>
    </x:row>
    <x:row r="1013">
      <x:c r="A1013" s="11" t="n"/>
      <x:c r="B1013" s="5" t="n"/>
      <x:c r="C1013" s="12" t="n"/>
      <x:c r="D1013" s="12" t="n"/>
      <x:c r="E1013" s="12" t="n"/>
      <x:c r="F1013" s="12" t="n"/>
      <x:c r="G1013" s="13">
        <x:f>IF(F1013="","",IFERROR(VLOOKUP(F1013,Master_Data!$E$24:$G$33,2,FALSE),"9999"))</x:f>
      </x:c>
      <x:c r="H1013" s="12" t="n"/>
      <x:c r="I1013" s="12" t="n"/>
      <x:c r="J1013" s="12" t="n"/>
      <x:c r="K1013" s="12" t="n"/>
      <x:c r="L1013" s="11" t="n"/>
      <x:c r="M1013" s="9" t="n"/>
      <x:c r="N1013" s="12" t="n"/>
      <x:c r="O1013" s="6">
        <x:f>IF(N1013="","",IFERROR(VLOOKUP(N1013,Master_Data!$A$5:$C$8,3,FALSE),0))</x:f>
      </x:c>
      <x:c r="P1013" s="7">
        <x:f>IF(M1013="","",M1013*O1013)</x:f>
      </x:c>
      <x:c r="Q1013" s="7">
        <x:f>IF(M1013="","",M1013+P1013)</x:f>
      </x:c>
      <x:c r="R1013" s="7">
        <x:f>IF(K1013&lt;&gt;"Paid",0,IF(C1013="Income",Q1013,-Q1013))</x:f>
      </x:c>
      <x:c r="S1013" s="14">
        <x:f>IF(A1013="","",DATE(YEAR(A1013),MONTH(A1013),1))</x:f>
      </x:c>
      <x:c r="T1013" s="14">
        <x:f>IF(L1013="","",DATE(YEAR(L1013),MONTH(L1013),1))</x:f>
      </x:c>
    </x:row>
    <x:row r="1014">
      <x:c r="A1014" s="11" t="n"/>
      <x:c r="B1014" s="5" t="n"/>
      <x:c r="C1014" s="12" t="n"/>
      <x:c r="D1014" s="12" t="n"/>
      <x:c r="E1014" s="12" t="n"/>
      <x:c r="F1014" s="12" t="n"/>
      <x:c r="G1014" s="13">
        <x:f>IF(F1014="","",IFERROR(VLOOKUP(F1014,Master_Data!$E$24:$G$33,2,FALSE),"9999"))</x:f>
      </x:c>
      <x:c r="H1014" s="12" t="n"/>
      <x:c r="I1014" s="12" t="n"/>
      <x:c r="J1014" s="12" t="n"/>
      <x:c r="K1014" s="12" t="n"/>
      <x:c r="L1014" s="11" t="n"/>
      <x:c r="M1014" s="9" t="n"/>
      <x:c r="N1014" s="12" t="n"/>
      <x:c r="O1014" s="6">
        <x:f>IF(N1014="","",IFERROR(VLOOKUP(N1014,Master_Data!$A$5:$C$8,3,FALSE),0))</x:f>
      </x:c>
      <x:c r="P1014" s="7">
        <x:f>IF(M1014="","",M1014*O1014)</x:f>
      </x:c>
      <x:c r="Q1014" s="7">
        <x:f>IF(M1014="","",M1014+P1014)</x:f>
      </x:c>
      <x:c r="R1014" s="7">
        <x:f>IF(K1014&lt;&gt;"Paid",0,IF(C1014="Income",Q1014,-Q1014))</x:f>
      </x:c>
      <x:c r="S1014" s="14">
        <x:f>IF(A1014="","",DATE(YEAR(A1014),MONTH(A1014),1))</x:f>
      </x:c>
      <x:c r="T1014" s="14">
        <x:f>IF(L1014="","",DATE(YEAR(L1014),MONTH(L1014),1))</x:f>
      </x:c>
    </x:row>
    <x:row r="1015">
      <x:c r="A1015" s="11" t="n"/>
      <x:c r="B1015" s="5" t="n"/>
      <x:c r="C1015" s="12" t="n"/>
      <x:c r="D1015" s="12" t="n"/>
      <x:c r="E1015" s="12" t="n"/>
      <x:c r="F1015" s="12" t="n"/>
      <x:c r="G1015" s="13">
        <x:f>IF(F1015="","",IFERROR(VLOOKUP(F1015,Master_Data!$E$24:$G$33,2,FALSE),"9999"))</x:f>
      </x:c>
      <x:c r="H1015" s="12" t="n"/>
      <x:c r="I1015" s="12" t="n"/>
      <x:c r="J1015" s="12" t="n"/>
      <x:c r="K1015" s="12" t="n"/>
      <x:c r="L1015" s="11" t="n"/>
      <x:c r="M1015" s="9" t="n"/>
      <x:c r="N1015" s="12" t="n"/>
      <x:c r="O1015" s="6">
        <x:f>IF(N1015="","",IFERROR(VLOOKUP(N1015,Master_Data!$A$5:$C$8,3,FALSE),0))</x:f>
      </x:c>
      <x:c r="P1015" s="7">
        <x:f>IF(M1015="","",M1015*O1015)</x:f>
      </x:c>
      <x:c r="Q1015" s="7">
        <x:f>IF(M1015="","",M1015+P1015)</x:f>
      </x:c>
      <x:c r="R1015" s="7">
        <x:f>IF(K1015&lt;&gt;"Paid",0,IF(C1015="Income",Q1015,-Q1015))</x:f>
      </x:c>
      <x:c r="S1015" s="14">
        <x:f>IF(A1015="","",DATE(YEAR(A1015),MONTH(A1015),1))</x:f>
      </x:c>
      <x:c r="T1015" s="14">
        <x:f>IF(L1015="","",DATE(YEAR(L1015),MONTH(L1015),1))</x:f>
      </x:c>
    </x:row>
    <x:row r="1016">
      <x:c r="A1016" s="11" t="n"/>
      <x:c r="B1016" s="5" t="n"/>
      <x:c r="C1016" s="12" t="n"/>
      <x:c r="D1016" s="12" t="n"/>
      <x:c r="E1016" s="12" t="n"/>
      <x:c r="F1016" s="12" t="n"/>
      <x:c r="G1016" s="13">
        <x:f>IF(F1016="","",IFERROR(VLOOKUP(F1016,Master_Data!$E$24:$G$33,2,FALSE),"9999"))</x:f>
      </x:c>
      <x:c r="H1016" s="12" t="n"/>
      <x:c r="I1016" s="12" t="n"/>
      <x:c r="J1016" s="12" t="n"/>
      <x:c r="K1016" s="12" t="n"/>
      <x:c r="L1016" s="11" t="n"/>
      <x:c r="M1016" s="9" t="n"/>
      <x:c r="N1016" s="12" t="n"/>
      <x:c r="O1016" s="6">
        <x:f>IF(N1016="","",IFERROR(VLOOKUP(N1016,Master_Data!$A$5:$C$8,3,FALSE),0))</x:f>
      </x:c>
      <x:c r="P1016" s="7">
        <x:f>IF(M1016="","",M1016*O1016)</x:f>
      </x:c>
      <x:c r="Q1016" s="7">
        <x:f>IF(M1016="","",M1016+P1016)</x:f>
      </x:c>
      <x:c r="R1016" s="7">
        <x:f>IF(K1016&lt;&gt;"Paid",0,IF(C1016="Income",Q1016,-Q1016))</x:f>
      </x:c>
      <x:c r="S1016" s="14">
        <x:f>IF(A1016="","",DATE(YEAR(A1016),MONTH(A1016),1))</x:f>
      </x:c>
      <x:c r="T1016" s="14">
        <x:f>IF(L1016="","",DATE(YEAR(L1016),MONTH(L1016),1))</x:f>
      </x:c>
    </x:row>
    <x:row r="1017">
      <x:c r="A1017" s="11" t="n"/>
      <x:c r="B1017" s="5" t="n"/>
      <x:c r="C1017" s="12" t="n"/>
      <x:c r="D1017" s="12" t="n"/>
      <x:c r="E1017" s="12" t="n"/>
      <x:c r="F1017" s="12" t="n"/>
      <x:c r="G1017" s="13">
        <x:f>IF(F1017="","",IFERROR(VLOOKUP(F1017,Master_Data!$E$24:$G$33,2,FALSE),"9999"))</x:f>
      </x:c>
      <x:c r="H1017" s="12" t="n"/>
      <x:c r="I1017" s="12" t="n"/>
      <x:c r="J1017" s="12" t="n"/>
      <x:c r="K1017" s="12" t="n"/>
      <x:c r="L1017" s="11" t="n"/>
      <x:c r="M1017" s="9" t="n"/>
      <x:c r="N1017" s="12" t="n"/>
      <x:c r="O1017" s="6">
        <x:f>IF(N1017="","",IFERROR(VLOOKUP(N1017,Master_Data!$A$5:$C$8,3,FALSE),0))</x:f>
      </x:c>
      <x:c r="P1017" s="7">
        <x:f>IF(M1017="","",M1017*O1017)</x:f>
      </x:c>
      <x:c r="Q1017" s="7">
        <x:f>IF(M1017="","",M1017+P1017)</x:f>
      </x:c>
      <x:c r="R1017" s="7">
        <x:f>IF(K1017&lt;&gt;"Paid",0,IF(C1017="Income",Q1017,-Q1017))</x:f>
      </x:c>
      <x:c r="S1017" s="14">
        <x:f>IF(A1017="","",DATE(YEAR(A1017),MONTH(A1017),1))</x:f>
      </x:c>
      <x:c r="T1017" s="14">
        <x:f>IF(L1017="","",DATE(YEAR(L1017),MONTH(L1017),1))</x:f>
      </x:c>
    </x:row>
    <x:row r="1018">
      <x:c r="A1018" s="11" t="n"/>
      <x:c r="B1018" s="5" t="n"/>
      <x:c r="C1018" s="12" t="n"/>
      <x:c r="D1018" s="12" t="n"/>
      <x:c r="E1018" s="12" t="n"/>
      <x:c r="F1018" s="12" t="n"/>
      <x:c r="G1018" s="13">
        <x:f>IF(F1018="","",IFERROR(VLOOKUP(F1018,Master_Data!$E$24:$G$33,2,FALSE),"9999"))</x:f>
      </x:c>
      <x:c r="H1018" s="12" t="n"/>
      <x:c r="I1018" s="12" t="n"/>
      <x:c r="J1018" s="12" t="n"/>
      <x:c r="K1018" s="12" t="n"/>
      <x:c r="L1018" s="11" t="n"/>
      <x:c r="M1018" s="9" t="n"/>
      <x:c r="N1018" s="12" t="n"/>
      <x:c r="O1018" s="6">
        <x:f>IF(N1018="","",IFERROR(VLOOKUP(N1018,Master_Data!$A$5:$C$8,3,FALSE),0))</x:f>
      </x:c>
      <x:c r="P1018" s="7">
        <x:f>IF(M1018="","",M1018*O1018)</x:f>
      </x:c>
      <x:c r="Q1018" s="7">
        <x:f>IF(M1018="","",M1018+P1018)</x:f>
      </x:c>
      <x:c r="R1018" s="7">
        <x:f>IF(K1018&lt;&gt;"Paid",0,IF(C1018="Income",Q1018,-Q1018))</x:f>
      </x:c>
      <x:c r="S1018" s="14">
        <x:f>IF(A1018="","",DATE(YEAR(A1018),MONTH(A1018),1))</x:f>
      </x:c>
      <x:c r="T1018" s="14">
        <x:f>IF(L1018="","",DATE(YEAR(L1018),MONTH(L1018),1))</x:f>
      </x:c>
    </x:row>
    <x:row r="1019">
      <x:c r="A1019" s="11" t="n"/>
      <x:c r="B1019" s="5" t="n"/>
      <x:c r="C1019" s="12" t="n"/>
      <x:c r="D1019" s="12" t="n"/>
      <x:c r="E1019" s="12" t="n"/>
      <x:c r="F1019" s="12" t="n"/>
      <x:c r="G1019" s="13">
        <x:f>IF(F1019="","",IFERROR(VLOOKUP(F1019,Master_Data!$E$24:$G$33,2,FALSE),"9999"))</x:f>
      </x:c>
      <x:c r="H1019" s="12" t="n"/>
      <x:c r="I1019" s="12" t="n"/>
      <x:c r="J1019" s="12" t="n"/>
      <x:c r="K1019" s="12" t="n"/>
      <x:c r="L1019" s="11" t="n"/>
      <x:c r="M1019" s="9" t="n"/>
      <x:c r="N1019" s="12" t="n"/>
      <x:c r="O1019" s="6">
        <x:f>IF(N1019="","",IFERROR(VLOOKUP(N1019,Master_Data!$A$5:$C$8,3,FALSE),0))</x:f>
      </x:c>
      <x:c r="P1019" s="7">
        <x:f>IF(M1019="","",M1019*O1019)</x:f>
      </x:c>
      <x:c r="Q1019" s="7">
        <x:f>IF(M1019="","",M1019+P1019)</x:f>
      </x:c>
      <x:c r="R1019" s="7">
        <x:f>IF(K1019&lt;&gt;"Paid",0,IF(C1019="Income",Q1019,-Q1019))</x:f>
      </x:c>
      <x:c r="S1019" s="14">
        <x:f>IF(A1019="","",DATE(YEAR(A1019),MONTH(A1019),1))</x:f>
      </x:c>
      <x:c r="T1019" s="14">
        <x:f>IF(L1019="","",DATE(YEAR(L1019),MONTH(L1019),1))</x:f>
      </x:c>
    </x:row>
    <x:row r="1020">
      <x:c r="A1020" s="11" t="n"/>
      <x:c r="B1020" s="5" t="n"/>
      <x:c r="C1020" s="12" t="n"/>
      <x:c r="D1020" s="12" t="n"/>
      <x:c r="E1020" s="12" t="n"/>
      <x:c r="F1020" s="12" t="n"/>
      <x:c r="G1020" s="13">
        <x:f>IF(F1020="","",IFERROR(VLOOKUP(F1020,Master_Data!$E$24:$G$33,2,FALSE),"9999"))</x:f>
      </x:c>
      <x:c r="H1020" s="12" t="n"/>
      <x:c r="I1020" s="12" t="n"/>
      <x:c r="J1020" s="12" t="n"/>
      <x:c r="K1020" s="12" t="n"/>
      <x:c r="L1020" s="11" t="n"/>
      <x:c r="M1020" s="9" t="n"/>
      <x:c r="N1020" s="12" t="n"/>
      <x:c r="O1020" s="6">
        <x:f>IF(N1020="","",IFERROR(VLOOKUP(N1020,Master_Data!$A$5:$C$8,3,FALSE),0))</x:f>
      </x:c>
      <x:c r="P1020" s="7">
        <x:f>IF(M1020="","",M1020*O1020)</x:f>
      </x:c>
      <x:c r="Q1020" s="7">
        <x:f>IF(M1020="","",M1020+P1020)</x:f>
      </x:c>
      <x:c r="R1020" s="7">
        <x:f>IF(K1020&lt;&gt;"Paid",0,IF(C1020="Income",Q1020,-Q1020))</x:f>
      </x:c>
      <x:c r="S1020" s="14">
        <x:f>IF(A1020="","",DATE(YEAR(A1020),MONTH(A1020),1))</x:f>
      </x:c>
      <x:c r="T1020" s="14">
        <x:f>IF(L1020="","",DATE(YEAR(L1020),MONTH(L1020),1))</x:f>
      </x:c>
    </x:row>
    <x:row r="1021">
      <x:c r="A1021" s="11" t="n"/>
      <x:c r="B1021" s="5" t="n"/>
      <x:c r="C1021" s="12" t="n"/>
      <x:c r="D1021" s="12" t="n"/>
      <x:c r="E1021" s="12" t="n"/>
      <x:c r="F1021" s="12" t="n"/>
      <x:c r="G1021" s="13">
        <x:f>IF(F1021="","",IFERROR(VLOOKUP(F1021,Master_Data!$E$24:$G$33,2,FALSE),"9999"))</x:f>
      </x:c>
      <x:c r="H1021" s="12" t="n"/>
      <x:c r="I1021" s="12" t="n"/>
      <x:c r="J1021" s="12" t="n"/>
      <x:c r="K1021" s="12" t="n"/>
      <x:c r="L1021" s="11" t="n"/>
      <x:c r="M1021" s="9" t="n"/>
      <x:c r="N1021" s="12" t="n"/>
      <x:c r="O1021" s="6">
        <x:f>IF(N1021="","",IFERROR(VLOOKUP(N1021,Master_Data!$A$5:$C$8,3,FALSE),0))</x:f>
      </x:c>
      <x:c r="P1021" s="7">
        <x:f>IF(M1021="","",M1021*O1021)</x:f>
      </x:c>
      <x:c r="Q1021" s="7">
        <x:f>IF(M1021="","",M1021+P1021)</x:f>
      </x:c>
      <x:c r="R1021" s="7">
        <x:f>IF(K1021&lt;&gt;"Paid",0,IF(C1021="Income",Q1021,-Q1021))</x:f>
      </x:c>
      <x:c r="S1021" s="14">
        <x:f>IF(A1021="","",DATE(YEAR(A1021),MONTH(A1021),1))</x:f>
      </x:c>
      <x:c r="T1021" s="14">
        <x:f>IF(L1021="","",DATE(YEAR(L1021),MONTH(L1021),1))</x:f>
      </x:c>
    </x:row>
    <x:row r="1022">
      <x:c r="A1022" s="11" t="n"/>
      <x:c r="B1022" s="5" t="n"/>
      <x:c r="C1022" s="12" t="n"/>
      <x:c r="D1022" s="12" t="n"/>
      <x:c r="E1022" s="12" t="n"/>
      <x:c r="F1022" s="12" t="n"/>
      <x:c r="G1022" s="13">
        <x:f>IF(F1022="","",IFERROR(VLOOKUP(F1022,Master_Data!$E$24:$G$33,2,FALSE),"9999"))</x:f>
      </x:c>
      <x:c r="H1022" s="12" t="n"/>
      <x:c r="I1022" s="12" t="n"/>
      <x:c r="J1022" s="12" t="n"/>
      <x:c r="K1022" s="12" t="n"/>
      <x:c r="L1022" s="11" t="n"/>
      <x:c r="M1022" s="9" t="n"/>
      <x:c r="N1022" s="12" t="n"/>
      <x:c r="O1022" s="6">
        <x:f>IF(N1022="","",IFERROR(VLOOKUP(N1022,Master_Data!$A$5:$C$8,3,FALSE),0))</x:f>
      </x:c>
      <x:c r="P1022" s="7">
        <x:f>IF(M1022="","",M1022*O1022)</x:f>
      </x:c>
      <x:c r="Q1022" s="7">
        <x:f>IF(M1022="","",M1022+P1022)</x:f>
      </x:c>
      <x:c r="R1022" s="7">
        <x:f>IF(K1022&lt;&gt;"Paid",0,IF(C1022="Income",Q1022,-Q1022))</x:f>
      </x:c>
      <x:c r="S1022" s="14">
        <x:f>IF(A1022="","",DATE(YEAR(A1022),MONTH(A1022),1))</x:f>
      </x:c>
      <x:c r="T1022" s="14">
        <x:f>IF(L1022="","",DATE(YEAR(L1022),MONTH(L1022),1))</x:f>
      </x:c>
    </x:row>
    <x:row r="1023">
      <x:c r="A1023" s="11" t="n"/>
      <x:c r="B1023" s="5" t="n"/>
      <x:c r="C1023" s="12" t="n"/>
      <x:c r="D1023" s="12" t="n"/>
      <x:c r="E1023" s="12" t="n"/>
      <x:c r="F1023" s="12" t="n"/>
      <x:c r="G1023" s="13">
        <x:f>IF(F1023="","",IFERROR(VLOOKUP(F1023,Master_Data!$E$24:$G$33,2,FALSE),"9999"))</x:f>
      </x:c>
      <x:c r="H1023" s="12" t="n"/>
      <x:c r="I1023" s="12" t="n"/>
      <x:c r="J1023" s="12" t="n"/>
      <x:c r="K1023" s="12" t="n"/>
      <x:c r="L1023" s="11" t="n"/>
      <x:c r="M1023" s="9" t="n"/>
      <x:c r="N1023" s="12" t="n"/>
      <x:c r="O1023" s="6">
        <x:f>IF(N1023="","",IFERROR(VLOOKUP(N1023,Master_Data!$A$5:$C$8,3,FALSE),0))</x:f>
      </x:c>
      <x:c r="P1023" s="7">
        <x:f>IF(M1023="","",M1023*O1023)</x:f>
      </x:c>
      <x:c r="Q1023" s="7">
        <x:f>IF(M1023="","",M1023+P1023)</x:f>
      </x:c>
      <x:c r="R1023" s="7">
        <x:f>IF(K1023&lt;&gt;"Paid",0,IF(C1023="Income",Q1023,-Q1023))</x:f>
      </x:c>
      <x:c r="S1023" s="14">
        <x:f>IF(A1023="","",DATE(YEAR(A1023),MONTH(A1023),1))</x:f>
      </x:c>
      <x:c r="T1023" s="14">
        <x:f>IF(L1023="","",DATE(YEAR(L1023),MONTH(L1023),1))</x:f>
      </x:c>
    </x:row>
    <x:row r="1024">
      <x:c r="A1024" s="11" t="n"/>
      <x:c r="B1024" s="5" t="n"/>
      <x:c r="C1024" s="12" t="n"/>
      <x:c r="D1024" s="12" t="n"/>
      <x:c r="E1024" s="12" t="n"/>
      <x:c r="F1024" s="12" t="n"/>
      <x:c r="G1024" s="13">
        <x:f>IF(F1024="","",IFERROR(VLOOKUP(F1024,Master_Data!$E$24:$G$33,2,FALSE),"9999"))</x:f>
      </x:c>
      <x:c r="H1024" s="12" t="n"/>
      <x:c r="I1024" s="12" t="n"/>
      <x:c r="J1024" s="12" t="n"/>
      <x:c r="K1024" s="12" t="n"/>
      <x:c r="L1024" s="11" t="n"/>
      <x:c r="M1024" s="9" t="n"/>
      <x:c r="N1024" s="12" t="n"/>
      <x:c r="O1024" s="6">
        <x:f>IF(N1024="","",IFERROR(VLOOKUP(N1024,Master_Data!$A$5:$C$8,3,FALSE),0))</x:f>
      </x:c>
      <x:c r="P1024" s="7">
        <x:f>IF(M1024="","",M1024*O1024)</x:f>
      </x:c>
      <x:c r="Q1024" s="7">
        <x:f>IF(M1024="","",M1024+P1024)</x:f>
      </x:c>
      <x:c r="R1024" s="7">
        <x:f>IF(K1024&lt;&gt;"Paid",0,IF(C1024="Income",Q1024,-Q1024))</x:f>
      </x:c>
      <x:c r="S1024" s="14">
        <x:f>IF(A1024="","",DATE(YEAR(A1024),MONTH(A1024),1))</x:f>
      </x:c>
      <x:c r="T1024" s="14">
        <x:f>IF(L1024="","",DATE(YEAR(L1024),MONTH(L1024),1))</x:f>
      </x:c>
    </x:row>
    <x:row r="1025">
      <x:c r="A1025" s="11" t="n"/>
      <x:c r="B1025" s="5" t="n"/>
      <x:c r="C1025" s="12" t="n"/>
      <x:c r="D1025" s="12" t="n"/>
      <x:c r="E1025" s="12" t="n"/>
      <x:c r="F1025" s="12" t="n"/>
      <x:c r="G1025" s="13">
        <x:f>IF(F1025="","",IFERROR(VLOOKUP(F1025,Master_Data!$E$24:$G$33,2,FALSE),"9999"))</x:f>
      </x:c>
      <x:c r="H1025" s="12" t="n"/>
      <x:c r="I1025" s="12" t="n"/>
      <x:c r="J1025" s="12" t="n"/>
      <x:c r="K1025" s="12" t="n"/>
      <x:c r="L1025" s="11" t="n"/>
      <x:c r="M1025" s="9" t="n"/>
      <x:c r="N1025" s="12" t="n"/>
      <x:c r="O1025" s="6">
        <x:f>IF(N1025="","",IFERROR(VLOOKUP(N1025,Master_Data!$A$5:$C$8,3,FALSE),0))</x:f>
      </x:c>
      <x:c r="P1025" s="7">
        <x:f>IF(M1025="","",M1025*O1025)</x:f>
      </x:c>
      <x:c r="Q1025" s="7">
        <x:f>IF(M1025="","",M1025+P1025)</x:f>
      </x:c>
      <x:c r="R1025" s="7">
        <x:f>IF(K1025&lt;&gt;"Paid",0,IF(C1025="Income",Q1025,-Q1025))</x:f>
      </x:c>
      <x:c r="S1025" s="14">
        <x:f>IF(A1025="","",DATE(YEAR(A1025),MONTH(A1025),1))</x:f>
      </x:c>
      <x:c r="T1025" s="14">
        <x:f>IF(L1025="","",DATE(YEAR(L1025),MONTH(L1025),1))</x:f>
      </x:c>
    </x:row>
    <x:row r="1026">
      <x:c r="A1026" s="11" t="n"/>
      <x:c r="B1026" s="5" t="n"/>
      <x:c r="C1026" s="12" t="n"/>
      <x:c r="D1026" s="12" t="n"/>
      <x:c r="E1026" s="12" t="n"/>
      <x:c r="F1026" s="12" t="n"/>
      <x:c r="G1026" s="13">
        <x:f>IF(F1026="","",IFERROR(VLOOKUP(F1026,Master_Data!$E$24:$G$33,2,FALSE),"9999"))</x:f>
      </x:c>
      <x:c r="H1026" s="12" t="n"/>
      <x:c r="I1026" s="12" t="n"/>
      <x:c r="J1026" s="12" t="n"/>
      <x:c r="K1026" s="12" t="n"/>
      <x:c r="L1026" s="11" t="n"/>
      <x:c r="M1026" s="9" t="n"/>
      <x:c r="N1026" s="12" t="n"/>
      <x:c r="O1026" s="6">
        <x:f>IF(N1026="","",IFERROR(VLOOKUP(N1026,Master_Data!$A$5:$C$8,3,FALSE),0))</x:f>
      </x:c>
      <x:c r="P1026" s="7">
        <x:f>IF(M1026="","",M1026*O1026)</x:f>
      </x:c>
      <x:c r="Q1026" s="7">
        <x:f>IF(M1026="","",M1026+P1026)</x:f>
      </x:c>
      <x:c r="R1026" s="7">
        <x:f>IF(K1026&lt;&gt;"Paid",0,IF(C1026="Income",Q1026,-Q1026))</x:f>
      </x:c>
      <x:c r="S1026" s="14">
        <x:f>IF(A1026="","",DATE(YEAR(A1026),MONTH(A1026),1))</x:f>
      </x:c>
      <x:c r="T1026" s="14">
        <x:f>IF(L1026="","",DATE(YEAR(L1026),MONTH(L1026),1))</x:f>
      </x:c>
    </x:row>
    <x:row r="1027">
      <x:c r="A1027" s="11" t="n"/>
      <x:c r="B1027" s="5" t="n"/>
      <x:c r="C1027" s="12" t="n"/>
      <x:c r="D1027" s="12" t="n"/>
      <x:c r="E1027" s="12" t="n"/>
      <x:c r="F1027" s="12" t="n"/>
      <x:c r="G1027" s="13">
        <x:f>IF(F1027="","",IFERROR(VLOOKUP(F1027,Master_Data!$E$24:$G$33,2,FALSE),"9999"))</x:f>
      </x:c>
      <x:c r="H1027" s="12" t="n"/>
      <x:c r="I1027" s="12" t="n"/>
      <x:c r="J1027" s="12" t="n"/>
      <x:c r="K1027" s="12" t="n"/>
      <x:c r="L1027" s="11" t="n"/>
      <x:c r="M1027" s="9" t="n"/>
      <x:c r="N1027" s="12" t="n"/>
      <x:c r="O1027" s="6">
        <x:f>IF(N1027="","",IFERROR(VLOOKUP(N1027,Master_Data!$A$5:$C$8,3,FALSE),0))</x:f>
      </x:c>
      <x:c r="P1027" s="7">
        <x:f>IF(M1027="","",M1027*O1027)</x:f>
      </x:c>
      <x:c r="Q1027" s="7">
        <x:f>IF(M1027="","",M1027+P1027)</x:f>
      </x:c>
      <x:c r="R1027" s="7">
        <x:f>IF(K1027&lt;&gt;"Paid",0,IF(C1027="Income",Q1027,-Q1027))</x:f>
      </x:c>
      <x:c r="S1027" s="14">
        <x:f>IF(A1027="","",DATE(YEAR(A1027),MONTH(A1027),1))</x:f>
      </x:c>
      <x:c r="T1027" s="14">
        <x:f>IF(L1027="","",DATE(YEAR(L1027),MONTH(L1027),1))</x:f>
      </x:c>
    </x:row>
    <x:row r="1028">
      <x:c r="A1028" s="11" t="n"/>
      <x:c r="B1028" s="5" t="n"/>
      <x:c r="C1028" s="12" t="n"/>
      <x:c r="D1028" s="12" t="n"/>
      <x:c r="E1028" s="12" t="n"/>
      <x:c r="F1028" s="12" t="n"/>
      <x:c r="G1028" s="13">
        <x:f>IF(F1028="","",IFERROR(VLOOKUP(F1028,Master_Data!$E$24:$G$33,2,FALSE),"9999"))</x:f>
      </x:c>
      <x:c r="H1028" s="12" t="n"/>
      <x:c r="I1028" s="12" t="n"/>
      <x:c r="J1028" s="12" t="n"/>
      <x:c r="K1028" s="12" t="n"/>
      <x:c r="L1028" s="11" t="n"/>
      <x:c r="M1028" s="9" t="n"/>
      <x:c r="N1028" s="12" t="n"/>
      <x:c r="O1028" s="6">
        <x:f>IF(N1028="","",IFERROR(VLOOKUP(N1028,Master_Data!$A$5:$C$8,3,FALSE),0))</x:f>
      </x:c>
      <x:c r="P1028" s="7">
        <x:f>IF(M1028="","",M1028*O1028)</x:f>
      </x:c>
      <x:c r="Q1028" s="7">
        <x:f>IF(M1028="","",M1028+P1028)</x:f>
      </x:c>
      <x:c r="R1028" s="7">
        <x:f>IF(K1028&lt;&gt;"Paid",0,IF(C1028="Income",Q1028,-Q1028))</x:f>
      </x:c>
      <x:c r="S1028" s="14">
        <x:f>IF(A1028="","",DATE(YEAR(A1028),MONTH(A1028),1))</x:f>
      </x:c>
      <x:c r="T1028" s="14">
        <x:f>IF(L1028="","",DATE(YEAR(L1028),MONTH(L1028),1))</x:f>
      </x:c>
    </x:row>
    <x:row r="1029">
      <x:c r="A1029" s="11" t="n"/>
      <x:c r="B1029" s="5" t="n"/>
      <x:c r="C1029" s="12" t="n"/>
      <x:c r="D1029" s="12" t="n"/>
      <x:c r="E1029" s="12" t="n"/>
      <x:c r="F1029" s="12" t="n"/>
      <x:c r="G1029" s="13">
        <x:f>IF(F1029="","",IFERROR(VLOOKUP(F1029,Master_Data!$E$24:$G$33,2,FALSE),"9999"))</x:f>
      </x:c>
      <x:c r="H1029" s="12" t="n"/>
      <x:c r="I1029" s="12" t="n"/>
      <x:c r="J1029" s="12" t="n"/>
      <x:c r="K1029" s="12" t="n"/>
      <x:c r="L1029" s="11" t="n"/>
      <x:c r="M1029" s="9" t="n"/>
      <x:c r="N1029" s="12" t="n"/>
      <x:c r="O1029" s="6">
        <x:f>IF(N1029="","",IFERROR(VLOOKUP(N1029,Master_Data!$A$5:$C$8,3,FALSE),0))</x:f>
      </x:c>
      <x:c r="P1029" s="7">
        <x:f>IF(M1029="","",M1029*O1029)</x:f>
      </x:c>
      <x:c r="Q1029" s="7">
        <x:f>IF(M1029="","",M1029+P1029)</x:f>
      </x:c>
      <x:c r="R1029" s="7">
        <x:f>IF(K1029&lt;&gt;"Paid",0,IF(C1029="Income",Q1029,-Q1029))</x:f>
      </x:c>
      <x:c r="S1029" s="14">
        <x:f>IF(A1029="","",DATE(YEAR(A1029),MONTH(A1029),1))</x:f>
      </x:c>
      <x:c r="T1029" s="14">
        <x:f>IF(L1029="","",DATE(YEAR(L1029),MONTH(L1029),1))</x:f>
      </x:c>
    </x:row>
    <x:row r="1030">
      <x:c r="A1030" s="11" t="n"/>
      <x:c r="B1030" s="5" t="n"/>
      <x:c r="C1030" s="12" t="n"/>
      <x:c r="D1030" s="12" t="n"/>
      <x:c r="E1030" s="12" t="n"/>
      <x:c r="F1030" s="12" t="n"/>
      <x:c r="G1030" s="13">
        <x:f>IF(F1030="","",IFERROR(VLOOKUP(F1030,Master_Data!$E$24:$G$33,2,FALSE),"9999"))</x:f>
      </x:c>
      <x:c r="H1030" s="12" t="n"/>
      <x:c r="I1030" s="12" t="n"/>
      <x:c r="J1030" s="12" t="n"/>
      <x:c r="K1030" s="12" t="n"/>
      <x:c r="L1030" s="11" t="n"/>
      <x:c r="M1030" s="9" t="n"/>
      <x:c r="N1030" s="12" t="n"/>
      <x:c r="O1030" s="6">
        <x:f>IF(N1030="","",IFERROR(VLOOKUP(N1030,Master_Data!$A$5:$C$8,3,FALSE),0))</x:f>
      </x:c>
      <x:c r="P1030" s="7">
        <x:f>IF(M1030="","",M1030*O1030)</x:f>
      </x:c>
      <x:c r="Q1030" s="7">
        <x:f>IF(M1030="","",M1030+P1030)</x:f>
      </x:c>
      <x:c r="R1030" s="7">
        <x:f>IF(K1030&lt;&gt;"Paid",0,IF(C1030="Income",Q1030,-Q1030))</x:f>
      </x:c>
      <x:c r="S1030" s="14">
        <x:f>IF(A1030="","",DATE(YEAR(A1030),MONTH(A1030),1))</x:f>
      </x:c>
      <x:c r="T1030" s="14">
        <x:f>IF(L1030="","",DATE(YEAR(L1030),MONTH(L1030),1))</x:f>
      </x:c>
    </x:row>
    <x:row r="1031">
      <x:c r="A1031" s="11" t="n"/>
      <x:c r="B1031" s="5" t="n"/>
      <x:c r="C1031" s="12" t="n"/>
      <x:c r="D1031" s="12" t="n"/>
      <x:c r="E1031" s="12" t="n"/>
      <x:c r="F1031" s="12" t="n"/>
      <x:c r="G1031" s="13">
        <x:f>IF(F1031="","",IFERROR(VLOOKUP(F1031,Master_Data!$E$24:$G$33,2,FALSE),"9999"))</x:f>
      </x:c>
      <x:c r="H1031" s="12" t="n"/>
      <x:c r="I1031" s="12" t="n"/>
      <x:c r="J1031" s="12" t="n"/>
      <x:c r="K1031" s="12" t="n"/>
      <x:c r="L1031" s="11" t="n"/>
      <x:c r="M1031" s="9" t="n"/>
      <x:c r="N1031" s="12" t="n"/>
      <x:c r="O1031" s="6">
        <x:f>IF(N1031="","",IFERROR(VLOOKUP(N1031,Master_Data!$A$5:$C$8,3,FALSE),0))</x:f>
      </x:c>
      <x:c r="P1031" s="7">
        <x:f>IF(M1031="","",M1031*O1031)</x:f>
      </x:c>
      <x:c r="Q1031" s="7">
        <x:f>IF(M1031="","",M1031+P1031)</x:f>
      </x:c>
      <x:c r="R1031" s="7">
        <x:f>IF(K1031&lt;&gt;"Paid",0,IF(C1031="Income",Q1031,-Q1031))</x:f>
      </x:c>
      <x:c r="S1031" s="14">
        <x:f>IF(A1031="","",DATE(YEAR(A1031),MONTH(A1031),1))</x:f>
      </x:c>
      <x:c r="T1031" s="14">
        <x:f>IF(L1031="","",DATE(YEAR(L1031),MONTH(L1031),1))</x:f>
      </x:c>
    </x:row>
    <x:row r="1032">
      <x:c r="A1032" s="11" t="n"/>
      <x:c r="B1032" s="5" t="n"/>
      <x:c r="C1032" s="12" t="n"/>
      <x:c r="D1032" s="12" t="n"/>
      <x:c r="E1032" s="12" t="n"/>
      <x:c r="F1032" s="12" t="n"/>
      <x:c r="G1032" s="13">
        <x:f>IF(F1032="","",IFERROR(VLOOKUP(F1032,Master_Data!$E$24:$G$33,2,FALSE),"9999"))</x:f>
      </x:c>
      <x:c r="H1032" s="12" t="n"/>
      <x:c r="I1032" s="12" t="n"/>
      <x:c r="J1032" s="12" t="n"/>
      <x:c r="K1032" s="12" t="n"/>
      <x:c r="L1032" s="11" t="n"/>
      <x:c r="M1032" s="9" t="n"/>
      <x:c r="N1032" s="12" t="n"/>
      <x:c r="O1032" s="6">
        <x:f>IF(N1032="","",IFERROR(VLOOKUP(N1032,Master_Data!$A$5:$C$8,3,FALSE),0))</x:f>
      </x:c>
      <x:c r="P1032" s="7">
        <x:f>IF(M1032="","",M1032*O1032)</x:f>
      </x:c>
      <x:c r="Q1032" s="7">
        <x:f>IF(M1032="","",M1032+P1032)</x:f>
      </x:c>
      <x:c r="R1032" s="7">
        <x:f>IF(K1032&lt;&gt;"Paid",0,IF(C1032="Income",Q1032,-Q1032))</x:f>
      </x:c>
      <x:c r="S1032" s="14">
        <x:f>IF(A1032="","",DATE(YEAR(A1032),MONTH(A1032),1))</x:f>
      </x:c>
      <x:c r="T1032" s="14">
        <x:f>IF(L1032="","",DATE(YEAR(L1032),MONTH(L1032),1))</x:f>
      </x:c>
    </x:row>
    <x:row r="1033">
      <x:c r="A1033" s="11" t="n"/>
      <x:c r="B1033" s="5" t="n"/>
      <x:c r="C1033" s="12" t="n"/>
      <x:c r="D1033" s="12" t="n"/>
      <x:c r="E1033" s="12" t="n"/>
      <x:c r="F1033" s="12" t="n"/>
      <x:c r="G1033" s="13">
        <x:f>IF(F1033="","",IFERROR(VLOOKUP(F1033,Master_Data!$E$24:$G$33,2,FALSE),"9999"))</x:f>
      </x:c>
      <x:c r="H1033" s="12" t="n"/>
      <x:c r="I1033" s="12" t="n"/>
      <x:c r="J1033" s="12" t="n"/>
      <x:c r="K1033" s="12" t="n"/>
      <x:c r="L1033" s="11" t="n"/>
      <x:c r="M1033" s="9" t="n"/>
      <x:c r="N1033" s="12" t="n"/>
      <x:c r="O1033" s="6">
        <x:f>IF(N1033="","",IFERROR(VLOOKUP(N1033,Master_Data!$A$5:$C$8,3,FALSE),0))</x:f>
      </x:c>
      <x:c r="P1033" s="7">
        <x:f>IF(M1033="","",M1033*O1033)</x:f>
      </x:c>
      <x:c r="Q1033" s="7">
        <x:f>IF(M1033="","",M1033+P1033)</x:f>
      </x:c>
      <x:c r="R1033" s="7">
        <x:f>IF(K1033&lt;&gt;"Paid",0,IF(C1033="Income",Q1033,-Q1033))</x:f>
      </x:c>
      <x:c r="S1033" s="14">
        <x:f>IF(A1033="","",DATE(YEAR(A1033),MONTH(A1033),1))</x:f>
      </x:c>
      <x:c r="T1033" s="14">
        <x:f>IF(L1033="","",DATE(YEAR(L1033),MONTH(L1033),1))</x:f>
      </x:c>
    </x:row>
    <x:row r="1034">
      <x:c r="A1034" s="11" t="n"/>
      <x:c r="B1034" s="5" t="n"/>
      <x:c r="C1034" s="12" t="n"/>
      <x:c r="D1034" s="12" t="n"/>
      <x:c r="E1034" s="12" t="n"/>
      <x:c r="F1034" s="12" t="n"/>
      <x:c r="G1034" s="13">
        <x:f>IF(F1034="","",IFERROR(VLOOKUP(F1034,Master_Data!$E$24:$G$33,2,FALSE),"9999"))</x:f>
      </x:c>
      <x:c r="H1034" s="12" t="n"/>
      <x:c r="I1034" s="12" t="n"/>
      <x:c r="J1034" s="12" t="n"/>
      <x:c r="K1034" s="12" t="n"/>
      <x:c r="L1034" s="11" t="n"/>
      <x:c r="M1034" s="9" t="n"/>
      <x:c r="N1034" s="12" t="n"/>
      <x:c r="O1034" s="6">
        <x:f>IF(N1034="","",IFERROR(VLOOKUP(N1034,Master_Data!$A$5:$C$8,3,FALSE),0))</x:f>
      </x:c>
      <x:c r="P1034" s="7">
        <x:f>IF(M1034="","",M1034*O1034)</x:f>
      </x:c>
      <x:c r="Q1034" s="7">
        <x:f>IF(M1034="","",M1034+P1034)</x:f>
      </x:c>
      <x:c r="R1034" s="7">
        <x:f>IF(K1034&lt;&gt;"Paid",0,IF(C1034="Income",Q1034,-Q1034))</x:f>
      </x:c>
      <x:c r="S1034" s="14">
        <x:f>IF(A1034="","",DATE(YEAR(A1034),MONTH(A1034),1))</x:f>
      </x:c>
      <x:c r="T1034" s="14">
        <x:f>IF(L1034="","",DATE(YEAR(L1034),MONTH(L1034),1))</x:f>
      </x:c>
    </x:row>
    <x:row r="1035">
      <x:c r="A1035" s="11" t="n"/>
      <x:c r="B1035" s="5" t="n"/>
      <x:c r="C1035" s="12" t="n"/>
      <x:c r="D1035" s="12" t="n"/>
      <x:c r="E1035" s="12" t="n"/>
      <x:c r="F1035" s="12" t="n"/>
      <x:c r="G1035" s="13">
        <x:f>IF(F1035="","",IFERROR(VLOOKUP(F1035,Master_Data!$E$24:$G$33,2,FALSE),"9999"))</x:f>
      </x:c>
      <x:c r="H1035" s="12" t="n"/>
      <x:c r="I1035" s="12" t="n"/>
      <x:c r="J1035" s="12" t="n"/>
      <x:c r="K1035" s="12" t="n"/>
      <x:c r="L1035" s="11" t="n"/>
      <x:c r="M1035" s="9" t="n"/>
      <x:c r="N1035" s="12" t="n"/>
      <x:c r="O1035" s="6">
        <x:f>IF(N1035="","",IFERROR(VLOOKUP(N1035,Master_Data!$A$5:$C$8,3,FALSE),0))</x:f>
      </x:c>
      <x:c r="P1035" s="7">
        <x:f>IF(M1035="","",M1035*O1035)</x:f>
      </x:c>
      <x:c r="Q1035" s="7">
        <x:f>IF(M1035="","",M1035+P1035)</x:f>
      </x:c>
      <x:c r="R1035" s="7">
        <x:f>IF(K1035&lt;&gt;"Paid",0,IF(C1035="Income",Q1035,-Q1035))</x:f>
      </x:c>
      <x:c r="S1035" s="14">
        <x:f>IF(A1035="","",DATE(YEAR(A1035),MONTH(A1035),1))</x:f>
      </x:c>
      <x:c r="T1035" s="14">
        <x:f>IF(L1035="","",DATE(YEAR(L1035),MONTH(L1035),1))</x:f>
      </x:c>
    </x:row>
    <x:row r="1036">
      <x:c r="A1036" s="11" t="n"/>
      <x:c r="B1036" s="5" t="n"/>
      <x:c r="C1036" s="12" t="n"/>
      <x:c r="D1036" s="12" t="n"/>
      <x:c r="E1036" s="12" t="n"/>
      <x:c r="F1036" s="12" t="n"/>
      <x:c r="G1036" s="13">
        <x:f>IF(F1036="","",IFERROR(VLOOKUP(F1036,Master_Data!$E$24:$G$33,2,FALSE),"9999"))</x:f>
      </x:c>
      <x:c r="H1036" s="12" t="n"/>
      <x:c r="I1036" s="12" t="n"/>
      <x:c r="J1036" s="12" t="n"/>
      <x:c r="K1036" s="12" t="n"/>
      <x:c r="L1036" s="11" t="n"/>
      <x:c r="M1036" s="9" t="n"/>
      <x:c r="N1036" s="12" t="n"/>
      <x:c r="O1036" s="6">
        <x:f>IF(N1036="","",IFERROR(VLOOKUP(N1036,Master_Data!$A$5:$C$8,3,FALSE),0))</x:f>
      </x:c>
      <x:c r="P1036" s="7">
        <x:f>IF(M1036="","",M1036*O1036)</x:f>
      </x:c>
      <x:c r="Q1036" s="7">
        <x:f>IF(M1036="","",M1036+P1036)</x:f>
      </x:c>
      <x:c r="R1036" s="7">
        <x:f>IF(K1036&lt;&gt;"Paid",0,IF(C1036="Income",Q1036,-Q1036))</x:f>
      </x:c>
      <x:c r="S1036" s="14">
        <x:f>IF(A1036="","",DATE(YEAR(A1036),MONTH(A1036),1))</x:f>
      </x:c>
      <x:c r="T1036" s="14">
        <x:f>IF(L1036="","",DATE(YEAR(L1036),MONTH(L1036),1))</x:f>
      </x:c>
    </x:row>
    <x:row r="1037">
      <x:c r="A1037" s="11" t="n"/>
      <x:c r="B1037" s="5" t="n"/>
      <x:c r="C1037" s="12" t="n"/>
      <x:c r="D1037" s="12" t="n"/>
      <x:c r="E1037" s="12" t="n"/>
      <x:c r="F1037" s="12" t="n"/>
      <x:c r="G1037" s="13">
        <x:f>IF(F1037="","",IFERROR(VLOOKUP(F1037,Master_Data!$E$24:$G$33,2,FALSE),"9999"))</x:f>
      </x:c>
      <x:c r="H1037" s="12" t="n"/>
      <x:c r="I1037" s="12" t="n"/>
      <x:c r="J1037" s="12" t="n"/>
      <x:c r="K1037" s="12" t="n"/>
      <x:c r="L1037" s="11" t="n"/>
      <x:c r="M1037" s="9" t="n"/>
      <x:c r="N1037" s="12" t="n"/>
      <x:c r="O1037" s="6">
        <x:f>IF(N1037="","",IFERROR(VLOOKUP(N1037,Master_Data!$A$5:$C$8,3,FALSE),0))</x:f>
      </x:c>
      <x:c r="P1037" s="7">
        <x:f>IF(M1037="","",M1037*O1037)</x:f>
      </x:c>
      <x:c r="Q1037" s="7">
        <x:f>IF(M1037="","",M1037+P1037)</x:f>
      </x:c>
      <x:c r="R1037" s="7">
        <x:f>IF(K1037&lt;&gt;"Paid",0,IF(C1037="Income",Q1037,-Q1037))</x:f>
      </x:c>
      <x:c r="S1037" s="14">
        <x:f>IF(A1037="","",DATE(YEAR(A1037),MONTH(A1037),1))</x:f>
      </x:c>
      <x:c r="T1037" s="14">
        <x:f>IF(L1037="","",DATE(YEAR(L1037),MONTH(L1037),1))</x:f>
      </x:c>
    </x:row>
    <x:row r="1038">
      <x:c r="A1038" s="11" t="n"/>
      <x:c r="B1038" s="5" t="n"/>
      <x:c r="C1038" s="12" t="n"/>
      <x:c r="D1038" s="12" t="n"/>
      <x:c r="E1038" s="12" t="n"/>
      <x:c r="F1038" s="12" t="n"/>
      <x:c r="G1038" s="13">
        <x:f>IF(F1038="","",IFERROR(VLOOKUP(F1038,Master_Data!$E$24:$G$33,2,FALSE),"9999"))</x:f>
      </x:c>
      <x:c r="H1038" s="12" t="n"/>
      <x:c r="I1038" s="12" t="n"/>
      <x:c r="J1038" s="12" t="n"/>
      <x:c r="K1038" s="12" t="n"/>
      <x:c r="L1038" s="11" t="n"/>
      <x:c r="M1038" s="9" t="n"/>
      <x:c r="N1038" s="12" t="n"/>
      <x:c r="O1038" s="6">
        <x:f>IF(N1038="","",IFERROR(VLOOKUP(N1038,Master_Data!$A$5:$C$8,3,FALSE),0))</x:f>
      </x:c>
      <x:c r="P1038" s="7">
        <x:f>IF(M1038="","",M1038*O1038)</x:f>
      </x:c>
      <x:c r="Q1038" s="7">
        <x:f>IF(M1038="","",M1038+P1038)</x:f>
      </x:c>
      <x:c r="R1038" s="7">
        <x:f>IF(K1038&lt;&gt;"Paid",0,IF(C1038="Income",Q1038,-Q1038))</x:f>
      </x:c>
      <x:c r="S1038" s="14">
        <x:f>IF(A1038="","",DATE(YEAR(A1038),MONTH(A1038),1))</x:f>
      </x:c>
      <x:c r="T1038" s="14">
        <x:f>IF(L1038="","",DATE(YEAR(L1038),MONTH(L1038),1))</x:f>
      </x:c>
    </x:row>
    <x:row r="1039">
      <x:c r="A1039" s="11" t="n"/>
      <x:c r="B1039" s="5" t="n"/>
      <x:c r="C1039" s="12" t="n"/>
      <x:c r="D1039" s="12" t="n"/>
      <x:c r="E1039" s="12" t="n"/>
      <x:c r="F1039" s="12" t="n"/>
      <x:c r="G1039" s="13">
        <x:f>IF(F1039="","",IFERROR(VLOOKUP(F1039,Master_Data!$E$24:$G$33,2,FALSE),"9999"))</x:f>
      </x:c>
      <x:c r="H1039" s="12" t="n"/>
      <x:c r="I1039" s="12" t="n"/>
      <x:c r="J1039" s="12" t="n"/>
      <x:c r="K1039" s="12" t="n"/>
      <x:c r="L1039" s="11" t="n"/>
      <x:c r="M1039" s="9" t="n"/>
      <x:c r="N1039" s="12" t="n"/>
      <x:c r="O1039" s="6">
        <x:f>IF(N1039="","",IFERROR(VLOOKUP(N1039,Master_Data!$A$5:$C$8,3,FALSE),0))</x:f>
      </x:c>
      <x:c r="P1039" s="7">
        <x:f>IF(M1039="","",M1039*O1039)</x:f>
      </x:c>
      <x:c r="Q1039" s="7">
        <x:f>IF(M1039="","",M1039+P1039)</x:f>
      </x:c>
      <x:c r="R1039" s="7">
        <x:f>IF(K1039&lt;&gt;"Paid",0,IF(C1039="Income",Q1039,-Q1039))</x:f>
      </x:c>
      <x:c r="S1039" s="14">
        <x:f>IF(A1039="","",DATE(YEAR(A1039),MONTH(A1039),1))</x:f>
      </x:c>
      <x:c r="T1039" s="14">
        <x:f>IF(L1039="","",DATE(YEAR(L1039),MONTH(L1039),1))</x:f>
      </x:c>
    </x:row>
    <x:row r="1040">
      <x:c r="A1040" s="11" t="n"/>
      <x:c r="B1040" s="5" t="n"/>
      <x:c r="C1040" s="12" t="n"/>
      <x:c r="D1040" s="12" t="n"/>
      <x:c r="E1040" s="12" t="n"/>
      <x:c r="F1040" s="12" t="n"/>
      <x:c r="G1040" s="13">
        <x:f>IF(F1040="","",IFERROR(VLOOKUP(F1040,Master_Data!$E$24:$G$33,2,FALSE),"9999"))</x:f>
      </x:c>
      <x:c r="H1040" s="12" t="n"/>
      <x:c r="I1040" s="12" t="n"/>
      <x:c r="J1040" s="12" t="n"/>
      <x:c r="K1040" s="12" t="n"/>
      <x:c r="L1040" s="11" t="n"/>
      <x:c r="M1040" s="9" t="n"/>
      <x:c r="N1040" s="12" t="n"/>
      <x:c r="O1040" s="6">
        <x:f>IF(N1040="","",IFERROR(VLOOKUP(N1040,Master_Data!$A$5:$C$8,3,FALSE),0))</x:f>
      </x:c>
      <x:c r="P1040" s="7">
        <x:f>IF(M1040="","",M1040*O1040)</x:f>
      </x:c>
      <x:c r="Q1040" s="7">
        <x:f>IF(M1040="","",M1040+P1040)</x:f>
      </x:c>
      <x:c r="R1040" s="7">
        <x:f>IF(K1040&lt;&gt;"Paid",0,IF(C1040="Income",Q1040,-Q1040))</x:f>
      </x:c>
      <x:c r="S1040" s="14">
        <x:f>IF(A1040="","",DATE(YEAR(A1040),MONTH(A1040),1))</x:f>
      </x:c>
      <x:c r="T1040" s="14">
        <x:f>IF(L1040="","",DATE(YEAR(L1040),MONTH(L1040),1))</x:f>
      </x:c>
    </x:row>
    <x:row r="1041">
      <x:c r="A1041" s="11" t="n"/>
      <x:c r="B1041" s="5" t="n"/>
      <x:c r="C1041" s="12" t="n"/>
      <x:c r="D1041" s="12" t="n"/>
      <x:c r="E1041" s="12" t="n"/>
      <x:c r="F1041" s="12" t="n"/>
      <x:c r="G1041" s="13">
        <x:f>IF(F1041="","",IFERROR(VLOOKUP(F1041,Master_Data!$E$24:$G$33,2,FALSE),"9999"))</x:f>
      </x:c>
      <x:c r="H1041" s="12" t="n"/>
      <x:c r="I1041" s="12" t="n"/>
      <x:c r="J1041" s="12" t="n"/>
      <x:c r="K1041" s="12" t="n"/>
      <x:c r="L1041" s="11" t="n"/>
      <x:c r="M1041" s="9" t="n"/>
      <x:c r="N1041" s="12" t="n"/>
      <x:c r="O1041" s="6">
        <x:f>IF(N1041="","",IFERROR(VLOOKUP(N1041,Master_Data!$A$5:$C$8,3,FALSE),0))</x:f>
      </x:c>
      <x:c r="P1041" s="7">
        <x:f>IF(M1041="","",M1041*O1041)</x:f>
      </x:c>
      <x:c r="Q1041" s="7">
        <x:f>IF(M1041="","",M1041+P1041)</x:f>
      </x:c>
      <x:c r="R1041" s="7">
        <x:f>IF(K1041&lt;&gt;"Paid",0,IF(C1041="Income",Q1041,-Q1041))</x:f>
      </x:c>
      <x:c r="S1041" s="14">
        <x:f>IF(A1041="","",DATE(YEAR(A1041),MONTH(A1041),1))</x:f>
      </x:c>
      <x:c r="T1041" s="14">
        <x:f>IF(L1041="","",DATE(YEAR(L1041),MONTH(L1041),1))</x:f>
      </x:c>
    </x:row>
    <x:row r="1042">
      <x:c r="A1042" s="11" t="n"/>
      <x:c r="B1042" s="5" t="n"/>
      <x:c r="C1042" s="12" t="n"/>
      <x:c r="D1042" s="12" t="n"/>
      <x:c r="E1042" s="12" t="n"/>
      <x:c r="F1042" s="12" t="n"/>
      <x:c r="G1042" s="13">
        <x:f>IF(F1042="","",IFERROR(VLOOKUP(F1042,Master_Data!$E$24:$G$33,2,FALSE),"9999"))</x:f>
      </x:c>
      <x:c r="H1042" s="12" t="n"/>
      <x:c r="I1042" s="12" t="n"/>
      <x:c r="J1042" s="12" t="n"/>
      <x:c r="K1042" s="12" t="n"/>
      <x:c r="L1042" s="11" t="n"/>
      <x:c r="M1042" s="9" t="n"/>
      <x:c r="N1042" s="12" t="n"/>
      <x:c r="O1042" s="6">
        <x:f>IF(N1042="","",IFERROR(VLOOKUP(N1042,Master_Data!$A$5:$C$8,3,FALSE),0))</x:f>
      </x:c>
      <x:c r="P1042" s="7">
        <x:f>IF(M1042="","",M1042*O1042)</x:f>
      </x:c>
      <x:c r="Q1042" s="7">
        <x:f>IF(M1042="","",M1042+P1042)</x:f>
      </x:c>
      <x:c r="R1042" s="7">
        <x:f>IF(K1042&lt;&gt;"Paid",0,IF(C1042="Income",Q1042,-Q1042))</x:f>
      </x:c>
      <x:c r="S1042" s="14">
        <x:f>IF(A1042="","",DATE(YEAR(A1042),MONTH(A1042),1))</x:f>
      </x:c>
      <x:c r="T1042" s="14">
        <x:f>IF(L1042="","",DATE(YEAR(L1042),MONTH(L1042),1))</x:f>
      </x:c>
    </x:row>
    <x:row r="1043">
      <x:c r="A1043" s="11" t="n"/>
      <x:c r="B1043" s="5" t="n"/>
      <x:c r="C1043" s="12" t="n"/>
      <x:c r="D1043" s="12" t="n"/>
      <x:c r="E1043" s="12" t="n"/>
      <x:c r="F1043" s="12" t="n"/>
      <x:c r="G1043" s="13">
        <x:f>IF(F1043="","",IFERROR(VLOOKUP(F1043,Master_Data!$E$24:$G$33,2,FALSE),"9999"))</x:f>
      </x:c>
      <x:c r="H1043" s="12" t="n"/>
      <x:c r="I1043" s="12" t="n"/>
      <x:c r="J1043" s="12" t="n"/>
      <x:c r="K1043" s="12" t="n"/>
      <x:c r="L1043" s="11" t="n"/>
      <x:c r="M1043" s="9" t="n"/>
      <x:c r="N1043" s="12" t="n"/>
      <x:c r="O1043" s="6">
        <x:f>IF(N1043="","",IFERROR(VLOOKUP(N1043,Master_Data!$A$5:$C$8,3,FALSE),0))</x:f>
      </x:c>
      <x:c r="P1043" s="7">
        <x:f>IF(M1043="","",M1043*O1043)</x:f>
      </x:c>
      <x:c r="Q1043" s="7">
        <x:f>IF(M1043="","",M1043+P1043)</x:f>
      </x:c>
      <x:c r="R1043" s="7">
        <x:f>IF(K1043&lt;&gt;"Paid",0,IF(C1043="Income",Q1043,-Q1043))</x:f>
      </x:c>
      <x:c r="S1043" s="14">
        <x:f>IF(A1043="","",DATE(YEAR(A1043),MONTH(A1043),1))</x:f>
      </x:c>
      <x:c r="T1043" s="14">
        <x:f>IF(L1043="","",DATE(YEAR(L1043),MONTH(L1043),1))</x:f>
      </x:c>
    </x:row>
    <x:row r="1044">
      <x:c r="A1044" s="11" t="n"/>
      <x:c r="B1044" s="5" t="n"/>
      <x:c r="C1044" s="12" t="n"/>
      <x:c r="D1044" s="12" t="n"/>
      <x:c r="E1044" s="12" t="n"/>
      <x:c r="F1044" s="12" t="n"/>
      <x:c r="G1044" s="13">
        <x:f>IF(F1044="","",IFERROR(VLOOKUP(F1044,Master_Data!$E$24:$G$33,2,FALSE),"9999"))</x:f>
      </x:c>
      <x:c r="H1044" s="12" t="n"/>
      <x:c r="I1044" s="12" t="n"/>
      <x:c r="J1044" s="12" t="n"/>
      <x:c r="K1044" s="12" t="n"/>
      <x:c r="L1044" s="11" t="n"/>
      <x:c r="M1044" s="9" t="n"/>
      <x:c r="N1044" s="12" t="n"/>
      <x:c r="O1044" s="6">
        <x:f>IF(N1044="","",IFERROR(VLOOKUP(N1044,Master_Data!$A$5:$C$8,3,FALSE),0))</x:f>
      </x:c>
      <x:c r="P1044" s="7">
        <x:f>IF(M1044="","",M1044*O1044)</x:f>
      </x:c>
      <x:c r="Q1044" s="7">
        <x:f>IF(M1044="","",M1044+P1044)</x:f>
      </x:c>
      <x:c r="R1044" s="7">
        <x:f>IF(K1044&lt;&gt;"Paid",0,IF(C1044="Income",Q1044,-Q1044))</x:f>
      </x:c>
      <x:c r="S1044" s="14">
        <x:f>IF(A1044="","",DATE(YEAR(A1044),MONTH(A1044),1))</x:f>
      </x:c>
      <x:c r="T1044" s="14">
        <x:f>IF(L1044="","",DATE(YEAR(L1044),MONTH(L1044),1))</x:f>
      </x:c>
    </x:row>
    <x:row r="1045">
      <x:c r="A1045" s="11" t="n"/>
      <x:c r="B1045" s="5" t="n"/>
      <x:c r="C1045" s="12" t="n"/>
      <x:c r="D1045" s="12" t="n"/>
      <x:c r="E1045" s="12" t="n"/>
      <x:c r="F1045" s="12" t="n"/>
      <x:c r="G1045" s="13">
        <x:f>IF(F1045="","",IFERROR(VLOOKUP(F1045,Master_Data!$E$24:$G$33,2,FALSE),"9999"))</x:f>
      </x:c>
      <x:c r="H1045" s="12" t="n"/>
      <x:c r="I1045" s="12" t="n"/>
      <x:c r="J1045" s="12" t="n"/>
      <x:c r="K1045" s="12" t="n"/>
      <x:c r="L1045" s="11" t="n"/>
      <x:c r="M1045" s="9" t="n"/>
      <x:c r="N1045" s="12" t="n"/>
      <x:c r="O1045" s="6">
        <x:f>IF(N1045="","",IFERROR(VLOOKUP(N1045,Master_Data!$A$5:$C$8,3,FALSE),0))</x:f>
      </x:c>
      <x:c r="P1045" s="7">
        <x:f>IF(M1045="","",M1045*O1045)</x:f>
      </x:c>
      <x:c r="Q1045" s="7">
        <x:f>IF(M1045="","",M1045+P1045)</x:f>
      </x:c>
      <x:c r="R1045" s="7">
        <x:f>IF(K1045&lt;&gt;"Paid",0,IF(C1045="Income",Q1045,-Q1045))</x:f>
      </x:c>
      <x:c r="S1045" s="14">
        <x:f>IF(A1045="","",DATE(YEAR(A1045),MONTH(A1045),1))</x:f>
      </x:c>
      <x:c r="T1045" s="14">
        <x:f>IF(L1045="","",DATE(YEAR(L1045),MONTH(L1045),1))</x:f>
      </x:c>
    </x:row>
    <x:row r="1046">
      <x:c r="A1046" s="11" t="n"/>
      <x:c r="B1046" s="5" t="n"/>
      <x:c r="C1046" s="12" t="n"/>
      <x:c r="D1046" s="12" t="n"/>
      <x:c r="E1046" s="12" t="n"/>
      <x:c r="F1046" s="12" t="n"/>
      <x:c r="G1046" s="13">
        <x:f>IF(F1046="","",IFERROR(VLOOKUP(F1046,Master_Data!$E$24:$G$33,2,FALSE),"9999"))</x:f>
      </x:c>
      <x:c r="H1046" s="12" t="n"/>
      <x:c r="I1046" s="12" t="n"/>
      <x:c r="J1046" s="12" t="n"/>
      <x:c r="K1046" s="12" t="n"/>
      <x:c r="L1046" s="11" t="n"/>
      <x:c r="M1046" s="9" t="n"/>
      <x:c r="N1046" s="12" t="n"/>
      <x:c r="O1046" s="6">
        <x:f>IF(N1046="","",IFERROR(VLOOKUP(N1046,Master_Data!$A$5:$C$8,3,FALSE),0))</x:f>
      </x:c>
      <x:c r="P1046" s="7">
        <x:f>IF(M1046="","",M1046*O1046)</x:f>
      </x:c>
      <x:c r="Q1046" s="7">
        <x:f>IF(M1046="","",M1046+P1046)</x:f>
      </x:c>
      <x:c r="R1046" s="7">
        <x:f>IF(K1046&lt;&gt;"Paid",0,IF(C1046="Income",Q1046,-Q1046))</x:f>
      </x:c>
      <x:c r="S1046" s="14">
        <x:f>IF(A1046="","",DATE(YEAR(A1046),MONTH(A1046),1))</x:f>
      </x:c>
      <x:c r="T1046" s="14">
        <x:f>IF(L1046="","",DATE(YEAR(L1046),MONTH(L1046),1))</x:f>
      </x:c>
    </x:row>
    <x:row r="1047">
      <x:c r="A1047" s="11" t="n"/>
      <x:c r="B1047" s="5" t="n"/>
      <x:c r="C1047" s="12" t="n"/>
      <x:c r="D1047" s="12" t="n"/>
      <x:c r="E1047" s="12" t="n"/>
      <x:c r="F1047" s="12" t="n"/>
      <x:c r="G1047" s="13">
        <x:f>IF(F1047="","",IFERROR(VLOOKUP(F1047,Master_Data!$E$24:$G$33,2,FALSE),"9999"))</x:f>
      </x:c>
      <x:c r="H1047" s="12" t="n"/>
      <x:c r="I1047" s="12" t="n"/>
      <x:c r="J1047" s="12" t="n"/>
      <x:c r="K1047" s="12" t="n"/>
      <x:c r="L1047" s="11" t="n"/>
      <x:c r="M1047" s="9" t="n"/>
      <x:c r="N1047" s="12" t="n"/>
      <x:c r="O1047" s="6">
        <x:f>IF(N1047="","",IFERROR(VLOOKUP(N1047,Master_Data!$A$5:$C$8,3,FALSE),0))</x:f>
      </x:c>
      <x:c r="P1047" s="7">
        <x:f>IF(M1047="","",M1047*O1047)</x:f>
      </x:c>
      <x:c r="Q1047" s="7">
        <x:f>IF(M1047="","",M1047+P1047)</x:f>
      </x:c>
      <x:c r="R1047" s="7">
        <x:f>IF(K1047&lt;&gt;"Paid",0,IF(C1047="Income",Q1047,-Q1047))</x:f>
      </x:c>
      <x:c r="S1047" s="14">
        <x:f>IF(A1047="","",DATE(YEAR(A1047),MONTH(A1047),1))</x:f>
      </x:c>
      <x:c r="T1047" s="14">
        <x:f>IF(L1047="","",DATE(YEAR(L1047),MONTH(L1047),1))</x:f>
      </x:c>
    </x:row>
    <x:row r="1048">
      <x:c r="A1048" s="11" t="n"/>
      <x:c r="B1048" s="5" t="n"/>
      <x:c r="C1048" s="12" t="n"/>
      <x:c r="D1048" s="12" t="n"/>
      <x:c r="E1048" s="12" t="n"/>
      <x:c r="F1048" s="12" t="n"/>
      <x:c r="G1048" s="13">
        <x:f>IF(F1048="","",IFERROR(VLOOKUP(F1048,Master_Data!$E$24:$G$33,2,FALSE),"9999"))</x:f>
      </x:c>
      <x:c r="H1048" s="12" t="n"/>
      <x:c r="I1048" s="12" t="n"/>
      <x:c r="J1048" s="12" t="n"/>
      <x:c r="K1048" s="12" t="n"/>
      <x:c r="L1048" s="11" t="n"/>
      <x:c r="M1048" s="9" t="n"/>
      <x:c r="N1048" s="12" t="n"/>
      <x:c r="O1048" s="6">
        <x:f>IF(N1048="","",IFERROR(VLOOKUP(N1048,Master_Data!$A$5:$C$8,3,FALSE),0))</x:f>
      </x:c>
      <x:c r="P1048" s="7">
        <x:f>IF(M1048="","",M1048*O1048)</x:f>
      </x:c>
      <x:c r="Q1048" s="7">
        <x:f>IF(M1048="","",M1048+P1048)</x:f>
      </x:c>
      <x:c r="R1048" s="7">
        <x:f>IF(K1048&lt;&gt;"Paid",0,IF(C1048="Income",Q1048,-Q1048))</x:f>
      </x:c>
      <x:c r="S1048" s="14">
        <x:f>IF(A1048="","",DATE(YEAR(A1048),MONTH(A1048),1))</x:f>
      </x:c>
      <x:c r="T1048" s="14">
        <x:f>IF(L1048="","",DATE(YEAR(L1048),MONTH(L1048),1))</x:f>
      </x:c>
    </x:row>
    <x:row r="1049">
      <x:c r="A1049" s="11" t="n"/>
      <x:c r="B1049" s="5" t="n"/>
      <x:c r="C1049" s="12" t="n"/>
      <x:c r="D1049" s="12" t="n"/>
      <x:c r="E1049" s="12" t="n"/>
      <x:c r="F1049" s="12" t="n"/>
      <x:c r="G1049" s="13">
        <x:f>IF(F1049="","",IFERROR(VLOOKUP(F1049,Master_Data!$E$24:$G$33,2,FALSE),"9999"))</x:f>
      </x:c>
      <x:c r="H1049" s="12" t="n"/>
      <x:c r="I1049" s="12" t="n"/>
      <x:c r="J1049" s="12" t="n"/>
      <x:c r="K1049" s="12" t="n"/>
      <x:c r="L1049" s="11" t="n"/>
      <x:c r="M1049" s="9" t="n"/>
      <x:c r="N1049" s="12" t="n"/>
      <x:c r="O1049" s="6">
        <x:f>IF(N1049="","",IFERROR(VLOOKUP(N1049,Master_Data!$A$5:$C$8,3,FALSE),0))</x:f>
      </x:c>
      <x:c r="P1049" s="7">
        <x:f>IF(M1049="","",M1049*O1049)</x:f>
      </x:c>
      <x:c r="Q1049" s="7">
        <x:f>IF(M1049="","",M1049+P1049)</x:f>
      </x:c>
      <x:c r="R1049" s="7">
        <x:f>IF(K1049&lt;&gt;"Paid",0,IF(C1049="Income",Q1049,-Q1049))</x:f>
      </x:c>
      <x:c r="S1049" s="14">
        <x:f>IF(A1049="","",DATE(YEAR(A1049),MONTH(A1049),1))</x:f>
      </x:c>
      <x:c r="T1049" s="14">
        <x:f>IF(L1049="","",DATE(YEAR(L1049),MONTH(L1049),1))</x:f>
      </x:c>
    </x:row>
    <x:row r="1050">
      <x:c r="A1050" s="11" t="n"/>
      <x:c r="B1050" s="5" t="n"/>
      <x:c r="C1050" s="12" t="n"/>
      <x:c r="D1050" s="12" t="n"/>
      <x:c r="E1050" s="12" t="n"/>
      <x:c r="F1050" s="12" t="n"/>
      <x:c r="G1050" s="13">
        <x:f>IF(F1050="","",IFERROR(VLOOKUP(F1050,Master_Data!$E$24:$G$33,2,FALSE),"9999"))</x:f>
      </x:c>
      <x:c r="H1050" s="12" t="n"/>
      <x:c r="I1050" s="12" t="n"/>
      <x:c r="J1050" s="12" t="n"/>
      <x:c r="K1050" s="12" t="n"/>
      <x:c r="L1050" s="11" t="n"/>
      <x:c r="M1050" s="9" t="n"/>
      <x:c r="N1050" s="12" t="n"/>
      <x:c r="O1050" s="6">
        <x:f>IF(N1050="","",IFERROR(VLOOKUP(N1050,Master_Data!$A$5:$C$8,3,FALSE),0))</x:f>
      </x:c>
      <x:c r="P1050" s="7">
        <x:f>IF(M1050="","",M1050*O1050)</x:f>
      </x:c>
      <x:c r="Q1050" s="7">
        <x:f>IF(M1050="","",M1050+P1050)</x:f>
      </x:c>
      <x:c r="R1050" s="7">
        <x:f>IF(K1050&lt;&gt;"Paid",0,IF(C1050="Income",Q1050,-Q1050))</x:f>
      </x:c>
      <x:c r="S1050" s="14">
        <x:f>IF(A1050="","",DATE(YEAR(A1050),MONTH(A1050),1))</x:f>
      </x:c>
      <x:c r="T1050" s="14">
        <x:f>IF(L1050="","",DATE(YEAR(L1050),MONTH(L1050),1))</x:f>
      </x:c>
    </x:row>
    <x:row r="1051">
      <x:c r="A1051" s="11" t="n"/>
      <x:c r="B1051" s="5" t="n"/>
      <x:c r="C1051" s="12" t="n"/>
      <x:c r="D1051" s="12" t="n"/>
      <x:c r="E1051" s="12" t="n"/>
      <x:c r="F1051" s="12" t="n"/>
      <x:c r="G1051" s="13">
        <x:f>IF(F1051="","",IFERROR(VLOOKUP(F1051,Master_Data!$E$24:$G$33,2,FALSE),"9999"))</x:f>
      </x:c>
      <x:c r="H1051" s="12" t="n"/>
      <x:c r="I1051" s="12" t="n"/>
      <x:c r="J1051" s="12" t="n"/>
      <x:c r="K1051" s="12" t="n"/>
      <x:c r="L1051" s="11" t="n"/>
      <x:c r="M1051" s="9" t="n"/>
      <x:c r="N1051" s="12" t="n"/>
      <x:c r="O1051" s="6">
        <x:f>IF(N1051="","",IFERROR(VLOOKUP(N1051,Master_Data!$A$5:$C$8,3,FALSE),0))</x:f>
      </x:c>
      <x:c r="P1051" s="7">
        <x:f>IF(M1051="","",M1051*O1051)</x:f>
      </x:c>
      <x:c r="Q1051" s="7">
        <x:f>IF(M1051="","",M1051+P1051)</x:f>
      </x:c>
      <x:c r="R1051" s="7">
        <x:f>IF(K1051&lt;&gt;"Paid",0,IF(C1051="Income",Q1051,-Q1051))</x:f>
      </x:c>
      <x:c r="S1051" s="14">
        <x:f>IF(A1051="","",DATE(YEAR(A1051),MONTH(A1051),1))</x:f>
      </x:c>
      <x:c r="T1051" s="14">
        <x:f>IF(L1051="","",DATE(YEAR(L1051),MONTH(L1051),1))</x:f>
      </x:c>
    </x:row>
    <x:row r="1052">
      <x:c r="A1052" s="11" t="n"/>
      <x:c r="B1052" s="5" t="n"/>
      <x:c r="C1052" s="12" t="n"/>
      <x:c r="D1052" s="12" t="n"/>
      <x:c r="E1052" s="12" t="n"/>
      <x:c r="F1052" s="12" t="n"/>
      <x:c r="G1052" s="13">
        <x:f>IF(F1052="","",IFERROR(VLOOKUP(F1052,Master_Data!$E$24:$G$33,2,FALSE),"9999"))</x:f>
      </x:c>
      <x:c r="H1052" s="12" t="n"/>
      <x:c r="I1052" s="12" t="n"/>
      <x:c r="J1052" s="12" t="n"/>
      <x:c r="K1052" s="12" t="n"/>
      <x:c r="L1052" s="11" t="n"/>
      <x:c r="M1052" s="9" t="n"/>
      <x:c r="N1052" s="12" t="n"/>
      <x:c r="O1052" s="6">
        <x:f>IF(N1052="","",IFERROR(VLOOKUP(N1052,Master_Data!$A$5:$C$8,3,FALSE),0))</x:f>
      </x:c>
      <x:c r="P1052" s="7">
        <x:f>IF(M1052="","",M1052*O1052)</x:f>
      </x:c>
      <x:c r="Q1052" s="7">
        <x:f>IF(M1052="","",M1052+P1052)</x:f>
      </x:c>
      <x:c r="R1052" s="7">
        <x:f>IF(K1052&lt;&gt;"Paid",0,IF(C1052="Income",Q1052,-Q1052))</x:f>
      </x:c>
      <x:c r="S1052" s="14">
        <x:f>IF(A1052="","",DATE(YEAR(A1052),MONTH(A1052),1))</x:f>
      </x:c>
      <x:c r="T1052" s="14">
        <x:f>IF(L1052="","",DATE(YEAR(L1052),MONTH(L1052),1))</x:f>
      </x:c>
    </x:row>
    <x:row r="1053">
      <x:c r="A1053" s="11" t="n"/>
      <x:c r="B1053" s="5" t="n"/>
      <x:c r="C1053" s="12" t="n"/>
      <x:c r="D1053" s="12" t="n"/>
      <x:c r="E1053" s="12" t="n"/>
      <x:c r="F1053" s="12" t="n"/>
      <x:c r="G1053" s="13">
        <x:f>IF(F1053="","",IFERROR(VLOOKUP(F1053,Master_Data!$E$24:$G$33,2,FALSE),"9999"))</x:f>
      </x:c>
      <x:c r="H1053" s="12" t="n"/>
      <x:c r="I1053" s="12" t="n"/>
      <x:c r="J1053" s="12" t="n"/>
      <x:c r="K1053" s="12" t="n"/>
      <x:c r="L1053" s="11" t="n"/>
      <x:c r="M1053" s="9" t="n"/>
      <x:c r="N1053" s="12" t="n"/>
      <x:c r="O1053" s="6">
        <x:f>IF(N1053="","",IFERROR(VLOOKUP(N1053,Master_Data!$A$5:$C$8,3,FALSE),0))</x:f>
      </x:c>
      <x:c r="P1053" s="7">
        <x:f>IF(M1053="","",M1053*O1053)</x:f>
      </x:c>
      <x:c r="Q1053" s="7">
        <x:f>IF(M1053="","",M1053+P1053)</x:f>
      </x:c>
      <x:c r="R1053" s="7">
        <x:f>IF(K1053&lt;&gt;"Paid",0,IF(C1053="Income",Q1053,-Q1053))</x:f>
      </x:c>
      <x:c r="S1053" s="14">
        <x:f>IF(A1053="","",DATE(YEAR(A1053),MONTH(A1053),1))</x:f>
      </x:c>
      <x:c r="T1053" s="14">
        <x:f>IF(L1053="","",DATE(YEAR(L1053),MONTH(L1053),1))</x:f>
      </x:c>
    </x:row>
    <x:row r="1054">
      <x:c r="A1054" s="11" t="n"/>
      <x:c r="B1054" s="5" t="n"/>
      <x:c r="C1054" s="12" t="n"/>
      <x:c r="D1054" s="12" t="n"/>
      <x:c r="E1054" s="12" t="n"/>
      <x:c r="F1054" s="12" t="n"/>
      <x:c r="G1054" s="13">
        <x:f>IF(F1054="","",IFERROR(VLOOKUP(F1054,Master_Data!$E$24:$G$33,2,FALSE),"9999"))</x:f>
      </x:c>
      <x:c r="H1054" s="12" t="n"/>
      <x:c r="I1054" s="12" t="n"/>
      <x:c r="J1054" s="12" t="n"/>
      <x:c r="K1054" s="12" t="n"/>
      <x:c r="L1054" s="11" t="n"/>
      <x:c r="M1054" s="9" t="n"/>
      <x:c r="N1054" s="12" t="n"/>
      <x:c r="O1054" s="6">
        <x:f>IF(N1054="","",IFERROR(VLOOKUP(N1054,Master_Data!$A$5:$C$8,3,FALSE),0))</x:f>
      </x:c>
      <x:c r="P1054" s="7">
        <x:f>IF(M1054="","",M1054*O1054)</x:f>
      </x:c>
      <x:c r="Q1054" s="7">
        <x:f>IF(M1054="","",M1054+P1054)</x:f>
      </x:c>
      <x:c r="R1054" s="7">
        <x:f>IF(K1054&lt;&gt;"Paid",0,IF(C1054="Income",Q1054,-Q1054))</x:f>
      </x:c>
      <x:c r="S1054" s="14">
        <x:f>IF(A1054="","",DATE(YEAR(A1054),MONTH(A1054),1))</x:f>
      </x:c>
      <x:c r="T1054" s="14">
        <x:f>IF(L1054="","",DATE(YEAR(L1054),MONTH(L1054),1))</x:f>
      </x:c>
    </x:row>
    <x:row r="1055">
      <x:c r="A1055" s="11" t="n"/>
      <x:c r="B1055" s="5" t="n"/>
      <x:c r="C1055" s="12" t="n"/>
      <x:c r="D1055" s="12" t="n"/>
      <x:c r="E1055" s="12" t="n"/>
      <x:c r="F1055" s="12" t="n"/>
      <x:c r="G1055" s="13">
        <x:f>IF(F1055="","",IFERROR(VLOOKUP(F1055,Master_Data!$E$24:$G$33,2,FALSE),"9999"))</x:f>
      </x:c>
      <x:c r="H1055" s="12" t="n"/>
      <x:c r="I1055" s="12" t="n"/>
      <x:c r="J1055" s="12" t="n"/>
      <x:c r="K1055" s="12" t="n"/>
      <x:c r="L1055" s="11" t="n"/>
      <x:c r="M1055" s="9" t="n"/>
      <x:c r="N1055" s="12" t="n"/>
      <x:c r="O1055" s="6">
        <x:f>IF(N1055="","",IFERROR(VLOOKUP(N1055,Master_Data!$A$5:$C$8,3,FALSE),0))</x:f>
      </x:c>
      <x:c r="P1055" s="7">
        <x:f>IF(M1055="","",M1055*O1055)</x:f>
      </x:c>
      <x:c r="Q1055" s="7">
        <x:f>IF(M1055="","",M1055+P1055)</x:f>
      </x:c>
      <x:c r="R1055" s="7">
        <x:f>IF(K1055&lt;&gt;"Paid",0,IF(C1055="Income",Q1055,-Q1055))</x:f>
      </x:c>
      <x:c r="S1055" s="14">
        <x:f>IF(A1055="","",DATE(YEAR(A1055),MONTH(A1055),1))</x:f>
      </x:c>
      <x:c r="T1055" s="14">
        <x:f>IF(L1055="","",DATE(YEAR(L1055),MONTH(L1055),1))</x:f>
      </x:c>
    </x:row>
    <x:row r="1056">
      <x:c r="A1056" s="11" t="n"/>
      <x:c r="B1056" s="5" t="n"/>
      <x:c r="C1056" s="12" t="n"/>
      <x:c r="D1056" s="12" t="n"/>
      <x:c r="E1056" s="12" t="n"/>
      <x:c r="F1056" s="12" t="n"/>
      <x:c r="G1056" s="13">
        <x:f>IF(F1056="","",IFERROR(VLOOKUP(F1056,Master_Data!$E$24:$G$33,2,FALSE),"9999"))</x:f>
      </x:c>
      <x:c r="H1056" s="12" t="n"/>
      <x:c r="I1056" s="12" t="n"/>
      <x:c r="J1056" s="12" t="n"/>
      <x:c r="K1056" s="12" t="n"/>
      <x:c r="L1056" s="11" t="n"/>
      <x:c r="M1056" s="9" t="n"/>
      <x:c r="N1056" s="12" t="n"/>
      <x:c r="O1056" s="6">
        <x:f>IF(N1056="","",IFERROR(VLOOKUP(N1056,Master_Data!$A$5:$C$8,3,FALSE),0))</x:f>
      </x:c>
      <x:c r="P1056" s="7">
        <x:f>IF(M1056="","",M1056*O1056)</x:f>
      </x:c>
      <x:c r="Q1056" s="7">
        <x:f>IF(M1056="","",M1056+P1056)</x:f>
      </x:c>
      <x:c r="R1056" s="7">
        <x:f>IF(K1056&lt;&gt;"Paid",0,IF(C1056="Income",Q1056,-Q1056))</x:f>
      </x:c>
      <x:c r="S1056" s="14">
        <x:f>IF(A1056="","",DATE(YEAR(A1056),MONTH(A1056),1))</x:f>
      </x:c>
      <x:c r="T1056" s="14">
        <x:f>IF(L1056="","",DATE(YEAR(L1056),MONTH(L1056),1))</x:f>
      </x:c>
    </x:row>
    <x:row r="1057">
      <x:c r="A1057" s="11" t="n"/>
      <x:c r="B1057" s="5" t="n"/>
      <x:c r="C1057" s="12" t="n"/>
      <x:c r="D1057" s="12" t="n"/>
      <x:c r="E1057" s="12" t="n"/>
      <x:c r="F1057" s="12" t="n"/>
      <x:c r="G1057" s="13">
        <x:f>IF(F1057="","",IFERROR(VLOOKUP(F1057,Master_Data!$E$24:$G$33,2,FALSE),"9999"))</x:f>
      </x:c>
      <x:c r="H1057" s="12" t="n"/>
      <x:c r="I1057" s="12" t="n"/>
      <x:c r="J1057" s="12" t="n"/>
      <x:c r="K1057" s="12" t="n"/>
      <x:c r="L1057" s="11" t="n"/>
      <x:c r="M1057" s="9" t="n"/>
      <x:c r="N1057" s="12" t="n"/>
      <x:c r="O1057" s="6">
        <x:f>IF(N1057="","",IFERROR(VLOOKUP(N1057,Master_Data!$A$5:$C$8,3,FALSE),0))</x:f>
      </x:c>
      <x:c r="P1057" s="7">
        <x:f>IF(M1057="","",M1057*O1057)</x:f>
      </x:c>
      <x:c r="Q1057" s="7">
        <x:f>IF(M1057="","",M1057+P1057)</x:f>
      </x:c>
      <x:c r="R1057" s="7">
        <x:f>IF(K1057&lt;&gt;"Paid",0,IF(C1057="Income",Q1057,-Q1057))</x:f>
      </x:c>
      <x:c r="S1057" s="14">
        <x:f>IF(A1057="","",DATE(YEAR(A1057),MONTH(A1057),1))</x:f>
      </x:c>
      <x:c r="T1057" s="14">
        <x:f>IF(L1057="","",DATE(YEAR(L1057),MONTH(L1057),1))</x:f>
      </x:c>
    </x:row>
    <x:row r="1058">
      <x:c r="A1058" s="11" t="n"/>
      <x:c r="B1058" s="5" t="n"/>
      <x:c r="C1058" s="12" t="n"/>
      <x:c r="D1058" s="12" t="n"/>
      <x:c r="E1058" s="12" t="n"/>
      <x:c r="F1058" s="12" t="n"/>
      <x:c r="G1058" s="13">
        <x:f>IF(F1058="","",IFERROR(VLOOKUP(F1058,Master_Data!$E$24:$G$33,2,FALSE),"9999"))</x:f>
      </x:c>
      <x:c r="H1058" s="12" t="n"/>
      <x:c r="I1058" s="12" t="n"/>
      <x:c r="J1058" s="12" t="n"/>
      <x:c r="K1058" s="12" t="n"/>
      <x:c r="L1058" s="11" t="n"/>
      <x:c r="M1058" s="9" t="n"/>
      <x:c r="N1058" s="12" t="n"/>
      <x:c r="O1058" s="6">
        <x:f>IF(N1058="","",IFERROR(VLOOKUP(N1058,Master_Data!$A$5:$C$8,3,FALSE),0))</x:f>
      </x:c>
      <x:c r="P1058" s="7">
        <x:f>IF(M1058="","",M1058*O1058)</x:f>
      </x:c>
      <x:c r="Q1058" s="7">
        <x:f>IF(M1058="","",M1058+P1058)</x:f>
      </x:c>
      <x:c r="R1058" s="7">
        <x:f>IF(K1058&lt;&gt;"Paid",0,IF(C1058="Income",Q1058,-Q1058))</x:f>
      </x:c>
      <x:c r="S1058" s="14">
        <x:f>IF(A1058="","",DATE(YEAR(A1058),MONTH(A1058),1))</x:f>
      </x:c>
      <x:c r="T1058" s="14">
        <x:f>IF(L1058="","",DATE(YEAR(L1058),MONTH(L1058),1))</x:f>
      </x:c>
    </x:row>
    <x:row r="1059">
      <x:c r="A1059" s="11" t="n"/>
      <x:c r="B1059" s="5" t="n"/>
      <x:c r="C1059" s="12" t="n"/>
      <x:c r="D1059" s="12" t="n"/>
      <x:c r="E1059" s="12" t="n"/>
      <x:c r="F1059" s="12" t="n"/>
      <x:c r="G1059" s="13">
        <x:f>IF(F1059="","",IFERROR(VLOOKUP(F1059,Master_Data!$E$24:$G$33,2,FALSE),"9999"))</x:f>
      </x:c>
      <x:c r="H1059" s="12" t="n"/>
      <x:c r="I1059" s="12" t="n"/>
      <x:c r="J1059" s="12" t="n"/>
      <x:c r="K1059" s="12" t="n"/>
      <x:c r="L1059" s="11" t="n"/>
      <x:c r="M1059" s="9" t="n"/>
      <x:c r="N1059" s="12" t="n"/>
      <x:c r="O1059" s="6">
        <x:f>IF(N1059="","",IFERROR(VLOOKUP(N1059,Master_Data!$A$5:$C$8,3,FALSE),0))</x:f>
      </x:c>
      <x:c r="P1059" s="7">
        <x:f>IF(M1059="","",M1059*O1059)</x:f>
      </x:c>
      <x:c r="Q1059" s="7">
        <x:f>IF(M1059="","",M1059+P1059)</x:f>
      </x:c>
      <x:c r="R1059" s="7">
        <x:f>IF(K1059&lt;&gt;"Paid",0,IF(C1059="Income",Q1059,-Q1059))</x:f>
      </x:c>
      <x:c r="S1059" s="14">
        <x:f>IF(A1059="","",DATE(YEAR(A1059),MONTH(A1059),1))</x:f>
      </x:c>
      <x:c r="T1059" s="14">
        <x:f>IF(L1059="","",DATE(YEAR(L1059),MONTH(L1059),1))</x:f>
      </x:c>
    </x:row>
    <x:row r="1060">
      <x:c r="A1060" s="11" t="n"/>
      <x:c r="B1060" s="5" t="n"/>
      <x:c r="C1060" s="12" t="n"/>
      <x:c r="D1060" s="12" t="n"/>
      <x:c r="E1060" s="12" t="n"/>
      <x:c r="F1060" s="12" t="n"/>
      <x:c r="G1060" s="13">
        <x:f>IF(F1060="","",IFERROR(VLOOKUP(F1060,Master_Data!$E$24:$G$33,2,FALSE),"9999"))</x:f>
      </x:c>
      <x:c r="H1060" s="12" t="n"/>
      <x:c r="I1060" s="12" t="n"/>
      <x:c r="J1060" s="12" t="n"/>
      <x:c r="K1060" s="12" t="n"/>
      <x:c r="L1060" s="11" t="n"/>
      <x:c r="M1060" s="9" t="n"/>
      <x:c r="N1060" s="12" t="n"/>
      <x:c r="O1060" s="6">
        <x:f>IF(N1060="","",IFERROR(VLOOKUP(N1060,Master_Data!$A$5:$C$8,3,FALSE),0))</x:f>
      </x:c>
      <x:c r="P1060" s="7">
        <x:f>IF(M1060="","",M1060*O1060)</x:f>
      </x:c>
      <x:c r="Q1060" s="7">
        <x:f>IF(M1060="","",M1060+P1060)</x:f>
      </x:c>
      <x:c r="R1060" s="7">
        <x:f>IF(K1060&lt;&gt;"Paid",0,IF(C1060="Income",Q1060,-Q1060))</x:f>
      </x:c>
      <x:c r="S1060" s="14">
        <x:f>IF(A1060="","",DATE(YEAR(A1060),MONTH(A1060),1))</x:f>
      </x:c>
      <x:c r="T1060" s="14">
        <x:f>IF(L1060="","",DATE(YEAR(L1060),MONTH(L1060),1))</x:f>
      </x:c>
    </x:row>
    <x:row r="1061">
      <x:c r="A1061" s="11" t="n"/>
      <x:c r="B1061" s="5" t="n"/>
      <x:c r="C1061" s="12" t="n"/>
      <x:c r="D1061" s="12" t="n"/>
      <x:c r="E1061" s="12" t="n"/>
      <x:c r="F1061" s="12" t="n"/>
      <x:c r="G1061" s="13">
        <x:f>IF(F1061="","",IFERROR(VLOOKUP(F1061,Master_Data!$E$24:$G$33,2,FALSE),"9999"))</x:f>
      </x:c>
      <x:c r="H1061" s="12" t="n"/>
      <x:c r="I1061" s="12" t="n"/>
      <x:c r="J1061" s="12" t="n"/>
      <x:c r="K1061" s="12" t="n"/>
      <x:c r="L1061" s="11" t="n"/>
      <x:c r="M1061" s="9" t="n"/>
      <x:c r="N1061" s="12" t="n"/>
      <x:c r="O1061" s="6">
        <x:f>IF(N1061="","",IFERROR(VLOOKUP(N1061,Master_Data!$A$5:$C$8,3,FALSE),0))</x:f>
      </x:c>
      <x:c r="P1061" s="7">
        <x:f>IF(M1061="","",M1061*O1061)</x:f>
      </x:c>
      <x:c r="Q1061" s="7">
        <x:f>IF(M1061="","",M1061+P1061)</x:f>
      </x:c>
      <x:c r="R1061" s="7">
        <x:f>IF(K1061&lt;&gt;"Paid",0,IF(C1061="Income",Q1061,-Q1061))</x:f>
      </x:c>
      <x:c r="S1061" s="14">
        <x:f>IF(A1061="","",DATE(YEAR(A1061),MONTH(A1061),1))</x:f>
      </x:c>
      <x:c r="T1061" s="14">
        <x:f>IF(L1061="","",DATE(YEAR(L1061),MONTH(L1061),1))</x:f>
      </x:c>
    </x:row>
    <x:row r="1062">
      <x:c r="A1062" s="11" t="n"/>
      <x:c r="B1062" s="5" t="n"/>
      <x:c r="C1062" s="12" t="n"/>
      <x:c r="D1062" s="12" t="n"/>
      <x:c r="E1062" s="12" t="n"/>
      <x:c r="F1062" s="12" t="n"/>
      <x:c r="G1062" s="13">
        <x:f>IF(F1062="","",IFERROR(VLOOKUP(F1062,Master_Data!$E$24:$G$33,2,FALSE),"9999"))</x:f>
      </x:c>
      <x:c r="H1062" s="12" t="n"/>
      <x:c r="I1062" s="12" t="n"/>
      <x:c r="J1062" s="12" t="n"/>
      <x:c r="K1062" s="12" t="n"/>
      <x:c r="L1062" s="11" t="n"/>
      <x:c r="M1062" s="9" t="n"/>
      <x:c r="N1062" s="12" t="n"/>
      <x:c r="O1062" s="6">
        <x:f>IF(N1062="","",IFERROR(VLOOKUP(N1062,Master_Data!$A$5:$C$8,3,FALSE),0))</x:f>
      </x:c>
      <x:c r="P1062" s="7">
        <x:f>IF(M1062="","",M1062*O1062)</x:f>
      </x:c>
      <x:c r="Q1062" s="7">
        <x:f>IF(M1062="","",M1062+P1062)</x:f>
      </x:c>
      <x:c r="R1062" s="7">
        <x:f>IF(K1062&lt;&gt;"Paid",0,IF(C1062="Income",Q1062,-Q1062))</x:f>
      </x:c>
      <x:c r="S1062" s="14">
        <x:f>IF(A1062="","",DATE(YEAR(A1062),MONTH(A1062),1))</x:f>
      </x:c>
      <x:c r="T1062" s="14">
        <x:f>IF(L1062="","",DATE(YEAR(L1062),MONTH(L1062),1))</x:f>
      </x:c>
    </x:row>
    <x:row r="1063">
      <x:c r="A1063" s="11" t="n"/>
      <x:c r="B1063" s="5" t="n"/>
      <x:c r="C1063" s="12" t="n"/>
      <x:c r="D1063" s="12" t="n"/>
      <x:c r="E1063" s="12" t="n"/>
      <x:c r="F1063" s="12" t="n"/>
      <x:c r="G1063" s="13">
        <x:f>IF(F1063="","",IFERROR(VLOOKUP(F1063,Master_Data!$E$24:$G$33,2,FALSE),"9999"))</x:f>
      </x:c>
      <x:c r="H1063" s="12" t="n"/>
      <x:c r="I1063" s="12" t="n"/>
      <x:c r="J1063" s="12" t="n"/>
      <x:c r="K1063" s="12" t="n"/>
      <x:c r="L1063" s="11" t="n"/>
      <x:c r="M1063" s="9" t="n"/>
      <x:c r="N1063" s="12" t="n"/>
      <x:c r="O1063" s="6">
        <x:f>IF(N1063="","",IFERROR(VLOOKUP(N1063,Master_Data!$A$5:$C$8,3,FALSE),0))</x:f>
      </x:c>
      <x:c r="P1063" s="7">
        <x:f>IF(M1063="","",M1063*O1063)</x:f>
      </x:c>
      <x:c r="Q1063" s="7">
        <x:f>IF(M1063="","",M1063+P1063)</x:f>
      </x:c>
      <x:c r="R1063" s="7">
        <x:f>IF(K1063&lt;&gt;"Paid",0,IF(C1063="Income",Q1063,-Q1063))</x:f>
      </x:c>
      <x:c r="S1063" s="14">
        <x:f>IF(A1063="","",DATE(YEAR(A1063),MONTH(A1063),1))</x:f>
      </x:c>
      <x:c r="T1063" s="14">
        <x:f>IF(L1063="","",DATE(YEAR(L1063),MONTH(L1063),1))</x:f>
      </x:c>
    </x:row>
    <x:row r="1064">
      <x:c r="A1064" s="11" t="n"/>
      <x:c r="B1064" s="5" t="n"/>
      <x:c r="C1064" s="12" t="n"/>
      <x:c r="D1064" s="12" t="n"/>
      <x:c r="E1064" s="12" t="n"/>
      <x:c r="F1064" s="12" t="n"/>
      <x:c r="G1064" s="13">
        <x:f>IF(F1064="","",IFERROR(VLOOKUP(F1064,Master_Data!$E$24:$G$33,2,FALSE),"9999"))</x:f>
      </x:c>
      <x:c r="H1064" s="12" t="n"/>
      <x:c r="I1064" s="12" t="n"/>
      <x:c r="J1064" s="12" t="n"/>
      <x:c r="K1064" s="12" t="n"/>
      <x:c r="L1064" s="11" t="n"/>
      <x:c r="M1064" s="9" t="n"/>
      <x:c r="N1064" s="12" t="n"/>
      <x:c r="O1064" s="6">
        <x:f>IF(N1064="","",IFERROR(VLOOKUP(N1064,Master_Data!$A$5:$C$8,3,FALSE),0))</x:f>
      </x:c>
      <x:c r="P1064" s="7">
        <x:f>IF(M1064="","",M1064*O1064)</x:f>
      </x:c>
      <x:c r="Q1064" s="7">
        <x:f>IF(M1064="","",M1064+P1064)</x:f>
      </x:c>
      <x:c r="R1064" s="7">
        <x:f>IF(K1064&lt;&gt;"Paid",0,IF(C1064="Income",Q1064,-Q1064))</x:f>
      </x:c>
      <x:c r="S1064" s="14">
        <x:f>IF(A1064="","",DATE(YEAR(A1064),MONTH(A1064),1))</x:f>
      </x:c>
      <x:c r="T1064" s="14">
        <x:f>IF(L1064="","",DATE(YEAR(L1064),MONTH(L1064),1))</x:f>
      </x:c>
    </x:row>
    <x:row r="1065">
      <x:c r="A1065" s="11" t="n"/>
      <x:c r="B1065" s="5" t="n"/>
      <x:c r="C1065" s="12" t="n"/>
      <x:c r="D1065" s="12" t="n"/>
      <x:c r="E1065" s="12" t="n"/>
      <x:c r="F1065" s="12" t="n"/>
      <x:c r="G1065" s="13">
        <x:f>IF(F1065="","",IFERROR(VLOOKUP(F1065,Master_Data!$E$24:$G$33,2,FALSE),"9999"))</x:f>
      </x:c>
      <x:c r="H1065" s="12" t="n"/>
      <x:c r="I1065" s="12" t="n"/>
      <x:c r="J1065" s="12" t="n"/>
      <x:c r="K1065" s="12" t="n"/>
      <x:c r="L1065" s="11" t="n"/>
      <x:c r="M1065" s="9" t="n"/>
      <x:c r="N1065" s="12" t="n"/>
      <x:c r="O1065" s="6">
        <x:f>IF(N1065="","",IFERROR(VLOOKUP(N1065,Master_Data!$A$5:$C$8,3,FALSE),0))</x:f>
      </x:c>
      <x:c r="P1065" s="7">
        <x:f>IF(M1065="","",M1065*O1065)</x:f>
      </x:c>
      <x:c r="Q1065" s="7">
        <x:f>IF(M1065="","",M1065+P1065)</x:f>
      </x:c>
      <x:c r="R1065" s="7">
        <x:f>IF(K1065&lt;&gt;"Paid",0,IF(C1065="Income",Q1065,-Q1065))</x:f>
      </x:c>
      <x:c r="S1065" s="14">
        <x:f>IF(A1065="","",DATE(YEAR(A1065),MONTH(A1065),1))</x:f>
      </x:c>
      <x:c r="T1065" s="14">
        <x:f>IF(L1065="","",DATE(YEAR(L1065),MONTH(L1065),1))</x:f>
      </x:c>
    </x:row>
    <x:row r="1066">
      <x:c r="A1066" s="11" t="n"/>
      <x:c r="B1066" s="5" t="n"/>
      <x:c r="C1066" s="12" t="n"/>
      <x:c r="D1066" s="12" t="n"/>
      <x:c r="E1066" s="12" t="n"/>
      <x:c r="F1066" s="12" t="n"/>
      <x:c r="G1066" s="13">
        <x:f>IF(F1066="","",IFERROR(VLOOKUP(F1066,Master_Data!$E$24:$G$33,2,FALSE),"9999"))</x:f>
      </x:c>
      <x:c r="H1066" s="12" t="n"/>
      <x:c r="I1066" s="12" t="n"/>
      <x:c r="J1066" s="12" t="n"/>
      <x:c r="K1066" s="12" t="n"/>
      <x:c r="L1066" s="11" t="n"/>
      <x:c r="M1066" s="9" t="n"/>
      <x:c r="N1066" s="12" t="n"/>
      <x:c r="O1066" s="6">
        <x:f>IF(N1066="","",IFERROR(VLOOKUP(N1066,Master_Data!$A$5:$C$8,3,FALSE),0))</x:f>
      </x:c>
      <x:c r="P1066" s="7">
        <x:f>IF(M1066="","",M1066*O1066)</x:f>
      </x:c>
      <x:c r="Q1066" s="7">
        <x:f>IF(M1066="","",M1066+P1066)</x:f>
      </x:c>
      <x:c r="R1066" s="7">
        <x:f>IF(K1066&lt;&gt;"Paid",0,IF(C1066="Income",Q1066,-Q1066))</x:f>
      </x:c>
      <x:c r="S1066" s="14">
        <x:f>IF(A1066="","",DATE(YEAR(A1066),MONTH(A1066),1))</x:f>
      </x:c>
      <x:c r="T1066" s="14">
        <x:f>IF(L1066="","",DATE(YEAR(L1066),MONTH(L1066),1))</x:f>
      </x:c>
    </x:row>
    <x:row r="1067">
      <x:c r="A1067" s="11" t="n"/>
      <x:c r="B1067" s="5" t="n"/>
      <x:c r="C1067" s="12" t="n"/>
      <x:c r="D1067" s="12" t="n"/>
      <x:c r="E1067" s="12" t="n"/>
      <x:c r="F1067" s="12" t="n"/>
      <x:c r="G1067" s="13">
        <x:f>IF(F1067="","",IFERROR(VLOOKUP(F1067,Master_Data!$E$24:$G$33,2,FALSE),"9999"))</x:f>
      </x:c>
      <x:c r="H1067" s="12" t="n"/>
      <x:c r="I1067" s="12" t="n"/>
      <x:c r="J1067" s="12" t="n"/>
      <x:c r="K1067" s="12" t="n"/>
      <x:c r="L1067" s="11" t="n"/>
      <x:c r="M1067" s="9" t="n"/>
      <x:c r="N1067" s="12" t="n"/>
      <x:c r="O1067" s="6">
        <x:f>IF(N1067="","",IFERROR(VLOOKUP(N1067,Master_Data!$A$5:$C$8,3,FALSE),0))</x:f>
      </x:c>
      <x:c r="P1067" s="7">
        <x:f>IF(M1067="","",M1067*O1067)</x:f>
      </x:c>
      <x:c r="Q1067" s="7">
        <x:f>IF(M1067="","",M1067+P1067)</x:f>
      </x:c>
      <x:c r="R1067" s="7">
        <x:f>IF(K1067&lt;&gt;"Paid",0,IF(C1067="Income",Q1067,-Q1067))</x:f>
      </x:c>
      <x:c r="S1067" s="14">
        <x:f>IF(A1067="","",DATE(YEAR(A1067),MONTH(A1067),1))</x:f>
      </x:c>
      <x:c r="T1067" s="14">
        <x:f>IF(L1067="","",DATE(YEAR(L1067),MONTH(L1067),1))</x:f>
      </x:c>
    </x:row>
    <x:row r="1068">
      <x:c r="A1068" s="11" t="n"/>
      <x:c r="B1068" s="5" t="n"/>
      <x:c r="C1068" s="12" t="n"/>
      <x:c r="D1068" s="12" t="n"/>
      <x:c r="E1068" s="12" t="n"/>
      <x:c r="F1068" s="12" t="n"/>
      <x:c r="G1068" s="13">
        <x:f>IF(F1068="","",IFERROR(VLOOKUP(F1068,Master_Data!$E$24:$G$33,2,FALSE),"9999"))</x:f>
      </x:c>
      <x:c r="H1068" s="12" t="n"/>
      <x:c r="I1068" s="12" t="n"/>
      <x:c r="J1068" s="12" t="n"/>
      <x:c r="K1068" s="12" t="n"/>
      <x:c r="L1068" s="11" t="n"/>
      <x:c r="M1068" s="9" t="n"/>
      <x:c r="N1068" s="12" t="n"/>
      <x:c r="O1068" s="6">
        <x:f>IF(N1068="","",IFERROR(VLOOKUP(N1068,Master_Data!$A$5:$C$8,3,FALSE),0))</x:f>
      </x:c>
      <x:c r="P1068" s="7">
        <x:f>IF(M1068="","",M1068*O1068)</x:f>
      </x:c>
      <x:c r="Q1068" s="7">
        <x:f>IF(M1068="","",M1068+P1068)</x:f>
      </x:c>
      <x:c r="R1068" s="7">
        <x:f>IF(K1068&lt;&gt;"Paid",0,IF(C1068="Income",Q1068,-Q1068))</x:f>
      </x:c>
      <x:c r="S1068" s="14">
        <x:f>IF(A1068="","",DATE(YEAR(A1068),MONTH(A1068),1))</x:f>
      </x:c>
      <x:c r="T1068" s="14">
        <x:f>IF(L1068="","",DATE(YEAR(L1068),MONTH(L1068),1))</x:f>
      </x:c>
    </x:row>
    <x:row r="1069">
      <x:c r="A1069" s="11" t="n"/>
      <x:c r="B1069" s="5" t="n"/>
      <x:c r="C1069" s="12" t="n"/>
      <x:c r="D1069" s="12" t="n"/>
      <x:c r="E1069" s="12" t="n"/>
      <x:c r="F1069" s="12" t="n"/>
      <x:c r="G1069" s="13">
        <x:f>IF(F1069="","",IFERROR(VLOOKUP(F1069,Master_Data!$E$24:$G$33,2,FALSE),"9999"))</x:f>
      </x:c>
      <x:c r="H1069" s="12" t="n"/>
      <x:c r="I1069" s="12" t="n"/>
      <x:c r="J1069" s="12" t="n"/>
      <x:c r="K1069" s="12" t="n"/>
      <x:c r="L1069" s="11" t="n"/>
      <x:c r="M1069" s="9" t="n"/>
      <x:c r="N1069" s="12" t="n"/>
      <x:c r="O1069" s="6">
        <x:f>IF(N1069="","",IFERROR(VLOOKUP(N1069,Master_Data!$A$5:$C$8,3,FALSE),0))</x:f>
      </x:c>
      <x:c r="P1069" s="7">
        <x:f>IF(M1069="","",M1069*O1069)</x:f>
      </x:c>
      <x:c r="Q1069" s="7">
        <x:f>IF(M1069="","",M1069+P1069)</x:f>
      </x:c>
      <x:c r="R1069" s="7">
        <x:f>IF(K1069&lt;&gt;"Paid",0,IF(C1069="Income",Q1069,-Q1069))</x:f>
      </x:c>
      <x:c r="S1069" s="14">
        <x:f>IF(A1069="","",DATE(YEAR(A1069),MONTH(A1069),1))</x:f>
      </x:c>
      <x:c r="T1069" s="14">
        <x:f>IF(L1069="","",DATE(YEAR(L1069),MONTH(L1069),1))</x:f>
      </x:c>
    </x:row>
    <x:row r="1070">
      <x:c r="A1070" s="11" t="n"/>
      <x:c r="B1070" s="5" t="n"/>
      <x:c r="C1070" s="12" t="n"/>
      <x:c r="D1070" s="12" t="n"/>
      <x:c r="E1070" s="12" t="n"/>
      <x:c r="F1070" s="12" t="n"/>
      <x:c r="G1070" s="13">
        <x:f>IF(F1070="","",IFERROR(VLOOKUP(F1070,Master_Data!$E$24:$G$33,2,FALSE),"9999"))</x:f>
      </x:c>
      <x:c r="H1070" s="12" t="n"/>
      <x:c r="I1070" s="12" t="n"/>
      <x:c r="J1070" s="12" t="n"/>
      <x:c r="K1070" s="12" t="n"/>
      <x:c r="L1070" s="11" t="n"/>
      <x:c r="M1070" s="9" t="n"/>
      <x:c r="N1070" s="12" t="n"/>
      <x:c r="O1070" s="6">
        <x:f>IF(N1070="","",IFERROR(VLOOKUP(N1070,Master_Data!$A$5:$C$8,3,FALSE),0))</x:f>
      </x:c>
      <x:c r="P1070" s="7">
        <x:f>IF(M1070="","",M1070*O1070)</x:f>
      </x:c>
      <x:c r="Q1070" s="7">
        <x:f>IF(M1070="","",M1070+P1070)</x:f>
      </x:c>
      <x:c r="R1070" s="7">
        <x:f>IF(K1070&lt;&gt;"Paid",0,IF(C1070="Income",Q1070,-Q1070))</x:f>
      </x:c>
      <x:c r="S1070" s="14">
        <x:f>IF(A1070="","",DATE(YEAR(A1070),MONTH(A1070),1))</x:f>
      </x:c>
      <x:c r="T1070" s="14">
        <x:f>IF(L1070="","",DATE(YEAR(L1070),MONTH(L1070),1))</x:f>
      </x:c>
    </x:row>
    <x:row r="1071">
      <x:c r="A1071" s="11" t="n"/>
      <x:c r="B1071" s="5" t="n"/>
      <x:c r="C1071" s="12" t="n"/>
      <x:c r="D1071" s="12" t="n"/>
      <x:c r="E1071" s="12" t="n"/>
      <x:c r="F1071" s="12" t="n"/>
      <x:c r="G1071" s="13">
        <x:f>IF(F1071="","",IFERROR(VLOOKUP(F1071,Master_Data!$E$24:$G$33,2,FALSE),"9999"))</x:f>
      </x:c>
      <x:c r="H1071" s="12" t="n"/>
      <x:c r="I1071" s="12" t="n"/>
      <x:c r="J1071" s="12" t="n"/>
      <x:c r="K1071" s="12" t="n"/>
      <x:c r="L1071" s="11" t="n"/>
      <x:c r="M1071" s="9" t="n"/>
      <x:c r="N1071" s="12" t="n"/>
      <x:c r="O1071" s="6">
        <x:f>IF(N1071="","",IFERROR(VLOOKUP(N1071,Master_Data!$A$5:$C$8,3,FALSE),0))</x:f>
      </x:c>
      <x:c r="P1071" s="7">
        <x:f>IF(M1071="","",M1071*O1071)</x:f>
      </x:c>
      <x:c r="Q1071" s="7">
        <x:f>IF(M1071="","",M1071+P1071)</x:f>
      </x:c>
      <x:c r="R1071" s="7">
        <x:f>IF(K1071&lt;&gt;"Paid",0,IF(C1071="Income",Q1071,-Q1071))</x:f>
      </x:c>
      <x:c r="S1071" s="14">
        <x:f>IF(A1071="","",DATE(YEAR(A1071),MONTH(A1071),1))</x:f>
      </x:c>
      <x:c r="T1071" s="14">
        <x:f>IF(L1071="","",DATE(YEAR(L1071),MONTH(L1071),1))</x:f>
      </x:c>
    </x:row>
    <x:row r="1072">
      <x:c r="A1072" s="11" t="n"/>
      <x:c r="B1072" s="5" t="n"/>
      <x:c r="C1072" s="12" t="n"/>
      <x:c r="D1072" s="12" t="n"/>
      <x:c r="E1072" s="12" t="n"/>
      <x:c r="F1072" s="12" t="n"/>
      <x:c r="G1072" s="13">
        <x:f>IF(F1072="","",IFERROR(VLOOKUP(F1072,Master_Data!$E$24:$G$33,2,FALSE),"9999"))</x:f>
      </x:c>
      <x:c r="H1072" s="12" t="n"/>
      <x:c r="I1072" s="12" t="n"/>
      <x:c r="J1072" s="12" t="n"/>
      <x:c r="K1072" s="12" t="n"/>
      <x:c r="L1072" s="11" t="n"/>
      <x:c r="M1072" s="9" t="n"/>
      <x:c r="N1072" s="12" t="n"/>
      <x:c r="O1072" s="6">
        <x:f>IF(N1072="","",IFERROR(VLOOKUP(N1072,Master_Data!$A$5:$C$8,3,FALSE),0))</x:f>
      </x:c>
      <x:c r="P1072" s="7">
        <x:f>IF(M1072="","",M1072*O1072)</x:f>
      </x:c>
      <x:c r="Q1072" s="7">
        <x:f>IF(M1072="","",M1072+P1072)</x:f>
      </x:c>
      <x:c r="R1072" s="7">
        <x:f>IF(K1072&lt;&gt;"Paid",0,IF(C1072="Income",Q1072,-Q1072))</x:f>
      </x:c>
      <x:c r="S1072" s="14">
        <x:f>IF(A1072="","",DATE(YEAR(A1072),MONTH(A1072),1))</x:f>
      </x:c>
      <x:c r="T1072" s="14">
        <x:f>IF(L1072="","",DATE(YEAR(L1072),MONTH(L1072),1))</x:f>
      </x:c>
    </x:row>
    <x:row r="1073">
      <x:c r="A1073" s="11" t="n"/>
      <x:c r="B1073" s="5" t="n"/>
      <x:c r="C1073" s="12" t="n"/>
      <x:c r="D1073" s="12" t="n"/>
      <x:c r="E1073" s="12" t="n"/>
      <x:c r="F1073" s="12" t="n"/>
      <x:c r="G1073" s="13">
        <x:f>IF(F1073="","",IFERROR(VLOOKUP(F1073,Master_Data!$E$24:$G$33,2,FALSE),"9999"))</x:f>
      </x:c>
      <x:c r="H1073" s="12" t="n"/>
      <x:c r="I1073" s="12" t="n"/>
      <x:c r="J1073" s="12" t="n"/>
      <x:c r="K1073" s="12" t="n"/>
      <x:c r="L1073" s="11" t="n"/>
      <x:c r="M1073" s="9" t="n"/>
      <x:c r="N1073" s="12" t="n"/>
      <x:c r="O1073" s="6">
        <x:f>IF(N1073="","",IFERROR(VLOOKUP(N1073,Master_Data!$A$5:$C$8,3,FALSE),0))</x:f>
      </x:c>
      <x:c r="P1073" s="7">
        <x:f>IF(M1073="","",M1073*O1073)</x:f>
      </x:c>
      <x:c r="Q1073" s="7">
        <x:f>IF(M1073="","",M1073+P1073)</x:f>
      </x:c>
      <x:c r="R1073" s="7">
        <x:f>IF(K1073&lt;&gt;"Paid",0,IF(C1073="Income",Q1073,-Q1073))</x:f>
      </x:c>
      <x:c r="S1073" s="14">
        <x:f>IF(A1073="","",DATE(YEAR(A1073),MONTH(A1073),1))</x:f>
      </x:c>
      <x:c r="T1073" s="14">
        <x:f>IF(L1073="","",DATE(YEAR(L1073),MONTH(L1073),1))</x:f>
      </x:c>
    </x:row>
    <x:row r="1074">
      <x:c r="A1074" s="11" t="n"/>
      <x:c r="B1074" s="5" t="n"/>
      <x:c r="C1074" s="12" t="n"/>
      <x:c r="D1074" s="12" t="n"/>
      <x:c r="E1074" s="12" t="n"/>
      <x:c r="F1074" s="12" t="n"/>
      <x:c r="G1074" s="13">
        <x:f>IF(F1074="","",IFERROR(VLOOKUP(F1074,Master_Data!$E$24:$G$33,2,FALSE),"9999"))</x:f>
      </x:c>
      <x:c r="H1074" s="12" t="n"/>
      <x:c r="I1074" s="12" t="n"/>
      <x:c r="J1074" s="12" t="n"/>
      <x:c r="K1074" s="12" t="n"/>
      <x:c r="L1074" s="11" t="n"/>
      <x:c r="M1074" s="9" t="n"/>
      <x:c r="N1074" s="12" t="n"/>
      <x:c r="O1074" s="6">
        <x:f>IF(N1074="","",IFERROR(VLOOKUP(N1074,Master_Data!$A$5:$C$8,3,FALSE),0))</x:f>
      </x:c>
      <x:c r="P1074" s="7">
        <x:f>IF(M1074="","",M1074*O1074)</x:f>
      </x:c>
      <x:c r="Q1074" s="7">
        <x:f>IF(M1074="","",M1074+P1074)</x:f>
      </x:c>
      <x:c r="R1074" s="7">
        <x:f>IF(K1074&lt;&gt;"Paid",0,IF(C1074="Income",Q1074,-Q1074))</x:f>
      </x:c>
      <x:c r="S1074" s="14">
        <x:f>IF(A1074="","",DATE(YEAR(A1074),MONTH(A1074),1))</x:f>
      </x:c>
      <x:c r="T1074" s="14">
        <x:f>IF(L1074="","",DATE(YEAR(L1074),MONTH(L1074),1))</x:f>
      </x:c>
    </x:row>
    <x:row r="1075">
      <x:c r="A1075" s="11" t="n"/>
      <x:c r="B1075" s="5" t="n"/>
      <x:c r="C1075" s="12" t="n"/>
      <x:c r="D1075" s="12" t="n"/>
      <x:c r="E1075" s="12" t="n"/>
      <x:c r="F1075" s="12" t="n"/>
      <x:c r="G1075" s="13">
        <x:f>IF(F1075="","",IFERROR(VLOOKUP(F1075,Master_Data!$E$24:$G$33,2,FALSE),"9999"))</x:f>
      </x:c>
      <x:c r="H1075" s="12" t="n"/>
      <x:c r="I1075" s="12" t="n"/>
      <x:c r="J1075" s="12" t="n"/>
      <x:c r="K1075" s="12" t="n"/>
      <x:c r="L1075" s="11" t="n"/>
      <x:c r="M1075" s="9" t="n"/>
      <x:c r="N1075" s="12" t="n"/>
      <x:c r="O1075" s="6">
        <x:f>IF(N1075="","",IFERROR(VLOOKUP(N1075,Master_Data!$A$5:$C$8,3,FALSE),0))</x:f>
      </x:c>
      <x:c r="P1075" s="7">
        <x:f>IF(M1075="","",M1075*O1075)</x:f>
      </x:c>
      <x:c r="Q1075" s="7">
        <x:f>IF(M1075="","",M1075+P1075)</x:f>
      </x:c>
      <x:c r="R1075" s="7">
        <x:f>IF(K1075&lt;&gt;"Paid",0,IF(C1075="Income",Q1075,-Q1075))</x:f>
      </x:c>
      <x:c r="S1075" s="14">
        <x:f>IF(A1075="","",DATE(YEAR(A1075),MONTH(A1075),1))</x:f>
      </x:c>
      <x:c r="T1075" s="14">
        <x:f>IF(L1075="","",DATE(YEAR(L1075),MONTH(L1075),1))</x:f>
      </x:c>
    </x:row>
    <x:row r="1076">
      <x:c r="A1076" s="11" t="n"/>
      <x:c r="B1076" s="5" t="n"/>
      <x:c r="C1076" s="12" t="n"/>
      <x:c r="D1076" s="12" t="n"/>
      <x:c r="E1076" s="12" t="n"/>
      <x:c r="F1076" s="12" t="n"/>
      <x:c r="G1076" s="13">
        <x:f>IF(F1076="","",IFERROR(VLOOKUP(F1076,Master_Data!$E$24:$G$33,2,FALSE),"9999"))</x:f>
      </x:c>
      <x:c r="H1076" s="12" t="n"/>
      <x:c r="I1076" s="12" t="n"/>
      <x:c r="J1076" s="12" t="n"/>
      <x:c r="K1076" s="12" t="n"/>
      <x:c r="L1076" s="11" t="n"/>
      <x:c r="M1076" s="9" t="n"/>
      <x:c r="N1076" s="12" t="n"/>
      <x:c r="O1076" s="6">
        <x:f>IF(N1076="","",IFERROR(VLOOKUP(N1076,Master_Data!$A$5:$C$8,3,FALSE),0))</x:f>
      </x:c>
      <x:c r="P1076" s="7">
        <x:f>IF(M1076="","",M1076*O1076)</x:f>
      </x:c>
      <x:c r="Q1076" s="7">
        <x:f>IF(M1076="","",M1076+P1076)</x:f>
      </x:c>
      <x:c r="R1076" s="7">
        <x:f>IF(K1076&lt;&gt;"Paid",0,IF(C1076="Income",Q1076,-Q1076))</x:f>
      </x:c>
      <x:c r="S1076" s="14">
        <x:f>IF(A1076="","",DATE(YEAR(A1076),MONTH(A1076),1))</x:f>
      </x:c>
      <x:c r="T1076" s="14">
        <x:f>IF(L1076="","",DATE(YEAR(L1076),MONTH(L1076),1))</x:f>
      </x:c>
    </x:row>
    <x:row r="1077">
      <x:c r="A1077" s="11" t="n"/>
      <x:c r="B1077" s="5" t="n"/>
      <x:c r="C1077" s="12" t="n"/>
      <x:c r="D1077" s="12" t="n"/>
      <x:c r="E1077" s="12" t="n"/>
      <x:c r="F1077" s="12" t="n"/>
      <x:c r="G1077" s="13">
        <x:f>IF(F1077="","",IFERROR(VLOOKUP(F1077,Master_Data!$E$24:$G$33,2,FALSE),"9999"))</x:f>
      </x:c>
      <x:c r="H1077" s="12" t="n"/>
      <x:c r="I1077" s="12" t="n"/>
      <x:c r="J1077" s="12" t="n"/>
      <x:c r="K1077" s="12" t="n"/>
      <x:c r="L1077" s="11" t="n"/>
      <x:c r="M1077" s="9" t="n"/>
      <x:c r="N1077" s="12" t="n"/>
      <x:c r="O1077" s="6">
        <x:f>IF(N1077="","",IFERROR(VLOOKUP(N1077,Master_Data!$A$5:$C$8,3,FALSE),0))</x:f>
      </x:c>
      <x:c r="P1077" s="7">
        <x:f>IF(M1077="","",M1077*O1077)</x:f>
      </x:c>
      <x:c r="Q1077" s="7">
        <x:f>IF(M1077="","",M1077+P1077)</x:f>
      </x:c>
      <x:c r="R1077" s="7">
        <x:f>IF(K1077&lt;&gt;"Paid",0,IF(C1077="Income",Q1077,-Q1077))</x:f>
      </x:c>
      <x:c r="S1077" s="14">
        <x:f>IF(A1077="","",DATE(YEAR(A1077),MONTH(A1077),1))</x:f>
      </x:c>
      <x:c r="T1077" s="14">
        <x:f>IF(L1077="","",DATE(YEAR(L1077),MONTH(L1077),1))</x:f>
      </x:c>
    </x:row>
    <x:row r="1078">
      <x:c r="A1078" s="11" t="n"/>
      <x:c r="B1078" s="5" t="n"/>
      <x:c r="C1078" s="12" t="n"/>
      <x:c r="D1078" s="12" t="n"/>
      <x:c r="E1078" s="12" t="n"/>
      <x:c r="F1078" s="12" t="n"/>
      <x:c r="G1078" s="13">
        <x:f>IF(F1078="","",IFERROR(VLOOKUP(F1078,Master_Data!$E$24:$G$33,2,FALSE),"9999"))</x:f>
      </x:c>
      <x:c r="H1078" s="12" t="n"/>
      <x:c r="I1078" s="12" t="n"/>
      <x:c r="J1078" s="12" t="n"/>
      <x:c r="K1078" s="12" t="n"/>
      <x:c r="L1078" s="11" t="n"/>
      <x:c r="M1078" s="9" t="n"/>
      <x:c r="N1078" s="12" t="n"/>
      <x:c r="O1078" s="6">
        <x:f>IF(N1078="","",IFERROR(VLOOKUP(N1078,Master_Data!$A$5:$C$8,3,FALSE),0))</x:f>
      </x:c>
      <x:c r="P1078" s="7">
        <x:f>IF(M1078="","",M1078*O1078)</x:f>
      </x:c>
      <x:c r="Q1078" s="7">
        <x:f>IF(M1078="","",M1078+P1078)</x:f>
      </x:c>
      <x:c r="R1078" s="7">
        <x:f>IF(K1078&lt;&gt;"Paid",0,IF(C1078="Income",Q1078,-Q1078))</x:f>
      </x:c>
      <x:c r="S1078" s="14">
        <x:f>IF(A1078="","",DATE(YEAR(A1078),MONTH(A1078),1))</x:f>
      </x:c>
      <x:c r="T1078" s="14">
        <x:f>IF(L1078="","",DATE(YEAR(L1078),MONTH(L1078),1))</x:f>
      </x:c>
    </x:row>
    <x:row r="1079">
      <x:c r="A1079" s="11" t="n"/>
      <x:c r="B1079" s="5" t="n"/>
      <x:c r="C1079" s="12" t="n"/>
      <x:c r="D1079" s="12" t="n"/>
      <x:c r="E1079" s="12" t="n"/>
      <x:c r="F1079" s="12" t="n"/>
      <x:c r="G1079" s="13">
        <x:f>IF(F1079="","",IFERROR(VLOOKUP(F1079,Master_Data!$E$24:$G$33,2,FALSE),"9999"))</x:f>
      </x:c>
      <x:c r="H1079" s="12" t="n"/>
      <x:c r="I1079" s="12" t="n"/>
      <x:c r="J1079" s="12" t="n"/>
      <x:c r="K1079" s="12" t="n"/>
      <x:c r="L1079" s="11" t="n"/>
      <x:c r="M1079" s="9" t="n"/>
      <x:c r="N1079" s="12" t="n"/>
      <x:c r="O1079" s="6">
        <x:f>IF(N1079="","",IFERROR(VLOOKUP(N1079,Master_Data!$A$5:$C$8,3,FALSE),0))</x:f>
      </x:c>
      <x:c r="P1079" s="7">
        <x:f>IF(M1079="","",M1079*O1079)</x:f>
      </x:c>
      <x:c r="Q1079" s="7">
        <x:f>IF(M1079="","",M1079+P1079)</x:f>
      </x:c>
      <x:c r="R1079" s="7">
        <x:f>IF(K1079&lt;&gt;"Paid",0,IF(C1079="Income",Q1079,-Q1079))</x:f>
      </x:c>
      <x:c r="S1079" s="14">
        <x:f>IF(A1079="","",DATE(YEAR(A1079),MONTH(A1079),1))</x:f>
      </x:c>
      <x:c r="T1079" s="14">
        <x:f>IF(L1079="","",DATE(YEAR(L1079),MONTH(L1079),1))</x:f>
      </x:c>
    </x:row>
    <x:row r="1080">
      <x:c r="A1080" s="11" t="n"/>
      <x:c r="B1080" s="5" t="n"/>
      <x:c r="C1080" s="12" t="n"/>
      <x:c r="D1080" s="12" t="n"/>
      <x:c r="E1080" s="12" t="n"/>
      <x:c r="F1080" s="12" t="n"/>
      <x:c r="G1080" s="13">
        <x:f>IF(F1080="","",IFERROR(VLOOKUP(F1080,Master_Data!$E$24:$G$33,2,FALSE),"9999"))</x:f>
      </x:c>
      <x:c r="H1080" s="12" t="n"/>
      <x:c r="I1080" s="12" t="n"/>
      <x:c r="J1080" s="12" t="n"/>
      <x:c r="K1080" s="12" t="n"/>
      <x:c r="L1080" s="11" t="n"/>
      <x:c r="M1080" s="9" t="n"/>
      <x:c r="N1080" s="12" t="n"/>
      <x:c r="O1080" s="6">
        <x:f>IF(N1080="","",IFERROR(VLOOKUP(N1080,Master_Data!$A$5:$C$8,3,FALSE),0))</x:f>
      </x:c>
      <x:c r="P1080" s="7">
        <x:f>IF(M1080="","",M1080*O1080)</x:f>
      </x:c>
      <x:c r="Q1080" s="7">
        <x:f>IF(M1080="","",M1080+P1080)</x:f>
      </x:c>
      <x:c r="R1080" s="7">
        <x:f>IF(K1080&lt;&gt;"Paid",0,IF(C1080="Income",Q1080,-Q1080))</x:f>
      </x:c>
      <x:c r="S1080" s="14">
        <x:f>IF(A1080="","",DATE(YEAR(A1080),MONTH(A1080),1))</x:f>
      </x:c>
      <x:c r="T1080" s="14">
        <x:f>IF(L1080="","",DATE(YEAR(L1080),MONTH(L1080),1))</x:f>
      </x:c>
    </x:row>
    <x:row r="1081">
      <x:c r="A1081" s="11" t="n"/>
      <x:c r="B1081" s="5" t="n"/>
      <x:c r="C1081" s="12" t="n"/>
      <x:c r="D1081" s="12" t="n"/>
      <x:c r="E1081" s="12" t="n"/>
      <x:c r="F1081" s="12" t="n"/>
      <x:c r="G1081" s="13">
        <x:f>IF(F1081="","",IFERROR(VLOOKUP(F1081,Master_Data!$E$24:$G$33,2,FALSE),"9999"))</x:f>
      </x:c>
      <x:c r="H1081" s="12" t="n"/>
      <x:c r="I1081" s="12" t="n"/>
      <x:c r="J1081" s="12" t="n"/>
      <x:c r="K1081" s="12" t="n"/>
      <x:c r="L1081" s="11" t="n"/>
      <x:c r="M1081" s="9" t="n"/>
      <x:c r="N1081" s="12" t="n"/>
      <x:c r="O1081" s="6">
        <x:f>IF(N1081="","",IFERROR(VLOOKUP(N1081,Master_Data!$A$5:$C$8,3,FALSE),0))</x:f>
      </x:c>
      <x:c r="P1081" s="7">
        <x:f>IF(M1081="","",M1081*O1081)</x:f>
      </x:c>
      <x:c r="Q1081" s="7">
        <x:f>IF(M1081="","",M1081+P1081)</x:f>
      </x:c>
      <x:c r="R1081" s="7">
        <x:f>IF(K1081&lt;&gt;"Paid",0,IF(C1081="Income",Q1081,-Q1081))</x:f>
      </x:c>
      <x:c r="S1081" s="14">
        <x:f>IF(A1081="","",DATE(YEAR(A1081),MONTH(A1081),1))</x:f>
      </x:c>
      <x:c r="T1081" s="14">
        <x:f>IF(L1081="","",DATE(YEAR(L1081),MONTH(L1081),1))</x:f>
      </x:c>
    </x:row>
    <x:row r="1082">
      <x:c r="A1082" s="11" t="n"/>
      <x:c r="B1082" s="5" t="n"/>
      <x:c r="C1082" s="12" t="n"/>
      <x:c r="D1082" s="12" t="n"/>
      <x:c r="E1082" s="12" t="n"/>
      <x:c r="F1082" s="12" t="n"/>
      <x:c r="G1082" s="13">
        <x:f>IF(F1082="","",IFERROR(VLOOKUP(F1082,Master_Data!$E$24:$G$33,2,FALSE),"9999"))</x:f>
      </x:c>
      <x:c r="H1082" s="12" t="n"/>
      <x:c r="I1082" s="12" t="n"/>
      <x:c r="J1082" s="12" t="n"/>
      <x:c r="K1082" s="12" t="n"/>
      <x:c r="L1082" s="11" t="n"/>
      <x:c r="M1082" s="9" t="n"/>
      <x:c r="N1082" s="12" t="n"/>
      <x:c r="O1082" s="6">
        <x:f>IF(N1082="","",IFERROR(VLOOKUP(N1082,Master_Data!$A$5:$C$8,3,FALSE),0))</x:f>
      </x:c>
      <x:c r="P1082" s="7">
        <x:f>IF(M1082="","",M1082*O1082)</x:f>
      </x:c>
      <x:c r="Q1082" s="7">
        <x:f>IF(M1082="","",M1082+P1082)</x:f>
      </x:c>
      <x:c r="R1082" s="7">
        <x:f>IF(K1082&lt;&gt;"Paid",0,IF(C1082="Income",Q1082,-Q1082))</x:f>
      </x:c>
      <x:c r="S1082" s="14">
        <x:f>IF(A1082="","",DATE(YEAR(A1082),MONTH(A1082),1))</x:f>
      </x:c>
      <x:c r="T1082" s="14">
        <x:f>IF(L1082="","",DATE(YEAR(L1082),MONTH(L1082),1))</x:f>
      </x:c>
    </x:row>
    <x:row r="1083">
      <x:c r="A1083" s="11" t="n"/>
      <x:c r="B1083" s="5" t="n"/>
      <x:c r="C1083" s="12" t="n"/>
      <x:c r="D1083" s="12" t="n"/>
      <x:c r="E1083" s="12" t="n"/>
      <x:c r="F1083" s="12" t="n"/>
      <x:c r="G1083" s="13">
        <x:f>IF(F1083="","",IFERROR(VLOOKUP(F1083,Master_Data!$E$24:$G$33,2,FALSE),"9999"))</x:f>
      </x:c>
      <x:c r="H1083" s="12" t="n"/>
      <x:c r="I1083" s="12" t="n"/>
      <x:c r="J1083" s="12" t="n"/>
      <x:c r="K1083" s="12" t="n"/>
      <x:c r="L1083" s="11" t="n"/>
      <x:c r="M1083" s="9" t="n"/>
      <x:c r="N1083" s="12" t="n"/>
      <x:c r="O1083" s="6">
        <x:f>IF(N1083="","",IFERROR(VLOOKUP(N1083,Master_Data!$A$5:$C$8,3,FALSE),0))</x:f>
      </x:c>
      <x:c r="P1083" s="7">
        <x:f>IF(M1083="","",M1083*O1083)</x:f>
      </x:c>
      <x:c r="Q1083" s="7">
        <x:f>IF(M1083="","",M1083+P1083)</x:f>
      </x:c>
      <x:c r="R1083" s="7">
        <x:f>IF(K1083&lt;&gt;"Paid",0,IF(C1083="Income",Q1083,-Q1083))</x:f>
      </x:c>
      <x:c r="S1083" s="14">
        <x:f>IF(A1083="","",DATE(YEAR(A1083),MONTH(A1083),1))</x:f>
      </x:c>
      <x:c r="T1083" s="14">
        <x:f>IF(L1083="","",DATE(YEAR(L1083),MONTH(L1083),1))</x:f>
      </x:c>
    </x:row>
    <x:row r="1084">
      <x:c r="A1084" s="11" t="n"/>
      <x:c r="B1084" s="5" t="n"/>
      <x:c r="C1084" s="12" t="n"/>
      <x:c r="D1084" s="12" t="n"/>
      <x:c r="E1084" s="12" t="n"/>
      <x:c r="F1084" s="12" t="n"/>
      <x:c r="G1084" s="13">
        <x:f>IF(F1084="","",IFERROR(VLOOKUP(F1084,Master_Data!$E$24:$G$33,2,FALSE),"9999"))</x:f>
      </x:c>
      <x:c r="H1084" s="12" t="n"/>
      <x:c r="I1084" s="12" t="n"/>
      <x:c r="J1084" s="12" t="n"/>
      <x:c r="K1084" s="12" t="n"/>
      <x:c r="L1084" s="11" t="n"/>
      <x:c r="M1084" s="9" t="n"/>
      <x:c r="N1084" s="12" t="n"/>
      <x:c r="O1084" s="6">
        <x:f>IF(N1084="","",IFERROR(VLOOKUP(N1084,Master_Data!$A$5:$C$8,3,FALSE),0))</x:f>
      </x:c>
      <x:c r="P1084" s="7">
        <x:f>IF(M1084="","",M1084*O1084)</x:f>
      </x:c>
      <x:c r="Q1084" s="7">
        <x:f>IF(M1084="","",M1084+P1084)</x:f>
      </x:c>
      <x:c r="R1084" s="7">
        <x:f>IF(K1084&lt;&gt;"Paid",0,IF(C1084="Income",Q1084,-Q1084))</x:f>
      </x:c>
      <x:c r="S1084" s="14">
        <x:f>IF(A1084="","",DATE(YEAR(A1084),MONTH(A1084),1))</x:f>
      </x:c>
      <x:c r="T1084" s="14">
        <x:f>IF(L1084="","",DATE(YEAR(L1084),MONTH(L1084),1))</x:f>
      </x:c>
    </x:row>
    <x:row r="1085">
      <x:c r="A1085" s="11" t="n"/>
      <x:c r="B1085" s="5" t="n"/>
      <x:c r="C1085" s="12" t="n"/>
      <x:c r="D1085" s="12" t="n"/>
      <x:c r="E1085" s="12" t="n"/>
      <x:c r="F1085" s="12" t="n"/>
      <x:c r="G1085" s="13">
        <x:f>IF(F1085="","",IFERROR(VLOOKUP(F1085,Master_Data!$E$24:$G$33,2,FALSE),"9999"))</x:f>
      </x:c>
      <x:c r="H1085" s="12" t="n"/>
      <x:c r="I1085" s="12" t="n"/>
      <x:c r="J1085" s="12" t="n"/>
      <x:c r="K1085" s="12" t="n"/>
      <x:c r="L1085" s="11" t="n"/>
      <x:c r="M1085" s="9" t="n"/>
      <x:c r="N1085" s="12" t="n"/>
      <x:c r="O1085" s="6">
        <x:f>IF(N1085="","",IFERROR(VLOOKUP(N1085,Master_Data!$A$5:$C$8,3,FALSE),0))</x:f>
      </x:c>
      <x:c r="P1085" s="7">
        <x:f>IF(M1085="","",M1085*O1085)</x:f>
      </x:c>
      <x:c r="Q1085" s="7">
        <x:f>IF(M1085="","",M1085+P1085)</x:f>
      </x:c>
      <x:c r="R1085" s="7">
        <x:f>IF(K1085&lt;&gt;"Paid",0,IF(C1085="Income",Q1085,-Q1085))</x:f>
      </x:c>
      <x:c r="S1085" s="14">
        <x:f>IF(A1085="","",DATE(YEAR(A1085),MONTH(A1085),1))</x:f>
      </x:c>
      <x:c r="T1085" s="14">
        <x:f>IF(L1085="","",DATE(YEAR(L1085),MONTH(L1085),1))</x:f>
      </x:c>
    </x:row>
    <x:row r="1086">
      <x:c r="A1086" s="11" t="n"/>
      <x:c r="B1086" s="5" t="n"/>
      <x:c r="C1086" s="12" t="n"/>
      <x:c r="D1086" s="12" t="n"/>
      <x:c r="E1086" s="12" t="n"/>
      <x:c r="F1086" s="12" t="n"/>
      <x:c r="G1086" s="13">
        <x:f>IF(F1086="","",IFERROR(VLOOKUP(F1086,Master_Data!$E$24:$G$33,2,FALSE),"9999"))</x:f>
      </x:c>
      <x:c r="H1086" s="12" t="n"/>
      <x:c r="I1086" s="12" t="n"/>
      <x:c r="J1086" s="12" t="n"/>
      <x:c r="K1086" s="12" t="n"/>
      <x:c r="L1086" s="11" t="n"/>
      <x:c r="M1086" s="9" t="n"/>
      <x:c r="N1086" s="12" t="n"/>
      <x:c r="O1086" s="6">
        <x:f>IF(N1086="","",IFERROR(VLOOKUP(N1086,Master_Data!$A$5:$C$8,3,FALSE),0))</x:f>
      </x:c>
      <x:c r="P1086" s="7">
        <x:f>IF(M1086="","",M1086*O1086)</x:f>
      </x:c>
      <x:c r="Q1086" s="7">
        <x:f>IF(M1086="","",M1086+P1086)</x:f>
      </x:c>
      <x:c r="R1086" s="7">
        <x:f>IF(K1086&lt;&gt;"Paid",0,IF(C1086="Income",Q1086,-Q1086))</x:f>
      </x:c>
      <x:c r="S1086" s="14">
        <x:f>IF(A1086="","",DATE(YEAR(A1086),MONTH(A1086),1))</x:f>
      </x:c>
      <x:c r="T1086" s="14">
        <x:f>IF(L1086="","",DATE(YEAR(L1086),MONTH(L1086),1))</x:f>
      </x:c>
    </x:row>
    <x:row r="1087">
      <x:c r="A1087" s="11" t="n"/>
      <x:c r="B1087" s="5" t="n"/>
      <x:c r="C1087" s="12" t="n"/>
      <x:c r="D1087" s="12" t="n"/>
      <x:c r="E1087" s="12" t="n"/>
      <x:c r="F1087" s="12" t="n"/>
      <x:c r="G1087" s="13">
        <x:f>IF(F1087="","",IFERROR(VLOOKUP(F1087,Master_Data!$E$24:$G$33,2,FALSE),"9999"))</x:f>
      </x:c>
      <x:c r="H1087" s="12" t="n"/>
      <x:c r="I1087" s="12" t="n"/>
      <x:c r="J1087" s="12" t="n"/>
      <x:c r="K1087" s="12" t="n"/>
      <x:c r="L1087" s="11" t="n"/>
      <x:c r="M1087" s="9" t="n"/>
      <x:c r="N1087" s="12" t="n"/>
      <x:c r="O1087" s="6">
        <x:f>IF(N1087="","",IFERROR(VLOOKUP(N1087,Master_Data!$A$5:$C$8,3,FALSE),0))</x:f>
      </x:c>
      <x:c r="P1087" s="7">
        <x:f>IF(M1087="","",M1087*O1087)</x:f>
      </x:c>
      <x:c r="Q1087" s="7">
        <x:f>IF(M1087="","",M1087+P1087)</x:f>
      </x:c>
      <x:c r="R1087" s="7">
        <x:f>IF(K1087&lt;&gt;"Paid",0,IF(C1087="Income",Q1087,-Q1087))</x:f>
      </x:c>
      <x:c r="S1087" s="14">
        <x:f>IF(A1087="","",DATE(YEAR(A1087),MONTH(A1087),1))</x:f>
      </x:c>
      <x:c r="T1087" s="14">
        <x:f>IF(L1087="","",DATE(YEAR(L1087),MONTH(L1087),1))</x:f>
      </x:c>
    </x:row>
    <x:row r="1088">
      <x:c r="A1088" s="11" t="n"/>
      <x:c r="B1088" s="5" t="n"/>
      <x:c r="C1088" s="12" t="n"/>
      <x:c r="D1088" s="12" t="n"/>
      <x:c r="E1088" s="12" t="n"/>
      <x:c r="F1088" s="12" t="n"/>
      <x:c r="G1088" s="13">
        <x:f>IF(F1088="","",IFERROR(VLOOKUP(F1088,Master_Data!$E$24:$G$33,2,FALSE),"9999"))</x:f>
      </x:c>
      <x:c r="H1088" s="12" t="n"/>
      <x:c r="I1088" s="12" t="n"/>
      <x:c r="J1088" s="12" t="n"/>
      <x:c r="K1088" s="12" t="n"/>
      <x:c r="L1088" s="11" t="n"/>
      <x:c r="M1088" s="9" t="n"/>
      <x:c r="N1088" s="12" t="n"/>
      <x:c r="O1088" s="6">
        <x:f>IF(N1088="","",IFERROR(VLOOKUP(N1088,Master_Data!$A$5:$C$8,3,FALSE),0))</x:f>
      </x:c>
      <x:c r="P1088" s="7">
        <x:f>IF(M1088="","",M1088*O1088)</x:f>
      </x:c>
      <x:c r="Q1088" s="7">
        <x:f>IF(M1088="","",M1088+P1088)</x:f>
      </x:c>
      <x:c r="R1088" s="7">
        <x:f>IF(K1088&lt;&gt;"Paid",0,IF(C1088="Income",Q1088,-Q1088))</x:f>
      </x:c>
      <x:c r="S1088" s="14">
        <x:f>IF(A1088="","",DATE(YEAR(A1088),MONTH(A1088),1))</x:f>
      </x:c>
      <x:c r="T1088" s="14">
        <x:f>IF(L1088="","",DATE(YEAR(L1088),MONTH(L1088),1))</x:f>
      </x:c>
    </x:row>
    <x:row r="1089">
      <x:c r="A1089" s="11" t="n"/>
      <x:c r="B1089" s="5" t="n"/>
      <x:c r="C1089" s="12" t="n"/>
      <x:c r="D1089" s="12" t="n"/>
      <x:c r="E1089" s="12" t="n"/>
      <x:c r="F1089" s="12" t="n"/>
      <x:c r="G1089" s="13">
        <x:f>IF(F1089="","",IFERROR(VLOOKUP(F1089,Master_Data!$E$24:$G$33,2,FALSE),"9999"))</x:f>
      </x:c>
      <x:c r="H1089" s="12" t="n"/>
      <x:c r="I1089" s="12" t="n"/>
      <x:c r="J1089" s="12" t="n"/>
      <x:c r="K1089" s="12" t="n"/>
      <x:c r="L1089" s="11" t="n"/>
      <x:c r="M1089" s="9" t="n"/>
      <x:c r="N1089" s="12" t="n"/>
      <x:c r="O1089" s="6">
        <x:f>IF(N1089="","",IFERROR(VLOOKUP(N1089,Master_Data!$A$5:$C$8,3,FALSE),0))</x:f>
      </x:c>
      <x:c r="P1089" s="7">
        <x:f>IF(M1089="","",M1089*O1089)</x:f>
      </x:c>
      <x:c r="Q1089" s="7">
        <x:f>IF(M1089="","",M1089+P1089)</x:f>
      </x:c>
      <x:c r="R1089" s="7">
        <x:f>IF(K1089&lt;&gt;"Paid",0,IF(C1089="Income",Q1089,-Q1089))</x:f>
      </x:c>
      <x:c r="S1089" s="14">
        <x:f>IF(A1089="","",DATE(YEAR(A1089),MONTH(A1089),1))</x:f>
      </x:c>
      <x:c r="T1089" s="14">
        <x:f>IF(L1089="","",DATE(YEAR(L1089),MONTH(L1089),1))</x:f>
      </x:c>
    </x:row>
    <x:row r="1090">
      <x:c r="A1090" s="11" t="n"/>
      <x:c r="B1090" s="5" t="n"/>
      <x:c r="C1090" s="12" t="n"/>
      <x:c r="D1090" s="12" t="n"/>
      <x:c r="E1090" s="12" t="n"/>
      <x:c r="F1090" s="12" t="n"/>
      <x:c r="G1090" s="13">
        <x:f>IF(F1090="","",IFERROR(VLOOKUP(F1090,Master_Data!$E$24:$G$33,2,FALSE),"9999"))</x:f>
      </x:c>
      <x:c r="H1090" s="12" t="n"/>
      <x:c r="I1090" s="12" t="n"/>
      <x:c r="J1090" s="12" t="n"/>
      <x:c r="K1090" s="12" t="n"/>
      <x:c r="L1090" s="11" t="n"/>
      <x:c r="M1090" s="9" t="n"/>
      <x:c r="N1090" s="12" t="n"/>
      <x:c r="O1090" s="6">
        <x:f>IF(N1090="","",IFERROR(VLOOKUP(N1090,Master_Data!$A$5:$C$8,3,FALSE),0))</x:f>
      </x:c>
      <x:c r="P1090" s="7">
        <x:f>IF(M1090="","",M1090*O1090)</x:f>
      </x:c>
      <x:c r="Q1090" s="7">
        <x:f>IF(M1090="","",M1090+P1090)</x:f>
      </x:c>
      <x:c r="R1090" s="7">
        <x:f>IF(K1090&lt;&gt;"Paid",0,IF(C1090="Income",Q1090,-Q1090))</x:f>
      </x:c>
      <x:c r="S1090" s="14">
        <x:f>IF(A1090="","",DATE(YEAR(A1090),MONTH(A1090),1))</x:f>
      </x:c>
      <x:c r="T1090" s="14">
        <x:f>IF(L1090="","",DATE(YEAR(L1090),MONTH(L1090),1))</x:f>
      </x:c>
    </x:row>
    <x:row r="1091">
      <x:c r="A1091" s="11" t="n"/>
      <x:c r="B1091" s="5" t="n"/>
      <x:c r="C1091" s="12" t="n"/>
      <x:c r="D1091" s="12" t="n"/>
      <x:c r="E1091" s="12" t="n"/>
      <x:c r="F1091" s="12" t="n"/>
      <x:c r="G1091" s="13">
        <x:f>IF(F1091="","",IFERROR(VLOOKUP(F1091,Master_Data!$E$24:$G$33,2,FALSE),"9999"))</x:f>
      </x:c>
      <x:c r="H1091" s="12" t="n"/>
      <x:c r="I1091" s="12" t="n"/>
      <x:c r="J1091" s="12" t="n"/>
      <x:c r="K1091" s="12" t="n"/>
      <x:c r="L1091" s="11" t="n"/>
      <x:c r="M1091" s="9" t="n"/>
      <x:c r="N1091" s="12" t="n"/>
      <x:c r="O1091" s="6">
        <x:f>IF(N1091="","",IFERROR(VLOOKUP(N1091,Master_Data!$A$5:$C$8,3,FALSE),0))</x:f>
      </x:c>
      <x:c r="P1091" s="7">
        <x:f>IF(M1091="","",M1091*O1091)</x:f>
      </x:c>
      <x:c r="Q1091" s="7">
        <x:f>IF(M1091="","",M1091+P1091)</x:f>
      </x:c>
      <x:c r="R1091" s="7">
        <x:f>IF(K1091&lt;&gt;"Paid",0,IF(C1091="Income",Q1091,-Q1091))</x:f>
      </x:c>
      <x:c r="S1091" s="14">
        <x:f>IF(A1091="","",DATE(YEAR(A1091),MONTH(A1091),1))</x:f>
      </x:c>
      <x:c r="T1091" s="14">
        <x:f>IF(L1091="","",DATE(YEAR(L1091),MONTH(L1091),1))</x:f>
      </x:c>
    </x:row>
    <x:row r="1092">
      <x:c r="A1092" s="11" t="n"/>
      <x:c r="B1092" s="5" t="n"/>
      <x:c r="C1092" s="12" t="n"/>
      <x:c r="D1092" s="12" t="n"/>
      <x:c r="E1092" s="12" t="n"/>
      <x:c r="F1092" s="12" t="n"/>
      <x:c r="G1092" s="13">
        <x:f>IF(F1092="","",IFERROR(VLOOKUP(F1092,Master_Data!$E$24:$G$33,2,FALSE),"9999"))</x:f>
      </x:c>
      <x:c r="H1092" s="12" t="n"/>
      <x:c r="I1092" s="12" t="n"/>
      <x:c r="J1092" s="12" t="n"/>
      <x:c r="K1092" s="12" t="n"/>
      <x:c r="L1092" s="11" t="n"/>
      <x:c r="M1092" s="9" t="n"/>
      <x:c r="N1092" s="12" t="n"/>
      <x:c r="O1092" s="6">
        <x:f>IF(N1092="","",IFERROR(VLOOKUP(N1092,Master_Data!$A$5:$C$8,3,FALSE),0))</x:f>
      </x:c>
      <x:c r="P1092" s="7">
        <x:f>IF(M1092="","",M1092*O1092)</x:f>
      </x:c>
      <x:c r="Q1092" s="7">
        <x:f>IF(M1092="","",M1092+P1092)</x:f>
      </x:c>
      <x:c r="R1092" s="7">
        <x:f>IF(K1092&lt;&gt;"Paid",0,IF(C1092="Income",Q1092,-Q1092))</x:f>
      </x:c>
      <x:c r="S1092" s="14">
        <x:f>IF(A1092="","",DATE(YEAR(A1092),MONTH(A1092),1))</x:f>
      </x:c>
      <x:c r="T1092" s="14">
        <x:f>IF(L1092="","",DATE(YEAR(L1092),MONTH(L1092),1))</x:f>
      </x:c>
    </x:row>
    <x:row r="1093">
      <x:c r="A1093" s="11" t="n"/>
      <x:c r="B1093" s="5" t="n"/>
      <x:c r="C1093" s="12" t="n"/>
      <x:c r="D1093" s="12" t="n"/>
      <x:c r="E1093" s="12" t="n"/>
      <x:c r="F1093" s="12" t="n"/>
      <x:c r="G1093" s="13">
        <x:f>IF(F1093="","",IFERROR(VLOOKUP(F1093,Master_Data!$E$24:$G$33,2,FALSE),"9999"))</x:f>
      </x:c>
      <x:c r="H1093" s="12" t="n"/>
      <x:c r="I1093" s="12" t="n"/>
      <x:c r="J1093" s="12" t="n"/>
      <x:c r="K1093" s="12" t="n"/>
      <x:c r="L1093" s="11" t="n"/>
      <x:c r="M1093" s="9" t="n"/>
      <x:c r="N1093" s="12" t="n"/>
      <x:c r="O1093" s="6">
        <x:f>IF(N1093="","",IFERROR(VLOOKUP(N1093,Master_Data!$A$5:$C$8,3,FALSE),0))</x:f>
      </x:c>
      <x:c r="P1093" s="7">
        <x:f>IF(M1093="","",M1093*O1093)</x:f>
      </x:c>
      <x:c r="Q1093" s="7">
        <x:f>IF(M1093="","",M1093+P1093)</x:f>
      </x:c>
      <x:c r="R1093" s="7">
        <x:f>IF(K1093&lt;&gt;"Paid",0,IF(C1093="Income",Q1093,-Q1093))</x:f>
      </x:c>
      <x:c r="S1093" s="14">
        <x:f>IF(A1093="","",DATE(YEAR(A1093),MONTH(A1093),1))</x:f>
      </x:c>
      <x:c r="T1093" s="14">
        <x:f>IF(L1093="","",DATE(YEAR(L1093),MONTH(L1093),1))</x:f>
      </x:c>
    </x:row>
    <x:row r="1094">
      <x:c r="A1094" s="11" t="n"/>
      <x:c r="B1094" s="5" t="n"/>
      <x:c r="C1094" s="12" t="n"/>
      <x:c r="D1094" s="12" t="n"/>
      <x:c r="E1094" s="12" t="n"/>
      <x:c r="F1094" s="12" t="n"/>
      <x:c r="G1094" s="13">
        <x:f>IF(F1094="","",IFERROR(VLOOKUP(F1094,Master_Data!$E$24:$G$33,2,FALSE),"9999"))</x:f>
      </x:c>
      <x:c r="H1094" s="12" t="n"/>
      <x:c r="I1094" s="12" t="n"/>
      <x:c r="J1094" s="12" t="n"/>
      <x:c r="K1094" s="12" t="n"/>
      <x:c r="L1094" s="11" t="n"/>
      <x:c r="M1094" s="9" t="n"/>
      <x:c r="N1094" s="12" t="n"/>
      <x:c r="O1094" s="6">
        <x:f>IF(N1094="","",IFERROR(VLOOKUP(N1094,Master_Data!$A$5:$C$8,3,FALSE),0))</x:f>
      </x:c>
      <x:c r="P1094" s="7">
        <x:f>IF(M1094="","",M1094*O1094)</x:f>
      </x:c>
      <x:c r="Q1094" s="7">
        <x:f>IF(M1094="","",M1094+P1094)</x:f>
      </x:c>
      <x:c r="R1094" s="7">
        <x:f>IF(K1094&lt;&gt;"Paid",0,IF(C1094="Income",Q1094,-Q1094))</x:f>
      </x:c>
      <x:c r="S1094" s="14">
        <x:f>IF(A1094="","",DATE(YEAR(A1094),MONTH(A1094),1))</x:f>
      </x:c>
      <x:c r="T1094" s="14">
        <x:f>IF(L1094="","",DATE(YEAR(L1094),MONTH(L1094),1))</x:f>
      </x:c>
    </x:row>
    <x:row r="1095">
      <x:c r="A1095" s="11" t="n"/>
      <x:c r="B1095" s="5" t="n"/>
      <x:c r="C1095" s="12" t="n"/>
      <x:c r="D1095" s="12" t="n"/>
      <x:c r="E1095" s="12" t="n"/>
      <x:c r="F1095" s="12" t="n"/>
      <x:c r="G1095" s="13">
        <x:f>IF(F1095="","",IFERROR(VLOOKUP(F1095,Master_Data!$E$24:$G$33,2,FALSE),"9999"))</x:f>
      </x:c>
      <x:c r="H1095" s="12" t="n"/>
      <x:c r="I1095" s="12" t="n"/>
      <x:c r="J1095" s="12" t="n"/>
      <x:c r="K1095" s="12" t="n"/>
      <x:c r="L1095" s="11" t="n"/>
      <x:c r="M1095" s="9" t="n"/>
      <x:c r="N1095" s="12" t="n"/>
      <x:c r="O1095" s="6">
        <x:f>IF(N1095="","",IFERROR(VLOOKUP(N1095,Master_Data!$A$5:$C$8,3,FALSE),0))</x:f>
      </x:c>
      <x:c r="P1095" s="7">
        <x:f>IF(M1095="","",M1095*O1095)</x:f>
      </x:c>
      <x:c r="Q1095" s="7">
        <x:f>IF(M1095="","",M1095+P1095)</x:f>
      </x:c>
      <x:c r="R1095" s="7">
        <x:f>IF(K1095&lt;&gt;"Paid",0,IF(C1095="Income",Q1095,-Q1095))</x:f>
      </x:c>
      <x:c r="S1095" s="14">
        <x:f>IF(A1095="","",DATE(YEAR(A1095),MONTH(A1095),1))</x:f>
      </x:c>
      <x:c r="T1095" s="14">
        <x:f>IF(L1095="","",DATE(YEAR(L1095),MONTH(L1095),1))</x:f>
      </x:c>
    </x:row>
    <x:row r="1096">
      <x:c r="A1096" s="11" t="n"/>
      <x:c r="B1096" s="5" t="n"/>
      <x:c r="C1096" s="12" t="n"/>
      <x:c r="D1096" s="12" t="n"/>
      <x:c r="E1096" s="12" t="n"/>
      <x:c r="F1096" s="12" t="n"/>
      <x:c r="G1096" s="13">
        <x:f>IF(F1096="","",IFERROR(VLOOKUP(F1096,Master_Data!$E$24:$G$33,2,FALSE),"9999"))</x:f>
      </x:c>
      <x:c r="H1096" s="12" t="n"/>
      <x:c r="I1096" s="12" t="n"/>
      <x:c r="J1096" s="12" t="n"/>
      <x:c r="K1096" s="12" t="n"/>
      <x:c r="L1096" s="11" t="n"/>
      <x:c r="M1096" s="9" t="n"/>
      <x:c r="N1096" s="12" t="n"/>
      <x:c r="O1096" s="6">
        <x:f>IF(N1096="","",IFERROR(VLOOKUP(N1096,Master_Data!$A$5:$C$8,3,FALSE),0))</x:f>
      </x:c>
      <x:c r="P1096" s="7">
        <x:f>IF(M1096="","",M1096*O1096)</x:f>
      </x:c>
      <x:c r="Q1096" s="7">
        <x:f>IF(M1096="","",M1096+P1096)</x:f>
      </x:c>
      <x:c r="R1096" s="7">
        <x:f>IF(K1096&lt;&gt;"Paid",0,IF(C1096="Income",Q1096,-Q1096))</x:f>
      </x:c>
      <x:c r="S1096" s="14">
        <x:f>IF(A1096="","",DATE(YEAR(A1096),MONTH(A1096),1))</x:f>
      </x:c>
      <x:c r="T1096" s="14">
        <x:f>IF(L1096="","",DATE(YEAR(L1096),MONTH(L1096),1))</x:f>
      </x:c>
    </x:row>
    <x:row r="1097">
      <x:c r="A1097" s="11" t="n"/>
      <x:c r="B1097" s="5" t="n"/>
      <x:c r="C1097" s="12" t="n"/>
      <x:c r="D1097" s="12" t="n"/>
      <x:c r="E1097" s="12" t="n"/>
      <x:c r="F1097" s="12" t="n"/>
      <x:c r="G1097" s="13">
        <x:f>IF(F1097="","",IFERROR(VLOOKUP(F1097,Master_Data!$E$24:$G$33,2,FALSE),"9999"))</x:f>
      </x:c>
      <x:c r="H1097" s="12" t="n"/>
      <x:c r="I1097" s="12" t="n"/>
      <x:c r="J1097" s="12" t="n"/>
      <x:c r="K1097" s="12" t="n"/>
      <x:c r="L1097" s="11" t="n"/>
      <x:c r="M1097" s="9" t="n"/>
      <x:c r="N1097" s="12" t="n"/>
      <x:c r="O1097" s="6">
        <x:f>IF(N1097="","",IFERROR(VLOOKUP(N1097,Master_Data!$A$5:$C$8,3,FALSE),0))</x:f>
      </x:c>
      <x:c r="P1097" s="7">
        <x:f>IF(M1097="","",M1097*O1097)</x:f>
      </x:c>
      <x:c r="Q1097" s="7">
        <x:f>IF(M1097="","",M1097+P1097)</x:f>
      </x:c>
      <x:c r="R1097" s="7">
        <x:f>IF(K1097&lt;&gt;"Paid",0,IF(C1097="Income",Q1097,-Q1097))</x:f>
      </x:c>
      <x:c r="S1097" s="14">
        <x:f>IF(A1097="","",DATE(YEAR(A1097),MONTH(A1097),1))</x:f>
      </x:c>
      <x:c r="T1097" s="14">
        <x:f>IF(L1097="","",DATE(YEAR(L1097),MONTH(L1097),1))</x:f>
      </x:c>
    </x:row>
    <x:row r="1098">
      <x:c r="A1098" s="11" t="n"/>
      <x:c r="B1098" s="5" t="n"/>
      <x:c r="C1098" s="12" t="n"/>
      <x:c r="D1098" s="12" t="n"/>
      <x:c r="E1098" s="12" t="n"/>
      <x:c r="F1098" s="12" t="n"/>
      <x:c r="G1098" s="13">
        <x:f>IF(F1098="","",IFERROR(VLOOKUP(F1098,Master_Data!$E$24:$G$33,2,FALSE),"9999"))</x:f>
      </x:c>
      <x:c r="H1098" s="12" t="n"/>
      <x:c r="I1098" s="12" t="n"/>
      <x:c r="J1098" s="12" t="n"/>
      <x:c r="K1098" s="12" t="n"/>
      <x:c r="L1098" s="11" t="n"/>
      <x:c r="M1098" s="9" t="n"/>
      <x:c r="N1098" s="12" t="n"/>
      <x:c r="O1098" s="6">
        <x:f>IF(N1098="","",IFERROR(VLOOKUP(N1098,Master_Data!$A$5:$C$8,3,FALSE),0))</x:f>
      </x:c>
      <x:c r="P1098" s="7">
        <x:f>IF(M1098="","",M1098*O1098)</x:f>
      </x:c>
      <x:c r="Q1098" s="7">
        <x:f>IF(M1098="","",M1098+P1098)</x:f>
      </x:c>
      <x:c r="R1098" s="7">
        <x:f>IF(K1098&lt;&gt;"Paid",0,IF(C1098="Income",Q1098,-Q1098))</x:f>
      </x:c>
      <x:c r="S1098" s="14">
        <x:f>IF(A1098="","",DATE(YEAR(A1098),MONTH(A1098),1))</x:f>
      </x:c>
      <x:c r="T1098" s="14">
        <x:f>IF(L1098="","",DATE(YEAR(L1098),MONTH(L1098),1))</x:f>
      </x:c>
    </x:row>
    <x:row r="1099">
      <x:c r="A1099" s="11" t="n"/>
      <x:c r="B1099" s="5" t="n"/>
      <x:c r="C1099" s="12" t="n"/>
      <x:c r="D1099" s="12" t="n"/>
      <x:c r="E1099" s="12" t="n"/>
      <x:c r="F1099" s="12" t="n"/>
      <x:c r="G1099" s="13">
        <x:f>IF(F1099="","",IFERROR(VLOOKUP(F1099,Master_Data!$E$24:$G$33,2,FALSE),"9999"))</x:f>
      </x:c>
      <x:c r="H1099" s="12" t="n"/>
      <x:c r="I1099" s="12" t="n"/>
      <x:c r="J1099" s="12" t="n"/>
      <x:c r="K1099" s="12" t="n"/>
      <x:c r="L1099" s="11" t="n"/>
      <x:c r="M1099" s="9" t="n"/>
      <x:c r="N1099" s="12" t="n"/>
      <x:c r="O1099" s="6">
        <x:f>IF(N1099="","",IFERROR(VLOOKUP(N1099,Master_Data!$A$5:$C$8,3,FALSE),0))</x:f>
      </x:c>
      <x:c r="P1099" s="7">
        <x:f>IF(M1099="","",M1099*O1099)</x:f>
      </x:c>
      <x:c r="Q1099" s="7">
        <x:f>IF(M1099="","",M1099+P1099)</x:f>
      </x:c>
      <x:c r="R1099" s="7">
        <x:f>IF(K1099&lt;&gt;"Paid",0,IF(C1099="Income",Q1099,-Q1099))</x:f>
      </x:c>
      <x:c r="S1099" s="14">
        <x:f>IF(A1099="","",DATE(YEAR(A1099),MONTH(A1099),1))</x:f>
      </x:c>
      <x:c r="T1099" s="14">
        <x:f>IF(L1099="","",DATE(YEAR(L1099),MONTH(L1099),1))</x:f>
      </x:c>
    </x:row>
    <x:row r="1100">
      <x:c r="A1100" s="11" t="n"/>
      <x:c r="B1100" s="5" t="n"/>
      <x:c r="C1100" s="12" t="n"/>
      <x:c r="D1100" s="12" t="n"/>
      <x:c r="E1100" s="12" t="n"/>
      <x:c r="F1100" s="12" t="n"/>
      <x:c r="G1100" s="13">
        <x:f>IF(F1100="","",IFERROR(VLOOKUP(F1100,Master_Data!$E$24:$G$33,2,FALSE),"9999"))</x:f>
      </x:c>
      <x:c r="H1100" s="12" t="n"/>
      <x:c r="I1100" s="12" t="n"/>
      <x:c r="J1100" s="12" t="n"/>
      <x:c r="K1100" s="12" t="n"/>
      <x:c r="L1100" s="11" t="n"/>
      <x:c r="M1100" s="9" t="n"/>
      <x:c r="N1100" s="12" t="n"/>
      <x:c r="O1100" s="6">
        <x:f>IF(N1100="","",IFERROR(VLOOKUP(N1100,Master_Data!$A$5:$C$8,3,FALSE),0))</x:f>
      </x:c>
      <x:c r="P1100" s="7">
        <x:f>IF(M1100="","",M1100*O1100)</x:f>
      </x:c>
      <x:c r="Q1100" s="7">
        <x:f>IF(M1100="","",M1100+P1100)</x:f>
      </x:c>
      <x:c r="R1100" s="7">
        <x:f>IF(K1100&lt;&gt;"Paid",0,IF(C1100="Income",Q1100,-Q1100))</x:f>
      </x:c>
      <x:c r="S1100" s="14">
        <x:f>IF(A1100="","",DATE(YEAR(A1100),MONTH(A1100),1))</x:f>
      </x:c>
      <x:c r="T1100" s="14">
        <x:f>IF(L1100="","",DATE(YEAR(L1100),MONTH(L1100),1))</x:f>
      </x:c>
    </x:row>
    <x:row r="1101">
      <x:c r="A1101" s="11" t="n"/>
      <x:c r="B1101" s="5" t="n"/>
      <x:c r="C1101" s="12" t="n"/>
      <x:c r="D1101" s="12" t="n"/>
      <x:c r="E1101" s="12" t="n"/>
      <x:c r="F1101" s="12" t="n"/>
      <x:c r="G1101" s="13">
        <x:f>IF(F1101="","",IFERROR(VLOOKUP(F1101,Master_Data!$E$24:$G$33,2,FALSE),"9999"))</x:f>
      </x:c>
      <x:c r="H1101" s="12" t="n"/>
      <x:c r="I1101" s="12" t="n"/>
      <x:c r="J1101" s="12" t="n"/>
      <x:c r="K1101" s="12" t="n"/>
      <x:c r="L1101" s="11" t="n"/>
      <x:c r="M1101" s="9" t="n"/>
      <x:c r="N1101" s="12" t="n"/>
      <x:c r="O1101" s="6">
        <x:f>IF(N1101="","",IFERROR(VLOOKUP(N1101,Master_Data!$A$5:$C$8,3,FALSE),0))</x:f>
      </x:c>
      <x:c r="P1101" s="7">
        <x:f>IF(M1101="","",M1101*O1101)</x:f>
      </x:c>
      <x:c r="Q1101" s="7">
        <x:f>IF(M1101="","",M1101+P1101)</x:f>
      </x:c>
      <x:c r="R1101" s="7">
        <x:f>IF(K1101&lt;&gt;"Paid",0,IF(C1101="Income",Q1101,-Q1101))</x:f>
      </x:c>
      <x:c r="S1101" s="14">
        <x:f>IF(A1101="","",DATE(YEAR(A1101),MONTH(A1101),1))</x:f>
      </x:c>
      <x:c r="T1101" s="14">
        <x:f>IF(L1101="","",DATE(YEAR(L1101),MONTH(L1101),1))</x:f>
      </x:c>
    </x:row>
    <x:row r="1102">
      <x:c r="A1102" s="11" t="n"/>
      <x:c r="B1102" s="5" t="n"/>
      <x:c r="C1102" s="12" t="n"/>
      <x:c r="D1102" s="12" t="n"/>
      <x:c r="E1102" s="12" t="n"/>
      <x:c r="F1102" s="12" t="n"/>
      <x:c r="G1102" s="13">
        <x:f>IF(F1102="","",IFERROR(VLOOKUP(F1102,Master_Data!$E$24:$G$33,2,FALSE),"9999"))</x:f>
      </x:c>
      <x:c r="H1102" s="12" t="n"/>
      <x:c r="I1102" s="12" t="n"/>
      <x:c r="J1102" s="12" t="n"/>
      <x:c r="K1102" s="12" t="n"/>
      <x:c r="L1102" s="11" t="n"/>
      <x:c r="M1102" s="9" t="n"/>
      <x:c r="N1102" s="12" t="n"/>
      <x:c r="O1102" s="6">
        <x:f>IF(N1102="","",IFERROR(VLOOKUP(N1102,Master_Data!$A$5:$C$8,3,FALSE),0))</x:f>
      </x:c>
      <x:c r="P1102" s="7">
        <x:f>IF(M1102="","",M1102*O1102)</x:f>
      </x:c>
      <x:c r="Q1102" s="7">
        <x:f>IF(M1102="","",M1102+P1102)</x:f>
      </x:c>
      <x:c r="R1102" s="7">
        <x:f>IF(K1102&lt;&gt;"Paid",0,IF(C1102="Income",Q1102,-Q1102))</x:f>
      </x:c>
      <x:c r="S1102" s="14">
        <x:f>IF(A1102="","",DATE(YEAR(A1102),MONTH(A1102),1))</x:f>
      </x:c>
      <x:c r="T1102" s="14">
        <x:f>IF(L1102="","",DATE(YEAR(L1102),MONTH(L1102),1))</x:f>
      </x:c>
    </x:row>
    <x:row r="1103">
      <x:c r="A1103" s="11" t="n"/>
      <x:c r="B1103" s="5" t="n"/>
      <x:c r="C1103" s="12" t="n"/>
      <x:c r="D1103" s="12" t="n"/>
      <x:c r="E1103" s="12" t="n"/>
      <x:c r="F1103" s="12" t="n"/>
      <x:c r="G1103" s="13">
        <x:f>IF(F1103="","",IFERROR(VLOOKUP(F1103,Master_Data!$E$24:$G$33,2,FALSE),"9999"))</x:f>
      </x:c>
      <x:c r="H1103" s="12" t="n"/>
      <x:c r="I1103" s="12" t="n"/>
      <x:c r="J1103" s="12" t="n"/>
      <x:c r="K1103" s="12" t="n"/>
      <x:c r="L1103" s="11" t="n"/>
      <x:c r="M1103" s="9" t="n"/>
      <x:c r="N1103" s="12" t="n"/>
      <x:c r="O1103" s="6">
        <x:f>IF(N1103="","",IFERROR(VLOOKUP(N1103,Master_Data!$A$5:$C$8,3,FALSE),0))</x:f>
      </x:c>
      <x:c r="P1103" s="7">
        <x:f>IF(M1103="","",M1103*O1103)</x:f>
      </x:c>
      <x:c r="Q1103" s="7">
        <x:f>IF(M1103="","",M1103+P1103)</x:f>
      </x:c>
      <x:c r="R1103" s="7">
        <x:f>IF(K1103&lt;&gt;"Paid",0,IF(C1103="Income",Q1103,-Q1103))</x:f>
      </x:c>
      <x:c r="S1103" s="14">
        <x:f>IF(A1103="","",DATE(YEAR(A1103),MONTH(A1103),1))</x:f>
      </x:c>
      <x:c r="T1103" s="14">
        <x:f>IF(L1103="","",DATE(YEAR(L1103),MONTH(L1103),1))</x:f>
      </x:c>
    </x:row>
    <x:row r="1104">
      <x:c r="A1104" s="11" t="n"/>
      <x:c r="B1104" s="5" t="n"/>
      <x:c r="C1104" s="12" t="n"/>
      <x:c r="D1104" s="12" t="n"/>
      <x:c r="E1104" s="12" t="n"/>
      <x:c r="F1104" s="12" t="n"/>
      <x:c r="G1104" s="13">
        <x:f>IF(F1104="","",IFERROR(VLOOKUP(F1104,Master_Data!$E$24:$G$33,2,FALSE),"9999"))</x:f>
      </x:c>
      <x:c r="H1104" s="12" t="n"/>
      <x:c r="I1104" s="12" t="n"/>
      <x:c r="J1104" s="12" t="n"/>
      <x:c r="K1104" s="12" t="n"/>
      <x:c r="L1104" s="11" t="n"/>
      <x:c r="M1104" s="9" t="n"/>
      <x:c r="N1104" s="12" t="n"/>
      <x:c r="O1104" s="6">
        <x:f>IF(N1104="","",IFERROR(VLOOKUP(N1104,Master_Data!$A$5:$C$8,3,FALSE),0))</x:f>
      </x:c>
      <x:c r="P1104" s="7">
        <x:f>IF(M1104="","",M1104*O1104)</x:f>
      </x:c>
      <x:c r="Q1104" s="7">
        <x:f>IF(M1104="","",M1104+P1104)</x:f>
      </x:c>
      <x:c r="R1104" s="7">
        <x:f>IF(K1104&lt;&gt;"Paid",0,IF(C1104="Income",Q1104,-Q1104))</x:f>
      </x:c>
      <x:c r="S1104" s="14">
        <x:f>IF(A1104="","",DATE(YEAR(A1104),MONTH(A1104),1))</x:f>
      </x:c>
      <x:c r="T1104" s="14">
        <x:f>IF(L1104="","",DATE(YEAR(L1104),MONTH(L1104),1))</x:f>
      </x:c>
    </x:row>
    <x:row r="1105">
      <x:c r="A1105" s="11" t="n"/>
      <x:c r="B1105" s="5" t="n"/>
      <x:c r="C1105" s="12" t="n"/>
      <x:c r="D1105" s="12" t="n"/>
      <x:c r="E1105" s="12" t="n"/>
      <x:c r="F1105" s="12" t="n"/>
      <x:c r="G1105" s="13">
        <x:f>IF(F1105="","",IFERROR(VLOOKUP(F1105,Master_Data!$E$24:$G$33,2,FALSE),"9999"))</x:f>
      </x:c>
      <x:c r="H1105" s="12" t="n"/>
      <x:c r="I1105" s="12" t="n"/>
      <x:c r="J1105" s="12" t="n"/>
      <x:c r="K1105" s="12" t="n"/>
      <x:c r="L1105" s="11" t="n"/>
      <x:c r="M1105" s="9" t="n"/>
      <x:c r="N1105" s="12" t="n"/>
      <x:c r="O1105" s="6">
        <x:f>IF(N1105="","",IFERROR(VLOOKUP(N1105,Master_Data!$A$5:$C$8,3,FALSE),0))</x:f>
      </x:c>
      <x:c r="P1105" s="7">
        <x:f>IF(M1105="","",M1105*O1105)</x:f>
      </x:c>
      <x:c r="Q1105" s="7">
        <x:f>IF(M1105="","",M1105+P1105)</x:f>
      </x:c>
      <x:c r="R1105" s="7">
        <x:f>IF(K1105&lt;&gt;"Paid",0,IF(C1105="Income",Q1105,-Q1105))</x:f>
      </x:c>
      <x:c r="S1105" s="14">
        <x:f>IF(A1105="","",DATE(YEAR(A1105),MONTH(A1105),1))</x:f>
      </x:c>
      <x:c r="T1105" s="14">
        <x:f>IF(L1105="","",DATE(YEAR(L1105),MONTH(L1105),1))</x:f>
      </x:c>
    </x:row>
    <x:row r="1106">
      <x:c r="A1106" s="11" t="n"/>
      <x:c r="B1106" s="5" t="n"/>
      <x:c r="C1106" s="12" t="n"/>
      <x:c r="D1106" s="12" t="n"/>
      <x:c r="E1106" s="12" t="n"/>
      <x:c r="F1106" s="12" t="n"/>
      <x:c r="G1106" s="13">
        <x:f>IF(F1106="","",IFERROR(VLOOKUP(F1106,Master_Data!$E$24:$G$33,2,FALSE),"9999"))</x:f>
      </x:c>
      <x:c r="H1106" s="12" t="n"/>
      <x:c r="I1106" s="12" t="n"/>
      <x:c r="J1106" s="12" t="n"/>
      <x:c r="K1106" s="12" t="n"/>
      <x:c r="L1106" s="11" t="n"/>
      <x:c r="M1106" s="9" t="n"/>
      <x:c r="N1106" s="12" t="n"/>
      <x:c r="O1106" s="6">
        <x:f>IF(N1106="","",IFERROR(VLOOKUP(N1106,Master_Data!$A$5:$C$8,3,FALSE),0))</x:f>
      </x:c>
      <x:c r="P1106" s="7">
        <x:f>IF(M1106="","",M1106*O1106)</x:f>
      </x:c>
      <x:c r="Q1106" s="7">
        <x:f>IF(M1106="","",M1106+P1106)</x:f>
      </x:c>
      <x:c r="R1106" s="7">
        <x:f>IF(K1106&lt;&gt;"Paid",0,IF(C1106="Income",Q1106,-Q1106))</x:f>
      </x:c>
      <x:c r="S1106" s="14">
        <x:f>IF(A1106="","",DATE(YEAR(A1106),MONTH(A1106),1))</x:f>
      </x:c>
      <x:c r="T1106" s="14">
        <x:f>IF(L1106="","",DATE(YEAR(L1106),MONTH(L1106),1))</x:f>
      </x:c>
    </x:row>
    <x:row r="1107">
      <x:c r="A1107" s="11" t="n"/>
      <x:c r="B1107" s="5" t="n"/>
      <x:c r="C1107" s="12" t="n"/>
      <x:c r="D1107" s="12" t="n"/>
      <x:c r="E1107" s="12" t="n"/>
      <x:c r="F1107" s="12" t="n"/>
      <x:c r="G1107" s="13">
        <x:f>IF(F1107="","",IFERROR(VLOOKUP(F1107,Master_Data!$E$24:$G$33,2,FALSE),"9999"))</x:f>
      </x:c>
      <x:c r="H1107" s="12" t="n"/>
      <x:c r="I1107" s="12" t="n"/>
      <x:c r="J1107" s="12" t="n"/>
      <x:c r="K1107" s="12" t="n"/>
      <x:c r="L1107" s="11" t="n"/>
      <x:c r="M1107" s="9" t="n"/>
      <x:c r="N1107" s="12" t="n"/>
      <x:c r="O1107" s="6">
        <x:f>IF(N1107="","",IFERROR(VLOOKUP(N1107,Master_Data!$A$5:$C$8,3,FALSE),0))</x:f>
      </x:c>
      <x:c r="P1107" s="7">
        <x:f>IF(M1107="","",M1107*O1107)</x:f>
      </x:c>
      <x:c r="Q1107" s="7">
        <x:f>IF(M1107="","",M1107+P1107)</x:f>
      </x:c>
      <x:c r="R1107" s="7">
        <x:f>IF(K1107&lt;&gt;"Paid",0,IF(C1107="Income",Q1107,-Q1107))</x:f>
      </x:c>
      <x:c r="S1107" s="14">
        <x:f>IF(A1107="","",DATE(YEAR(A1107),MONTH(A1107),1))</x:f>
      </x:c>
      <x:c r="T1107" s="14">
        <x:f>IF(L1107="","",DATE(YEAR(L1107),MONTH(L1107),1))</x:f>
      </x:c>
    </x:row>
    <x:row r="1108">
      <x:c r="A1108" s="11" t="n"/>
      <x:c r="B1108" s="5" t="n"/>
      <x:c r="C1108" s="12" t="n"/>
      <x:c r="D1108" s="12" t="n"/>
      <x:c r="E1108" s="12" t="n"/>
      <x:c r="F1108" s="12" t="n"/>
      <x:c r="G1108" s="13">
        <x:f>IF(F1108="","",IFERROR(VLOOKUP(F1108,Master_Data!$E$24:$G$33,2,FALSE),"9999"))</x:f>
      </x:c>
      <x:c r="H1108" s="12" t="n"/>
      <x:c r="I1108" s="12" t="n"/>
      <x:c r="J1108" s="12" t="n"/>
      <x:c r="K1108" s="12" t="n"/>
      <x:c r="L1108" s="11" t="n"/>
      <x:c r="M1108" s="9" t="n"/>
      <x:c r="N1108" s="12" t="n"/>
      <x:c r="O1108" s="6">
        <x:f>IF(N1108="","",IFERROR(VLOOKUP(N1108,Master_Data!$A$5:$C$8,3,FALSE),0))</x:f>
      </x:c>
      <x:c r="P1108" s="7">
        <x:f>IF(M1108="","",M1108*O1108)</x:f>
      </x:c>
      <x:c r="Q1108" s="7">
        <x:f>IF(M1108="","",M1108+P1108)</x:f>
      </x:c>
      <x:c r="R1108" s="7">
        <x:f>IF(K1108&lt;&gt;"Paid",0,IF(C1108="Income",Q1108,-Q1108))</x:f>
      </x:c>
      <x:c r="S1108" s="14">
        <x:f>IF(A1108="","",DATE(YEAR(A1108),MONTH(A1108),1))</x:f>
      </x:c>
      <x:c r="T1108" s="14">
        <x:f>IF(L1108="","",DATE(YEAR(L1108),MONTH(L1108),1))</x:f>
      </x:c>
    </x:row>
    <x:row r="1109">
      <x:c r="A1109" s="11" t="n"/>
      <x:c r="B1109" s="5" t="n"/>
      <x:c r="C1109" s="12" t="n"/>
      <x:c r="D1109" s="12" t="n"/>
      <x:c r="E1109" s="12" t="n"/>
      <x:c r="F1109" s="12" t="n"/>
      <x:c r="G1109" s="13">
        <x:f>IF(F1109="","",IFERROR(VLOOKUP(F1109,Master_Data!$E$24:$G$33,2,FALSE),"9999"))</x:f>
      </x:c>
      <x:c r="H1109" s="12" t="n"/>
      <x:c r="I1109" s="12" t="n"/>
      <x:c r="J1109" s="12" t="n"/>
      <x:c r="K1109" s="12" t="n"/>
      <x:c r="L1109" s="11" t="n"/>
      <x:c r="M1109" s="9" t="n"/>
      <x:c r="N1109" s="12" t="n"/>
      <x:c r="O1109" s="6">
        <x:f>IF(N1109="","",IFERROR(VLOOKUP(N1109,Master_Data!$A$5:$C$8,3,FALSE),0))</x:f>
      </x:c>
      <x:c r="P1109" s="7">
        <x:f>IF(M1109="","",M1109*O1109)</x:f>
      </x:c>
      <x:c r="Q1109" s="7">
        <x:f>IF(M1109="","",M1109+P1109)</x:f>
      </x:c>
      <x:c r="R1109" s="7">
        <x:f>IF(K1109&lt;&gt;"Paid",0,IF(C1109="Income",Q1109,-Q1109))</x:f>
      </x:c>
      <x:c r="S1109" s="14">
        <x:f>IF(A1109="","",DATE(YEAR(A1109),MONTH(A1109),1))</x:f>
      </x:c>
      <x:c r="T1109" s="14">
        <x:f>IF(L1109="","",DATE(YEAR(L1109),MONTH(L1109),1))</x:f>
      </x:c>
    </x:row>
    <x:row r="1110">
      <x:c r="A1110" s="11" t="n"/>
      <x:c r="B1110" s="5" t="n"/>
      <x:c r="C1110" s="12" t="n"/>
      <x:c r="D1110" s="12" t="n"/>
      <x:c r="E1110" s="12" t="n"/>
      <x:c r="F1110" s="12" t="n"/>
      <x:c r="G1110" s="13">
        <x:f>IF(F1110="","",IFERROR(VLOOKUP(F1110,Master_Data!$E$24:$G$33,2,FALSE),"9999"))</x:f>
      </x:c>
      <x:c r="H1110" s="12" t="n"/>
      <x:c r="I1110" s="12" t="n"/>
      <x:c r="J1110" s="12" t="n"/>
      <x:c r="K1110" s="12" t="n"/>
      <x:c r="L1110" s="11" t="n"/>
      <x:c r="M1110" s="9" t="n"/>
      <x:c r="N1110" s="12" t="n"/>
      <x:c r="O1110" s="6">
        <x:f>IF(N1110="","",IFERROR(VLOOKUP(N1110,Master_Data!$A$5:$C$8,3,FALSE),0))</x:f>
      </x:c>
      <x:c r="P1110" s="7">
        <x:f>IF(M1110="","",M1110*O1110)</x:f>
      </x:c>
      <x:c r="Q1110" s="7">
        <x:f>IF(M1110="","",M1110+P1110)</x:f>
      </x:c>
      <x:c r="R1110" s="7">
        <x:f>IF(K1110&lt;&gt;"Paid",0,IF(C1110="Income",Q1110,-Q1110))</x:f>
      </x:c>
      <x:c r="S1110" s="14">
        <x:f>IF(A1110="","",DATE(YEAR(A1110),MONTH(A1110),1))</x:f>
      </x:c>
      <x:c r="T1110" s="14">
        <x:f>IF(L1110="","",DATE(YEAR(L1110),MONTH(L1110),1))</x:f>
      </x:c>
    </x:row>
    <x:row r="1111">
      <x:c r="A1111" s="11" t="n"/>
      <x:c r="B1111" s="5" t="n"/>
      <x:c r="C1111" s="12" t="n"/>
      <x:c r="D1111" s="12" t="n"/>
      <x:c r="E1111" s="12" t="n"/>
      <x:c r="F1111" s="12" t="n"/>
      <x:c r="G1111" s="13">
        <x:f>IF(F1111="","",IFERROR(VLOOKUP(F1111,Master_Data!$E$24:$G$33,2,FALSE),"9999"))</x:f>
      </x:c>
      <x:c r="H1111" s="12" t="n"/>
      <x:c r="I1111" s="12" t="n"/>
      <x:c r="J1111" s="12" t="n"/>
      <x:c r="K1111" s="12" t="n"/>
      <x:c r="L1111" s="11" t="n"/>
      <x:c r="M1111" s="9" t="n"/>
      <x:c r="N1111" s="12" t="n"/>
      <x:c r="O1111" s="6">
        <x:f>IF(N1111="","",IFERROR(VLOOKUP(N1111,Master_Data!$A$5:$C$8,3,FALSE),0))</x:f>
      </x:c>
      <x:c r="P1111" s="7">
        <x:f>IF(M1111="","",M1111*O1111)</x:f>
      </x:c>
      <x:c r="Q1111" s="7">
        <x:f>IF(M1111="","",M1111+P1111)</x:f>
      </x:c>
      <x:c r="R1111" s="7">
        <x:f>IF(K1111&lt;&gt;"Paid",0,IF(C1111="Income",Q1111,-Q1111))</x:f>
      </x:c>
      <x:c r="S1111" s="14">
        <x:f>IF(A1111="","",DATE(YEAR(A1111),MONTH(A1111),1))</x:f>
      </x:c>
      <x:c r="T1111" s="14">
        <x:f>IF(L1111="","",DATE(YEAR(L1111),MONTH(L1111),1))</x:f>
      </x:c>
    </x:row>
    <x:row r="1112">
      <x:c r="A1112" s="11" t="n"/>
      <x:c r="B1112" s="5" t="n"/>
      <x:c r="C1112" s="12" t="n"/>
      <x:c r="D1112" s="12" t="n"/>
      <x:c r="E1112" s="12" t="n"/>
      <x:c r="F1112" s="12" t="n"/>
      <x:c r="G1112" s="13">
        <x:f>IF(F1112="","",IFERROR(VLOOKUP(F1112,Master_Data!$E$24:$G$33,2,FALSE),"9999"))</x:f>
      </x:c>
      <x:c r="H1112" s="12" t="n"/>
      <x:c r="I1112" s="12" t="n"/>
      <x:c r="J1112" s="12" t="n"/>
      <x:c r="K1112" s="12" t="n"/>
      <x:c r="L1112" s="11" t="n"/>
      <x:c r="M1112" s="9" t="n"/>
      <x:c r="N1112" s="12" t="n"/>
      <x:c r="O1112" s="6">
        <x:f>IF(N1112="","",IFERROR(VLOOKUP(N1112,Master_Data!$A$5:$C$8,3,FALSE),0))</x:f>
      </x:c>
      <x:c r="P1112" s="7">
        <x:f>IF(M1112="","",M1112*O1112)</x:f>
      </x:c>
      <x:c r="Q1112" s="7">
        <x:f>IF(M1112="","",M1112+P1112)</x:f>
      </x:c>
      <x:c r="R1112" s="7">
        <x:f>IF(K1112&lt;&gt;"Paid",0,IF(C1112="Income",Q1112,-Q1112))</x:f>
      </x:c>
      <x:c r="S1112" s="14">
        <x:f>IF(A1112="","",DATE(YEAR(A1112),MONTH(A1112),1))</x:f>
      </x:c>
      <x:c r="T1112" s="14">
        <x:f>IF(L1112="","",DATE(YEAR(L1112),MONTH(L1112),1))</x:f>
      </x:c>
    </x:row>
    <x:row r="1113">
      <x:c r="A1113" s="11" t="n"/>
      <x:c r="B1113" s="5" t="n"/>
      <x:c r="C1113" s="12" t="n"/>
      <x:c r="D1113" s="12" t="n"/>
      <x:c r="E1113" s="12" t="n"/>
      <x:c r="F1113" s="12" t="n"/>
      <x:c r="G1113" s="13">
        <x:f>IF(F1113="","",IFERROR(VLOOKUP(F1113,Master_Data!$E$24:$G$33,2,FALSE),"9999"))</x:f>
      </x:c>
      <x:c r="H1113" s="12" t="n"/>
      <x:c r="I1113" s="12" t="n"/>
      <x:c r="J1113" s="12" t="n"/>
      <x:c r="K1113" s="12" t="n"/>
      <x:c r="L1113" s="11" t="n"/>
      <x:c r="M1113" s="9" t="n"/>
      <x:c r="N1113" s="12" t="n"/>
      <x:c r="O1113" s="6">
        <x:f>IF(N1113="","",IFERROR(VLOOKUP(N1113,Master_Data!$A$5:$C$8,3,FALSE),0))</x:f>
      </x:c>
      <x:c r="P1113" s="7">
        <x:f>IF(M1113="","",M1113*O1113)</x:f>
      </x:c>
      <x:c r="Q1113" s="7">
        <x:f>IF(M1113="","",M1113+P1113)</x:f>
      </x:c>
      <x:c r="R1113" s="7">
        <x:f>IF(K1113&lt;&gt;"Paid",0,IF(C1113="Income",Q1113,-Q1113))</x:f>
      </x:c>
      <x:c r="S1113" s="14">
        <x:f>IF(A1113="","",DATE(YEAR(A1113),MONTH(A1113),1))</x:f>
      </x:c>
      <x:c r="T1113" s="14">
        <x:f>IF(L1113="","",DATE(YEAR(L1113),MONTH(L1113),1))</x:f>
      </x:c>
    </x:row>
    <x:row r="1114">
      <x:c r="A1114" s="11" t="n"/>
      <x:c r="B1114" s="5" t="n"/>
      <x:c r="C1114" s="12" t="n"/>
      <x:c r="D1114" s="12" t="n"/>
      <x:c r="E1114" s="12" t="n"/>
      <x:c r="F1114" s="12" t="n"/>
      <x:c r="G1114" s="13">
        <x:f>IF(F1114="","",IFERROR(VLOOKUP(F1114,Master_Data!$E$24:$G$33,2,FALSE),"9999"))</x:f>
      </x:c>
      <x:c r="H1114" s="12" t="n"/>
      <x:c r="I1114" s="12" t="n"/>
      <x:c r="J1114" s="12" t="n"/>
      <x:c r="K1114" s="12" t="n"/>
      <x:c r="L1114" s="11" t="n"/>
      <x:c r="M1114" s="9" t="n"/>
      <x:c r="N1114" s="12" t="n"/>
      <x:c r="O1114" s="6">
        <x:f>IF(N1114="","",IFERROR(VLOOKUP(N1114,Master_Data!$A$5:$C$8,3,FALSE),0))</x:f>
      </x:c>
      <x:c r="P1114" s="7">
        <x:f>IF(M1114="","",M1114*O1114)</x:f>
      </x:c>
      <x:c r="Q1114" s="7">
        <x:f>IF(M1114="","",M1114+P1114)</x:f>
      </x:c>
      <x:c r="R1114" s="7">
        <x:f>IF(K1114&lt;&gt;"Paid",0,IF(C1114="Income",Q1114,-Q1114))</x:f>
      </x:c>
      <x:c r="S1114" s="14">
        <x:f>IF(A1114="","",DATE(YEAR(A1114),MONTH(A1114),1))</x:f>
      </x:c>
      <x:c r="T1114" s="14">
        <x:f>IF(L1114="","",DATE(YEAR(L1114),MONTH(L1114),1))</x:f>
      </x:c>
    </x:row>
    <x:row r="1115">
      <x:c r="A1115" s="11" t="n"/>
      <x:c r="B1115" s="5" t="n"/>
      <x:c r="C1115" s="12" t="n"/>
      <x:c r="D1115" s="12" t="n"/>
      <x:c r="E1115" s="12" t="n"/>
      <x:c r="F1115" s="12" t="n"/>
      <x:c r="G1115" s="13">
        <x:f>IF(F1115="","",IFERROR(VLOOKUP(F1115,Master_Data!$E$24:$G$33,2,FALSE),"9999"))</x:f>
      </x:c>
      <x:c r="H1115" s="12" t="n"/>
      <x:c r="I1115" s="12" t="n"/>
      <x:c r="J1115" s="12" t="n"/>
      <x:c r="K1115" s="12" t="n"/>
      <x:c r="L1115" s="11" t="n"/>
      <x:c r="M1115" s="9" t="n"/>
      <x:c r="N1115" s="12" t="n"/>
      <x:c r="O1115" s="6">
        <x:f>IF(N1115="","",IFERROR(VLOOKUP(N1115,Master_Data!$A$5:$C$8,3,FALSE),0))</x:f>
      </x:c>
      <x:c r="P1115" s="7">
        <x:f>IF(M1115="","",M1115*O1115)</x:f>
      </x:c>
      <x:c r="Q1115" s="7">
        <x:f>IF(M1115="","",M1115+P1115)</x:f>
      </x:c>
      <x:c r="R1115" s="7">
        <x:f>IF(K1115&lt;&gt;"Paid",0,IF(C1115="Income",Q1115,-Q1115))</x:f>
      </x:c>
      <x:c r="S1115" s="14">
        <x:f>IF(A1115="","",DATE(YEAR(A1115),MONTH(A1115),1))</x:f>
      </x:c>
      <x:c r="T1115" s="14">
        <x:f>IF(L1115="","",DATE(YEAR(L1115),MONTH(L1115),1))</x:f>
      </x:c>
    </x:row>
    <x:row r="1116">
      <x:c r="A1116" s="11" t="n"/>
      <x:c r="B1116" s="5" t="n"/>
      <x:c r="C1116" s="12" t="n"/>
      <x:c r="D1116" s="12" t="n"/>
      <x:c r="E1116" s="12" t="n"/>
      <x:c r="F1116" s="12" t="n"/>
      <x:c r="G1116" s="13">
        <x:f>IF(F1116="","",IFERROR(VLOOKUP(F1116,Master_Data!$E$24:$G$33,2,FALSE),"9999"))</x:f>
      </x:c>
      <x:c r="H1116" s="12" t="n"/>
      <x:c r="I1116" s="12" t="n"/>
      <x:c r="J1116" s="12" t="n"/>
      <x:c r="K1116" s="12" t="n"/>
      <x:c r="L1116" s="11" t="n"/>
      <x:c r="M1116" s="9" t="n"/>
      <x:c r="N1116" s="12" t="n"/>
      <x:c r="O1116" s="6">
        <x:f>IF(N1116="","",IFERROR(VLOOKUP(N1116,Master_Data!$A$5:$C$8,3,FALSE),0))</x:f>
      </x:c>
      <x:c r="P1116" s="7">
        <x:f>IF(M1116="","",M1116*O1116)</x:f>
      </x:c>
      <x:c r="Q1116" s="7">
        <x:f>IF(M1116="","",M1116+P1116)</x:f>
      </x:c>
      <x:c r="R1116" s="7">
        <x:f>IF(K1116&lt;&gt;"Paid",0,IF(C1116="Income",Q1116,-Q1116))</x:f>
      </x:c>
      <x:c r="S1116" s="14">
        <x:f>IF(A1116="","",DATE(YEAR(A1116),MONTH(A1116),1))</x:f>
      </x:c>
      <x:c r="T1116" s="14">
        <x:f>IF(L1116="","",DATE(YEAR(L1116),MONTH(L1116),1))</x:f>
      </x:c>
    </x:row>
    <x:row r="1117">
      <x:c r="A1117" s="11" t="n"/>
      <x:c r="B1117" s="5" t="n"/>
      <x:c r="C1117" s="12" t="n"/>
      <x:c r="D1117" s="12" t="n"/>
      <x:c r="E1117" s="12" t="n"/>
      <x:c r="F1117" s="12" t="n"/>
      <x:c r="G1117" s="13">
        <x:f>IF(F1117="","",IFERROR(VLOOKUP(F1117,Master_Data!$E$24:$G$33,2,FALSE),"9999"))</x:f>
      </x:c>
      <x:c r="H1117" s="12" t="n"/>
      <x:c r="I1117" s="12" t="n"/>
      <x:c r="J1117" s="12" t="n"/>
      <x:c r="K1117" s="12" t="n"/>
      <x:c r="L1117" s="11" t="n"/>
      <x:c r="M1117" s="9" t="n"/>
      <x:c r="N1117" s="12" t="n"/>
      <x:c r="O1117" s="6">
        <x:f>IF(N1117="","",IFERROR(VLOOKUP(N1117,Master_Data!$A$5:$C$8,3,FALSE),0))</x:f>
      </x:c>
      <x:c r="P1117" s="7">
        <x:f>IF(M1117="","",M1117*O1117)</x:f>
      </x:c>
      <x:c r="Q1117" s="7">
        <x:f>IF(M1117="","",M1117+P1117)</x:f>
      </x:c>
      <x:c r="R1117" s="7">
        <x:f>IF(K1117&lt;&gt;"Paid",0,IF(C1117="Income",Q1117,-Q1117))</x:f>
      </x:c>
      <x:c r="S1117" s="14">
        <x:f>IF(A1117="","",DATE(YEAR(A1117),MONTH(A1117),1))</x:f>
      </x:c>
      <x:c r="T1117" s="14">
        <x:f>IF(L1117="","",DATE(YEAR(L1117),MONTH(L1117),1))</x:f>
      </x:c>
    </x:row>
    <x:row r="1118">
      <x:c r="A1118" s="11" t="n"/>
      <x:c r="B1118" s="5" t="n"/>
      <x:c r="C1118" s="12" t="n"/>
      <x:c r="D1118" s="12" t="n"/>
      <x:c r="E1118" s="12" t="n"/>
      <x:c r="F1118" s="12" t="n"/>
      <x:c r="G1118" s="13">
        <x:f>IF(F1118="","",IFERROR(VLOOKUP(F1118,Master_Data!$E$24:$G$33,2,FALSE),"9999"))</x:f>
      </x:c>
      <x:c r="H1118" s="12" t="n"/>
      <x:c r="I1118" s="12" t="n"/>
      <x:c r="J1118" s="12" t="n"/>
      <x:c r="K1118" s="12" t="n"/>
      <x:c r="L1118" s="11" t="n"/>
      <x:c r="M1118" s="9" t="n"/>
      <x:c r="N1118" s="12" t="n"/>
      <x:c r="O1118" s="6">
        <x:f>IF(N1118="","",IFERROR(VLOOKUP(N1118,Master_Data!$A$5:$C$8,3,FALSE),0))</x:f>
      </x:c>
      <x:c r="P1118" s="7">
        <x:f>IF(M1118="","",M1118*O1118)</x:f>
      </x:c>
      <x:c r="Q1118" s="7">
        <x:f>IF(M1118="","",M1118+P1118)</x:f>
      </x:c>
      <x:c r="R1118" s="7">
        <x:f>IF(K1118&lt;&gt;"Paid",0,IF(C1118="Income",Q1118,-Q1118))</x:f>
      </x:c>
      <x:c r="S1118" s="14">
        <x:f>IF(A1118="","",DATE(YEAR(A1118),MONTH(A1118),1))</x:f>
      </x:c>
      <x:c r="T1118" s="14">
        <x:f>IF(L1118="","",DATE(YEAR(L1118),MONTH(L1118),1))</x:f>
      </x:c>
    </x:row>
    <x:row r="1119">
      <x:c r="A1119" s="11" t="n"/>
      <x:c r="B1119" s="5" t="n"/>
      <x:c r="C1119" s="12" t="n"/>
      <x:c r="D1119" s="12" t="n"/>
      <x:c r="E1119" s="12" t="n"/>
      <x:c r="F1119" s="12" t="n"/>
      <x:c r="G1119" s="13">
        <x:f>IF(F1119="","",IFERROR(VLOOKUP(F1119,Master_Data!$E$24:$G$33,2,FALSE),"9999"))</x:f>
      </x:c>
      <x:c r="H1119" s="12" t="n"/>
      <x:c r="I1119" s="12" t="n"/>
      <x:c r="J1119" s="12" t="n"/>
      <x:c r="K1119" s="12" t="n"/>
      <x:c r="L1119" s="11" t="n"/>
      <x:c r="M1119" s="9" t="n"/>
      <x:c r="N1119" s="12" t="n"/>
      <x:c r="O1119" s="6">
        <x:f>IF(N1119="","",IFERROR(VLOOKUP(N1119,Master_Data!$A$5:$C$8,3,FALSE),0))</x:f>
      </x:c>
      <x:c r="P1119" s="7">
        <x:f>IF(M1119="","",M1119*O1119)</x:f>
      </x:c>
      <x:c r="Q1119" s="7">
        <x:f>IF(M1119="","",M1119+P1119)</x:f>
      </x:c>
      <x:c r="R1119" s="7">
        <x:f>IF(K1119&lt;&gt;"Paid",0,IF(C1119="Income",Q1119,-Q1119))</x:f>
      </x:c>
      <x:c r="S1119" s="14">
        <x:f>IF(A1119="","",DATE(YEAR(A1119),MONTH(A1119),1))</x:f>
      </x:c>
      <x:c r="T1119" s="14">
        <x:f>IF(L1119="","",DATE(YEAR(L1119),MONTH(L1119),1))</x:f>
      </x:c>
    </x:row>
    <x:row r="1120">
      <x:c r="A1120" s="11" t="n"/>
      <x:c r="B1120" s="5" t="n"/>
      <x:c r="C1120" s="12" t="n"/>
      <x:c r="D1120" s="12" t="n"/>
      <x:c r="E1120" s="12" t="n"/>
      <x:c r="F1120" s="12" t="n"/>
      <x:c r="G1120" s="13">
        <x:f>IF(F1120="","",IFERROR(VLOOKUP(F1120,Master_Data!$E$24:$G$33,2,FALSE),"9999"))</x:f>
      </x:c>
      <x:c r="H1120" s="12" t="n"/>
      <x:c r="I1120" s="12" t="n"/>
      <x:c r="J1120" s="12" t="n"/>
      <x:c r="K1120" s="12" t="n"/>
      <x:c r="L1120" s="11" t="n"/>
      <x:c r="M1120" s="9" t="n"/>
      <x:c r="N1120" s="12" t="n"/>
      <x:c r="O1120" s="6">
        <x:f>IF(N1120="","",IFERROR(VLOOKUP(N1120,Master_Data!$A$5:$C$8,3,FALSE),0))</x:f>
      </x:c>
      <x:c r="P1120" s="7">
        <x:f>IF(M1120="","",M1120*O1120)</x:f>
      </x:c>
      <x:c r="Q1120" s="7">
        <x:f>IF(M1120="","",M1120+P1120)</x:f>
      </x:c>
      <x:c r="R1120" s="7">
        <x:f>IF(K1120&lt;&gt;"Paid",0,IF(C1120="Income",Q1120,-Q1120))</x:f>
      </x:c>
      <x:c r="S1120" s="14">
        <x:f>IF(A1120="","",DATE(YEAR(A1120),MONTH(A1120),1))</x:f>
      </x:c>
      <x:c r="T1120" s="14">
        <x:f>IF(L1120="","",DATE(YEAR(L1120),MONTH(L1120),1))</x:f>
      </x:c>
    </x:row>
    <x:row r="1121">
      <x:c r="A1121" s="11" t="n"/>
      <x:c r="B1121" s="5" t="n"/>
      <x:c r="C1121" s="12" t="n"/>
      <x:c r="D1121" s="12" t="n"/>
      <x:c r="E1121" s="12" t="n"/>
      <x:c r="F1121" s="12" t="n"/>
      <x:c r="G1121" s="13">
        <x:f>IF(F1121="","",IFERROR(VLOOKUP(F1121,Master_Data!$E$24:$G$33,2,FALSE),"9999"))</x:f>
      </x:c>
      <x:c r="H1121" s="12" t="n"/>
      <x:c r="I1121" s="12" t="n"/>
      <x:c r="J1121" s="12" t="n"/>
      <x:c r="K1121" s="12" t="n"/>
      <x:c r="L1121" s="11" t="n"/>
      <x:c r="M1121" s="9" t="n"/>
      <x:c r="N1121" s="12" t="n"/>
      <x:c r="O1121" s="6">
        <x:f>IF(N1121="","",IFERROR(VLOOKUP(N1121,Master_Data!$A$5:$C$8,3,FALSE),0))</x:f>
      </x:c>
      <x:c r="P1121" s="7">
        <x:f>IF(M1121="","",M1121*O1121)</x:f>
      </x:c>
      <x:c r="Q1121" s="7">
        <x:f>IF(M1121="","",M1121+P1121)</x:f>
      </x:c>
      <x:c r="R1121" s="7">
        <x:f>IF(K1121&lt;&gt;"Paid",0,IF(C1121="Income",Q1121,-Q1121))</x:f>
      </x:c>
      <x:c r="S1121" s="14">
        <x:f>IF(A1121="","",DATE(YEAR(A1121),MONTH(A1121),1))</x:f>
      </x:c>
      <x:c r="T1121" s="14">
        <x:f>IF(L1121="","",DATE(YEAR(L1121),MONTH(L1121),1))</x:f>
      </x:c>
    </x:row>
    <x:row r="1122">
      <x:c r="A1122" s="11" t="n"/>
      <x:c r="B1122" s="5" t="n"/>
      <x:c r="C1122" s="12" t="n"/>
      <x:c r="D1122" s="12" t="n"/>
      <x:c r="E1122" s="12" t="n"/>
      <x:c r="F1122" s="12" t="n"/>
      <x:c r="G1122" s="13">
        <x:f>IF(F1122="","",IFERROR(VLOOKUP(F1122,Master_Data!$E$24:$G$33,2,FALSE),"9999"))</x:f>
      </x:c>
      <x:c r="H1122" s="12" t="n"/>
      <x:c r="I1122" s="12" t="n"/>
      <x:c r="J1122" s="12" t="n"/>
      <x:c r="K1122" s="12" t="n"/>
      <x:c r="L1122" s="11" t="n"/>
      <x:c r="M1122" s="9" t="n"/>
      <x:c r="N1122" s="12" t="n"/>
      <x:c r="O1122" s="6">
        <x:f>IF(N1122="","",IFERROR(VLOOKUP(N1122,Master_Data!$A$5:$C$8,3,FALSE),0))</x:f>
      </x:c>
      <x:c r="P1122" s="7">
        <x:f>IF(M1122="","",M1122*O1122)</x:f>
      </x:c>
      <x:c r="Q1122" s="7">
        <x:f>IF(M1122="","",M1122+P1122)</x:f>
      </x:c>
      <x:c r="R1122" s="7">
        <x:f>IF(K1122&lt;&gt;"Paid",0,IF(C1122="Income",Q1122,-Q1122))</x:f>
      </x:c>
      <x:c r="S1122" s="14">
        <x:f>IF(A1122="","",DATE(YEAR(A1122),MONTH(A1122),1))</x:f>
      </x:c>
      <x:c r="T1122" s="14">
        <x:f>IF(L1122="","",DATE(YEAR(L1122),MONTH(L1122),1))</x:f>
      </x:c>
    </x:row>
    <x:row r="1123">
      <x:c r="A1123" s="11" t="n"/>
      <x:c r="B1123" s="5" t="n"/>
      <x:c r="C1123" s="12" t="n"/>
      <x:c r="D1123" s="12" t="n"/>
      <x:c r="E1123" s="12" t="n"/>
      <x:c r="F1123" s="12" t="n"/>
      <x:c r="G1123" s="13">
        <x:f>IF(F1123="","",IFERROR(VLOOKUP(F1123,Master_Data!$E$24:$G$33,2,FALSE),"9999"))</x:f>
      </x:c>
      <x:c r="H1123" s="12" t="n"/>
      <x:c r="I1123" s="12" t="n"/>
      <x:c r="J1123" s="12" t="n"/>
      <x:c r="K1123" s="12" t="n"/>
      <x:c r="L1123" s="11" t="n"/>
      <x:c r="M1123" s="9" t="n"/>
      <x:c r="N1123" s="12" t="n"/>
      <x:c r="O1123" s="6">
        <x:f>IF(N1123="","",IFERROR(VLOOKUP(N1123,Master_Data!$A$5:$C$8,3,FALSE),0))</x:f>
      </x:c>
      <x:c r="P1123" s="7">
        <x:f>IF(M1123="","",M1123*O1123)</x:f>
      </x:c>
      <x:c r="Q1123" s="7">
        <x:f>IF(M1123="","",M1123+P1123)</x:f>
      </x:c>
      <x:c r="R1123" s="7">
        <x:f>IF(K1123&lt;&gt;"Paid",0,IF(C1123="Income",Q1123,-Q1123))</x:f>
      </x:c>
      <x:c r="S1123" s="14">
        <x:f>IF(A1123="","",DATE(YEAR(A1123),MONTH(A1123),1))</x:f>
      </x:c>
      <x:c r="T1123" s="14">
        <x:f>IF(L1123="","",DATE(YEAR(L1123),MONTH(L1123),1))</x:f>
      </x:c>
    </x:row>
    <x:row r="1124">
      <x:c r="A1124" s="11" t="n"/>
      <x:c r="B1124" s="5" t="n"/>
      <x:c r="C1124" s="12" t="n"/>
      <x:c r="D1124" s="12" t="n"/>
      <x:c r="E1124" s="12" t="n"/>
      <x:c r="F1124" s="12" t="n"/>
      <x:c r="G1124" s="13">
        <x:f>IF(F1124="","",IFERROR(VLOOKUP(F1124,Master_Data!$E$24:$G$33,2,FALSE),"9999"))</x:f>
      </x:c>
      <x:c r="H1124" s="12" t="n"/>
      <x:c r="I1124" s="12" t="n"/>
      <x:c r="J1124" s="12" t="n"/>
      <x:c r="K1124" s="12" t="n"/>
      <x:c r="L1124" s="11" t="n"/>
      <x:c r="M1124" s="9" t="n"/>
      <x:c r="N1124" s="12" t="n"/>
      <x:c r="O1124" s="6">
        <x:f>IF(N1124="","",IFERROR(VLOOKUP(N1124,Master_Data!$A$5:$C$8,3,FALSE),0))</x:f>
      </x:c>
      <x:c r="P1124" s="7">
        <x:f>IF(M1124="","",M1124*O1124)</x:f>
      </x:c>
      <x:c r="Q1124" s="7">
        <x:f>IF(M1124="","",M1124+P1124)</x:f>
      </x:c>
      <x:c r="R1124" s="7">
        <x:f>IF(K1124&lt;&gt;"Paid",0,IF(C1124="Income",Q1124,-Q1124))</x:f>
      </x:c>
      <x:c r="S1124" s="14">
        <x:f>IF(A1124="","",DATE(YEAR(A1124),MONTH(A1124),1))</x:f>
      </x:c>
      <x:c r="T1124" s="14">
        <x:f>IF(L1124="","",DATE(YEAR(L1124),MONTH(L1124),1))</x:f>
      </x:c>
    </x:row>
    <x:row r="1125">
      <x:c r="A1125" s="11" t="n"/>
      <x:c r="B1125" s="5" t="n"/>
      <x:c r="C1125" s="12" t="n"/>
      <x:c r="D1125" s="12" t="n"/>
      <x:c r="E1125" s="12" t="n"/>
      <x:c r="F1125" s="12" t="n"/>
      <x:c r="G1125" s="13">
        <x:f>IF(F1125="","",IFERROR(VLOOKUP(F1125,Master_Data!$E$24:$G$33,2,FALSE),"9999"))</x:f>
      </x:c>
      <x:c r="H1125" s="12" t="n"/>
      <x:c r="I1125" s="12" t="n"/>
      <x:c r="J1125" s="12" t="n"/>
      <x:c r="K1125" s="12" t="n"/>
      <x:c r="L1125" s="11" t="n"/>
      <x:c r="M1125" s="9" t="n"/>
      <x:c r="N1125" s="12" t="n"/>
      <x:c r="O1125" s="6">
        <x:f>IF(N1125="","",IFERROR(VLOOKUP(N1125,Master_Data!$A$5:$C$8,3,FALSE),0))</x:f>
      </x:c>
      <x:c r="P1125" s="7">
        <x:f>IF(M1125="","",M1125*O1125)</x:f>
      </x:c>
      <x:c r="Q1125" s="7">
        <x:f>IF(M1125="","",M1125+P1125)</x:f>
      </x:c>
      <x:c r="R1125" s="7">
        <x:f>IF(K1125&lt;&gt;"Paid",0,IF(C1125="Income",Q1125,-Q1125))</x:f>
      </x:c>
      <x:c r="S1125" s="14">
        <x:f>IF(A1125="","",DATE(YEAR(A1125),MONTH(A1125),1))</x:f>
      </x:c>
      <x:c r="T1125" s="14">
        <x:f>IF(L1125="","",DATE(YEAR(L1125),MONTH(L1125),1))</x:f>
      </x:c>
    </x:row>
    <x:row r="1126">
      <x:c r="A1126" s="11" t="n"/>
      <x:c r="B1126" s="5" t="n"/>
      <x:c r="C1126" s="12" t="n"/>
      <x:c r="D1126" s="12" t="n"/>
      <x:c r="E1126" s="12" t="n"/>
      <x:c r="F1126" s="12" t="n"/>
      <x:c r="G1126" s="13">
        <x:f>IF(F1126="","",IFERROR(VLOOKUP(F1126,Master_Data!$E$24:$G$33,2,FALSE),"9999"))</x:f>
      </x:c>
      <x:c r="H1126" s="12" t="n"/>
      <x:c r="I1126" s="12" t="n"/>
      <x:c r="J1126" s="12" t="n"/>
      <x:c r="K1126" s="12" t="n"/>
      <x:c r="L1126" s="11" t="n"/>
      <x:c r="M1126" s="9" t="n"/>
      <x:c r="N1126" s="12" t="n"/>
      <x:c r="O1126" s="6">
        <x:f>IF(N1126="","",IFERROR(VLOOKUP(N1126,Master_Data!$A$5:$C$8,3,FALSE),0))</x:f>
      </x:c>
      <x:c r="P1126" s="7">
        <x:f>IF(M1126="","",M1126*O1126)</x:f>
      </x:c>
      <x:c r="Q1126" s="7">
        <x:f>IF(M1126="","",M1126+P1126)</x:f>
      </x:c>
      <x:c r="R1126" s="7">
        <x:f>IF(K1126&lt;&gt;"Paid",0,IF(C1126="Income",Q1126,-Q1126))</x:f>
      </x:c>
      <x:c r="S1126" s="14">
        <x:f>IF(A1126="","",DATE(YEAR(A1126),MONTH(A1126),1))</x:f>
      </x:c>
      <x:c r="T1126" s="14">
        <x:f>IF(L1126="","",DATE(YEAR(L1126),MONTH(L1126),1))</x:f>
      </x:c>
    </x:row>
    <x:row r="1127">
      <x:c r="A1127" s="11" t="n"/>
      <x:c r="B1127" s="5" t="n"/>
      <x:c r="C1127" s="12" t="n"/>
      <x:c r="D1127" s="12" t="n"/>
      <x:c r="E1127" s="12" t="n"/>
      <x:c r="F1127" s="12" t="n"/>
      <x:c r="G1127" s="13">
        <x:f>IF(F1127="","",IFERROR(VLOOKUP(F1127,Master_Data!$E$24:$G$33,2,FALSE),"9999"))</x:f>
      </x:c>
      <x:c r="H1127" s="12" t="n"/>
      <x:c r="I1127" s="12" t="n"/>
      <x:c r="J1127" s="12" t="n"/>
      <x:c r="K1127" s="12" t="n"/>
      <x:c r="L1127" s="11" t="n"/>
      <x:c r="M1127" s="9" t="n"/>
      <x:c r="N1127" s="12" t="n"/>
      <x:c r="O1127" s="6">
        <x:f>IF(N1127="","",IFERROR(VLOOKUP(N1127,Master_Data!$A$5:$C$8,3,FALSE),0))</x:f>
      </x:c>
      <x:c r="P1127" s="7">
        <x:f>IF(M1127="","",M1127*O1127)</x:f>
      </x:c>
      <x:c r="Q1127" s="7">
        <x:f>IF(M1127="","",M1127+P1127)</x:f>
      </x:c>
      <x:c r="R1127" s="7">
        <x:f>IF(K1127&lt;&gt;"Paid",0,IF(C1127="Income",Q1127,-Q1127))</x:f>
      </x:c>
      <x:c r="S1127" s="14">
        <x:f>IF(A1127="","",DATE(YEAR(A1127),MONTH(A1127),1))</x:f>
      </x:c>
      <x:c r="T1127" s="14">
        <x:f>IF(L1127="","",DATE(YEAR(L1127),MONTH(L1127),1))</x:f>
      </x:c>
    </x:row>
    <x:row r="1128">
      <x:c r="A1128" s="11" t="n"/>
      <x:c r="B1128" s="5" t="n"/>
      <x:c r="C1128" s="12" t="n"/>
      <x:c r="D1128" s="12" t="n"/>
      <x:c r="E1128" s="12" t="n"/>
      <x:c r="F1128" s="12" t="n"/>
      <x:c r="G1128" s="13">
        <x:f>IF(F1128="","",IFERROR(VLOOKUP(F1128,Master_Data!$E$24:$G$33,2,FALSE),"9999"))</x:f>
      </x:c>
      <x:c r="H1128" s="12" t="n"/>
      <x:c r="I1128" s="12" t="n"/>
      <x:c r="J1128" s="12" t="n"/>
      <x:c r="K1128" s="12" t="n"/>
      <x:c r="L1128" s="11" t="n"/>
      <x:c r="M1128" s="9" t="n"/>
      <x:c r="N1128" s="12" t="n"/>
      <x:c r="O1128" s="6">
        <x:f>IF(N1128="","",IFERROR(VLOOKUP(N1128,Master_Data!$A$5:$C$8,3,FALSE),0))</x:f>
      </x:c>
      <x:c r="P1128" s="7">
        <x:f>IF(M1128="","",M1128*O1128)</x:f>
      </x:c>
      <x:c r="Q1128" s="7">
        <x:f>IF(M1128="","",M1128+P1128)</x:f>
      </x:c>
      <x:c r="R1128" s="7">
        <x:f>IF(K1128&lt;&gt;"Paid",0,IF(C1128="Income",Q1128,-Q1128))</x:f>
      </x:c>
      <x:c r="S1128" s="14">
        <x:f>IF(A1128="","",DATE(YEAR(A1128),MONTH(A1128),1))</x:f>
      </x:c>
      <x:c r="T1128" s="14">
        <x:f>IF(L1128="","",DATE(YEAR(L1128),MONTH(L1128),1))</x:f>
      </x:c>
    </x:row>
    <x:row r="1129">
      <x:c r="A1129" s="11" t="n"/>
      <x:c r="B1129" s="5" t="n"/>
      <x:c r="C1129" s="12" t="n"/>
      <x:c r="D1129" s="12" t="n"/>
      <x:c r="E1129" s="12" t="n"/>
      <x:c r="F1129" s="12" t="n"/>
      <x:c r="G1129" s="13">
        <x:f>IF(F1129="","",IFERROR(VLOOKUP(F1129,Master_Data!$E$24:$G$33,2,FALSE),"9999"))</x:f>
      </x:c>
      <x:c r="H1129" s="12" t="n"/>
      <x:c r="I1129" s="12" t="n"/>
      <x:c r="J1129" s="12" t="n"/>
      <x:c r="K1129" s="12" t="n"/>
      <x:c r="L1129" s="11" t="n"/>
      <x:c r="M1129" s="9" t="n"/>
      <x:c r="N1129" s="12" t="n"/>
      <x:c r="O1129" s="6">
        <x:f>IF(N1129="","",IFERROR(VLOOKUP(N1129,Master_Data!$A$5:$C$8,3,FALSE),0))</x:f>
      </x:c>
      <x:c r="P1129" s="7">
        <x:f>IF(M1129="","",M1129*O1129)</x:f>
      </x:c>
      <x:c r="Q1129" s="7">
        <x:f>IF(M1129="","",M1129+P1129)</x:f>
      </x:c>
      <x:c r="R1129" s="7">
        <x:f>IF(K1129&lt;&gt;"Paid",0,IF(C1129="Income",Q1129,-Q1129))</x:f>
      </x:c>
      <x:c r="S1129" s="14">
        <x:f>IF(A1129="","",DATE(YEAR(A1129),MONTH(A1129),1))</x:f>
      </x:c>
      <x:c r="T1129" s="14">
        <x:f>IF(L1129="","",DATE(YEAR(L1129),MONTH(L1129),1))</x:f>
      </x:c>
    </x:row>
    <x:row r="1130">
      <x:c r="A1130" s="11" t="n"/>
      <x:c r="B1130" s="5" t="n"/>
      <x:c r="C1130" s="12" t="n"/>
      <x:c r="D1130" s="12" t="n"/>
      <x:c r="E1130" s="12" t="n"/>
      <x:c r="F1130" s="12" t="n"/>
      <x:c r="G1130" s="13">
        <x:f>IF(F1130="","",IFERROR(VLOOKUP(F1130,Master_Data!$E$24:$G$33,2,FALSE),"9999"))</x:f>
      </x:c>
      <x:c r="H1130" s="12" t="n"/>
      <x:c r="I1130" s="12" t="n"/>
      <x:c r="J1130" s="12" t="n"/>
      <x:c r="K1130" s="12" t="n"/>
      <x:c r="L1130" s="11" t="n"/>
      <x:c r="M1130" s="9" t="n"/>
      <x:c r="N1130" s="12" t="n"/>
      <x:c r="O1130" s="6">
        <x:f>IF(N1130="","",IFERROR(VLOOKUP(N1130,Master_Data!$A$5:$C$8,3,FALSE),0))</x:f>
      </x:c>
      <x:c r="P1130" s="7">
        <x:f>IF(M1130="","",M1130*O1130)</x:f>
      </x:c>
      <x:c r="Q1130" s="7">
        <x:f>IF(M1130="","",M1130+P1130)</x:f>
      </x:c>
      <x:c r="R1130" s="7">
        <x:f>IF(K1130&lt;&gt;"Paid",0,IF(C1130="Income",Q1130,-Q1130))</x:f>
      </x:c>
      <x:c r="S1130" s="14">
        <x:f>IF(A1130="","",DATE(YEAR(A1130),MONTH(A1130),1))</x:f>
      </x:c>
      <x:c r="T1130" s="14">
        <x:f>IF(L1130="","",DATE(YEAR(L1130),MONTH(L1130),1))</x:f>
      </x:c>
    </x:row>
    <x:row r="1131">
      <x:c r="A1131" s="11" t="n"/>
      <x:c r="B1131" s="5" t="n"/>
      <x:c r="C1131" s="12" t="n"/>
      <x:c r="D1131" s="12" t="n"/>
      <x:c r="E1131" s="12" t="n"/>
      <x:c r="F1131" s="12" t="n"/>
      <x:c r="G1131" s="13">
        <x:f>IF(F1131="","",IFERROR(VLOOKUP(F1131,Master_Data!$E$24:$G$33,2,FALSE),"9999"))</x:f>
      </x:c>
      <x:c r="H1131" s="12" t="n"/>
      <x:c r="I1131" s="12" t="n"/>
      <x:c r="J1131" s="12" t="n"/>
      <x:c r="K1131" s="12" t="n"/>
      <x:c r="L1131" s="11" t="n"/>
      <x:c r="M1131" s="9" t="n"/>
      <x:c r="N1131" s="12" t="n"/>
      <x:c r="O1131" s="6">
        <x:f>IF(N1131="","",IFERROR(VLOOKUP(N1131,Master_Data!$A$5:$C$8,3,FALSE),0))</x:f>
      </x:c>
      <x:c r="P1131" s="7">
        <x:f>IF(M1131="","",M1131*O1131)</x:f>
      </x:c>
      <x:c r="Q1131" s="7">
        <x:f>IF(M1131="","",M1131+P1131)</x:f>
      </x:c>
      <x:c r="R1131" s="7">
        <x:f>IF(K1131&lt;&gt;"Paid",0,IF(C1131="Income",Q1131,-Q1131))</x:f>
      </x:c>
      <x:c r="S1131" s="14">
        <x:f>IF(A1131="","",DATE(YEAR(A1131),MONTH(A1131),1))</x:f>
      </x:c>
      <x:c r="T1131" s="14">
        <x:f>IF(L1131="","",DATE(YEAR(L1131),MONTH(L1131),1))</x:f>
      </x:c>
    </x:row>
    <x:row r="1132">
      <x:c r="A1132" s="11" t="n"/>
      <x:c r="B1132" s="5" t="n"/>
      <x:c r="C1132" s="12" t="n"/>
      <x:c r="D1132" s="12" t="n"/>
      <x:c r="E1132" s="12" t="n"/>
      <x:c r="F1132" s="12" t="n"/>
      <x:c r="G1132" s="13">
        <x:f>IF(F1132="","",IFERROR(VLOOKUP(F1132,Master_Data!$E$24:$G$33,2,FALSE),"9999"))</x:f>
      </x:c>
      <x:c r="H1132" s="12" t="n"/>
      <x:c r="I1132" s="12" t="n"/>
      <x:c r="J1132" s="12" t="n"/>
      <x:c r="K1132" s="12" t="n"/>
      <x:c r="L1132" s="11" t="n"/>
      <x:c r="M1132" s="9" t="n"/>
      <x:c r="N1132" s="12" t="n"/>
      <x:c r="O1132" s="6">
        <x:f>IF(N1132="","",IFERROR(VLOOKUP(N1132,Master_Data!$A$5:$C$8,3,FALSE),0))</x:f>
      </x:c>
      <x:c r="P1132" s="7">
        <x:f>IF(M1132="","",M1132*O1132)</x:f>
      </x:c>
      <x:c r="Q1132" s="7">
        <x:f>IF(M1132="","",M1132+P1132)</x:f>
      </x:c>
      <x:c r="R1132" s="7">
        <x:f>IF(K1132&lt;&gt;"Paid",0,IF(C1132="Income",Q1132,-Q1132))</x:f>
      </x:c>
      <x:c r="S1132" s="14">
        <x:f>IF(A1132="","",DATE(YEAR(A1132),MONTH(A1132),1))</x:f>
      </x:c>
      <x:c r="T1132" s="14">
        <x:f>IF(L1132="","",DATE(YEAR(L1132),MONTH(L1132),1))</x:f>
      </x:c>
    </x:row>
    <x:row r="1133">
      <x:c r="A1133" s="11" t="n"/>
      <x:c r="B1133" s="5" t="n"/>
      <x:c r="C1133" s="12" t="n"/>
      <x:c r="D1133" s="12" t="n"/>
      <x:c r="E1133" s="12" t="n"/>
      <x:c r="F1133" s="12" t="n"/>
      <x:c r="G1133" s="13">
        <x:f>IF(F1133="","",IFERROR(VLOOKUP(F1133,Master_Data!$E$24:$G$33,2,FALSE),"9999"))</x:f>
      </x:c>
      <x:c r="H1133" s="12" t="n"/>
      <x:c r="I1133" s="12" t="n"/>
      <x:c r="J1133" s="12" t="n"/>
      <x:c r="K1133" s="12" t="n"/>
      <x:c r="L1133" s="11" t="n"/>
      <x:c r="M1133" s="9" t="n"/>
      <x:c r="N1133" s="12" t="n"/>
      <x:c r="O1133" s="6">
        <x:f>IF(N1133="","",IFERROR(VLOOKUP(N1133,Master_Data!$A$5:$C$8,3,FALSE),0))</x:f>
      </x:c>
      <x:c r="P1133" s="7">
        <x:f>IF(M1133="","",M1133*O1133)</x:f>
      </x:c>
      <x:c r="Q1133" s="7">
        <x:f>IF(M1133="","",M1133+P1133)</x:f>
      </x:c>
      <x:c r="R1133" s="7">
        <x:f>IF(K1133&lt;&gt;"Paid",0,IF(C1133="Income",Q1133,-Q1133))</x:f>
      </x:c>
      <x:c r="S1133" s="14">
        <x:f>IF(A1133="","",DATE(YEAR(A1133),MONTH(A1133),1))</x:f>
      </x:c>
      <x:c r="T1133" s="14">
        <x:f>IF(L1133="","",DATE(YEAR(L1133),MONTH(L1133),1))</x:f>
      </x:c>
    </x:row>
    <x:row r="1134">
      <x:c r="A1134" s="11" t="n"/>
      <x:c r="B1134" s="5" t="n"/>
      <x:c r="C1134" s="12" t="n"/>
      <x:c r="D1134" s="12" t="n"/>
      <x:c r="E1134" s="12" t="n"/>
      <x:c r="F1134" s="12" t="n"/>
      <x:c r="G1134" s="13">
        <x:f>IF(F1134="","",IFERROR(VLOOKUP(F1134,Master_Data!$E$24:$G$33,2,FALSE),"9999"))</x:f>
      </x:c>
      <x:c r="H1134" s="12" t="n"/>
      <x:c r="I1134" s="12" t="n"/>
      <x:c r="J1134" s="12" t="n"/>
      <x:c r="K1134" s="12" t="n"/>
      <x:c r="L1134" s="11" t="n"/>
      <x:c r="M1134" s="9" t="n"/>
      <x:c r="N1134" s="12" t="n"/>
      <x:c r="O1134" s="6">
        <x:f>IF(N1134="","",IFERROR(VLOOKUP(N1134,Master_Data!$A$5:$C$8,3,FALSE),0))</x:f>
      </x:c>
      <x:c r="P1134" s="7">
        <x:f>IF(M1134="","",M1134*O1134)</x:f>
      </x:c>
      <x:c r="Q1134" s="7">
        <x:f>IF(M1134="","",M1134+P1134)</x:f>
      </x:c>
      <x:c r="R1134" s="7">
        <x:f>IF(K1134&lt;&gt;"Paid",0,IF(C1134="Income",Q1134,-Q1134))</x:f>
      </x:c>
      <x:c r="S1134" s="14">
        <x:f>IF(A1134="","",DATE(YEAR(A1134),MONTH(A1134),1))</x:f>
      </x:c>
      <x:c r="T1134" s="14">
        <x:f>IF(L1134="","",DATE(YEAR(L1134),MONTH(L1134),1))</x:f>
      </x:c>
    </x:row>
    <x:row r="1135">
      <x:c r="A1135" s="11" t="n"/>
      <x:c r="B1135" s="5" t="n"/>
      <x:c r="C1135" s="12" t="n"/>
      <x:c r="D1135" s="12" t="n"/>
      <x:c r="E1135" s="12" t="n"/>
      <x:c r="F1135" s="12" t="n"/>
      <x:c r="G1135" s="13">
        <x:f>IF(F1135="","",IFERROR(VLOOKUP(F1135,Master_Data!$E$24:$G$33,2,FALSE),"9999"))</x:f>
      </x:c>
      <x:c r="H1135" s="12" t="n"/>
      <x:c r="I1135" s="12" t="n"/>
      <x:c r="J1135" s="12" t="n"/>
      <x:c r="K1135" s="12" t="n"/>
      <x:c r="L1135" s="11" t="n"/>
      <x:c r="M1135" s="9" t="n"/>
      <x:c r="N1135" s="12" t="n"/>
      <x:c r="O1135" s="6">
        <x:f>IF(N1135="","",IFERROR(VLOOKUP(N1135,Master_Data!$A$5:$C$8,3,FALSE),0))</x:f>
      </x:c>
      <x:c r="P1135" s="7">
        <x:f>IF(M1135="","",M1135*O1135)</x:f>
      </x:c>
      <x:c r="Q1135" s="7">
        <x:f>IF(M1135="","",M1135+P1135)</x:f>
      </x:c>
      <x:c r="R1135" s="7">
        <x:f>IF(K1135&lt;&gt;"Paid",0,IF(C1135="Income",Q1135,-Q1135))</x:f>
      </x:c>
      <x:c r="S1135" s="14">
        <x:f>IF(A1135="","",DATE(YEAR(A1135),MONTH(A1135),1))</x:f>
      </x:c>
      <x:c r="T1135" s="14">
        <x:f>IF(L1135="","",DATE(YEAR(L1135),MONTH(L1135),1))</x:f>
      </x:c>
    </x:row>
    <x:row r="1136">
      <x:c r="A1136" s="11" t="n"/>
      <x:c r="B1136" s="5" t="n"/>
      <x:c r="C1136" s="12" t="n"/>
      <x:c r="D1136" s="12" t="n"/>
      <x:c r="E1136" s="12" t="n"/>
      <x:c r="F1136" s="12" t="n"/>
      <x:c r="G1136" s="13">
        <x:f>IF(F1136="","",IFERROR(VLOOKUP(F1136,Master_Data!$E$24:$G$33,2,FALSE),"9999"))</x:f>
      </x:c>
      <x:c r="H1136" s="12" t="n"/>
      <x:c r="I1136" s="12" t="n"/>
      <x:c r="J1136" s="12" t="n"/>
      <x:c r="K1136" s="12" t="n"/>
      <x:c r="L1136" s="11" t="n"/>
      <x:c r="M1136" s="9" t="n"/>
      <x:c r="N1136" s="12" t="n"/>
      <x:c r="O1136" s="6">
        <x:f>IF(N1136="","",IFERROR(VLOOKUP(N1136,Master_Data!$A$5:$C$8,3,FALSE),0))</x:f>
      </x:c>
      <x:c r="P1136" s="7">
        <x:f>IF(M1136="","",M1136*O1136)</x:f>
      </x:c>
      <x:c r="Q1136" s="7">
        <x:f>IF(M1136="","",M1136+P1136)</x:f>
      </x:c>
      <x:c r="R1136" s="7">
        <x:f>IF(K1136&lt;&gt;"Paid",0,IF(C1136="Income",Q1136,-Q1136))</x:f>
      </x:c>
      <x:c r="S1136" s="14">
        <x:f>IF(A1136="","",DATE(YEAR(A1136),MONTH(A1136),1))</x:f>
      </x:c>
      <x:c r="T1136" s="14">
        <x:f>IF(L1136="","",DATE(YEAR(L1136),MONTH(L1136),1))</x:f>
      </x:c>
    </x:row>
    <x:row r="1137">
      <x:c r="A1137" s="11" t="n"/>
      <x:c r="B1137" s="5" t="n"/>
      <x:c r="C1137" s="12" t="n"/>
      <x:c r="D1137" s="12" t="n"/>
      <x:c r="E1137" s="12" t="n"/>
      <x:c r="F1137" s="12" t="n"/>
      <x:c r="G1137" s="13">
        <x:f>IF(F1137="","",IFERROR(VLOOKUP(F1137,Master_Data!$E$24:$G$33,2,FALSE),"9999"))</x:f>
      </x:c>
      <x:c r="H1137" s="12" t="n"/>
      <x:c r="I1137" s="12" t="n"/>
      <x:c r="J1137" s="12" t="n"/>
      <x:c r="K1137" s="12" t="n"/>
      <x:c r="L1137" s="11" t="n"/>
      <x:c r="M1137" s="9" t="n"/>
      <x:c r="N1137" s="12" t="n"/>
      <x:c r="O1137" s="6">
        <x:f>IF(N1137="","",IFERROR(VLOOKUP(N1137,Master_Data!$A$5:$C$8,3,FALSE),0))</x:f>
      </x:c>
      <x:c r="P1137" s="7">
        <x:f>IF(M1137="","",M1137*O1137)</x:f>
      </x:c>
      <x:c r="Q1137" s="7">
        <x:f>IF(M1137="","",M1137+P1137)</x:f>
      </x:c>
      <x:c r="R1137" s="7">
        <x:f>IF(K1137&lt;&gt;"Paid",0,IF(C1137="Income",Q1137,-Q1137))</x:f>
      </x:c>
      <x:c r="S1137" s="14">
        <x:f>IF(A1137="","",DATE(YEAR(A1137),MONTH(A1137),1))</x:f>
      </x:c>
      <x:c r="T1137" s="14">
        <x:f>IF(L1137="","",DATE(YEAR(L1137),MONTH(L1137),1))</x:f>
      </x:c>
    </x:row>
    <x:row r="1138">
      <x:c r="A1138" s="11" t="n"/>
      <x:c r="B1138" s="5" t="n"/>
      <x:c r="C1138" s="12" t="n"/>
      <x:c r="D1138" s="12" t="n"/>
      <x:c r="E1138" s="12" t="n"/>
      <x:c r="F1138" s="12" t="n"/>
      <x:c r="G1138" s="13">
        <x:f>IF(F1138="","",IFERROR(VLOOKUP(F1138,Master_Data!$E$24:$G$33,2,FALSE),"9999"))</x:f>
      </x:c>
      <x:c r="H1138" s="12" t="n"/>
      <x:c r="I1138" s="12" t="n"/>
      <x:c r="J1138" s="12" t="n"/>
      <x:c r="K1138" s="12" t="n"/>
      <x:c r="L1138" s="11" t="n"/>
      <x:c r="M1138" s="9" t="n"/>
      <x:c r="N1138" s="12" t="n"/>
      <x:c r="O1138" s="6">
        <x:f>IF(N1138="","",IFERROR(VLOOKUP(N1138,Master_Data!$A$5:$C$8,3,FALSE),0))</x:f>
      </x:c>
      <x:c r="P1138" s="7">
        <x:f>IF(M1138="","",M1138*O1138)</x:f>
      </x:c>
      <x:c r="Q1138" s="7">
        <x:f>IF(M1138="","",M1138+P1138)</x:f>
      </x:c>
      <x:c r="R1138" s="7">
        <x:f>IF(K1138&lt;&gt;"Paid",0,IF(C1138="Income",Q1138,-Q1138))</x:f>
      </x:c>
      <x:c r="S1138" s="14">
        <x:f>IF(A1138="","",DATE(YEAR(A1138),MONTH(A1138),1))</x:f>
      </x:c>
      <x:c r="T1138" s="14">
        <x:f>IF(L1138="","",DATE(YEAR(L1138),MONTH(L1138),1))</x:f>
      </x:c>
    </x:row>
    <x:row r="1139">
      <x:c r="A1139" s="11" t="n"/>
      <x:c r="B1139" s="5" t="n"/>
      <x:c r="C1139" s="12" t="n"/>
      <x:c r="D1139" s="12" t="n"/>
      <x:c r="E1139" s="12" t="n"/>
      <x:c r="F1139" s="12" t="n"/>
      <x:c r="G1139" s="13">
        <x:f>IF(F1139="","",IFERROR(VLOOKUP(F1139,Master_Data!$E$24:$G$33,2,FALSE),"9999"))</x:f>
      </x:c>
      <x:c r="H1139" s="12" t="n"/>
      <x:c r="I1139" s="12" t="n"/>
      <x:c r="J1139" s="12" t="n"/>
      <x:c r="K1139" s="12" t="n"/>
      <x:c r="L1139" s="11" t="n"/>
      <x:c r="M1139" s="9" t="n"/>
      <x:c r="N1139" s="12" t="n"/>
      <x:c r="O1139" s="6">
        <x:f>IF(N1139="","",IFERROR(VLOOKUP(N1139,Master_Data!$A$5:$C$8,3,FALSE),0))</x:f>
      </x:c>
      <x:c r="P1139" s="7">
        <x:f>IF(M1139="","",M1139*O1139)</x:f>
      </x:c>
      <x:c r="Q1139" s="7">
        <x:f>IF(M1139="","",M1139+P1139)</x:f>
      </x:c>
      <x:c r="R1139" s="7">
        <x:f>IF(K1139&lt;&gt;"Paid",0,IF(C1139="Income",Q1139,-Q1139))</x:f>
      </x:c>
      <x:c r="S1139" s="14">
        <x:f>IF(A1139="","",DATE(YEAR(A1139),MONTH(A1139),1))</x:f>
      </x:c>
      <x:c r="T1139" s="14">
        <x:f>IF(L1139="","",DATE(YEAR(L1139),MONTH(L1139),1))</x:f>
      </x:c>
    </x:row>
    <x:row r="1140">
      <x:c r="A1140" s="11" t="n"/>
      <x:c r="B1140" s="5" t="n"/>
      <x:c r="C1140" s="12" t="n"/>
      <x:c r="D1140" s="12" t="n"/>
      <x:c r="E1140" s="12" t="n"/>
      <x:c r="F1140" s="12" t="n"/>
      <x:c r="G1140" s="13">
        <x:f>IF(F1140="","",IFERROR(VLOOKUP(F1140,Master_Data!$E$24:$G$33,2,FALSE),"9999"))</x:f>
      </x:c>
      <x:c r="H1140" s="12" t="n"/>
      <x:c r="I1140" s="12" t="n"/>
      <x:c r="J1140" s="12" t="n"/>
      <x:c r="K1140" s="12" t="n"/>
      <x:c r="L1140" s="11" t="n"/>
      <x:c r="M1140" s="9" t="n"/>
      <x:c r="N1140" s="12" t="n"/>
      <x:c r="O1140" s="6">
        <x:f>IF(N1140="","",IFERROR(VLOOKUP(N1140,Master_Data!$A$5:$C$8,3,FALSE),0))</x:f>
      </x:c>
      <x:c r="P1140" s="7">
        <x:f>IF(M1140="","",M1140*O1140)</x:f>
      </x:c>
      <x:c r="Q1140" s="7">
        <x:f>IF(M1140="","",M1140+P1140)</x:f>
      </x:c>
      <x:c r="R1140" s="7">
        <x:f>IF(K1140&lt;&gt;"Paid",0,IF(C1140="Income",Q1140,-Q1140))</x:f>
      </x:c>
      <x:c r="S1140" s="14">
        <x:f>IF(A1140="","",DATE(YEAR(A1140),MONTH(A1140),1))</x:f>
      </x:c>
      <x:c r="T1140" s="14">
        <x:f>IF(L1140="","",DATE(YEAR(L1140),MONTH(L1140),1))</x:f>
      </x:c>
    </x:row>
    <x:row r="1141">
      <x:c r="A1141" s="11" t="n"/>
      <x:c r="B1141" s="5" t="n"/>
      <x:c r="C1141" s="12" t="n"/>
      <x:c r="D1141" s="12" t="n"/>
      <x:c r="E1141" s="12" t="n"/>
      <x:c r="F1141" s="12" t="n"/>
      <x:c r="G1141" s="13">
        <x:f>IF(F1141="","",IFERROR(VLOOKUP(F1141,Master_Data!$E$24:$G$33,2,FALSE),"9999"))</x:f>
      </x:c>
      <x:c r="H1141" s="12" t="n"/>
      <x:c r="I1141" s="12" t="n"/>
      <x:c r="J1141" s="12" t="n"/>
      <x:c r="K1141" s="12" t="n"/>
      <x:c r="L1141" s="11" t="n"/>
      <x:c r="M1141" s="9" t="n"/>
      <x:c r="N1141" s="12" t="n"/>
      <x:c r="O1141" s="6">
        <x:f>IF(N1141="","",IFERROR(VLOOKUP(N1141,Master_Data!$A$5:$C$8,3,FALSE),0))</x:f>
      </x:c>
      <x:c r="P1141" s="7">
        <x:f>IF(M1141="","",M1141*O1141)</x:f>
      </x:c>
      <x:c r="Q1141" s="7">
        <x:f>IF(M1141="","",M1141+P1141)</x:f>
      </x:c>
      <x:c r="R1141" s="7">
        <x:f>IF(K1141&lt;&gt;"Paid",0,IF(C1141="Income",Q1141,-Q1141))</x:f>
      </x:c>
      <x:c r="S1141" s="14">
        <x:f>IF(A1141="","",DATE(YEAR(A1141),MONTH(A1141),1))</x:f>
      </x:c>
      <x:c r="T1141" s="14">
        <x:f>IF(L1141="","",DATE(YEAR(L1141),MONTH(L1141),1))</x:f>
      </x:c>
    </x:row>
    <x:row r="1142">
      <x:c r="A1142" s="11" t="n"/>
      <x:c r="B1142" s="5" t="n"/>
      <x:c r="C1142" s="12" t="n"/>
      <x:c r="D1142" s="12" t="n"/>
      <x:c r="E1142" s="12" t="n"/>
      <x:c r="F1142" s="12" t="n"/>
      <x:c r="G1142" s="13">
        <x:f>IF(F1142="","",IFERROR(VLOOKUP(F1142,Master_Data!$E$24:$G$33,2,FALSE),"9999"))</x:f>
      </x:c>
      <x:c r="H1142" s="12" t="n"/>
      <x:c r="I1142" s="12" t="n"/>
      <x:c r="J1142" s="12" t="n"/>
      <x:c r="K1142" s="12" t="n"/>
      <x:c r="L1142" s="11" t="n"/>
      <x:c r="M1142" s="9" t="n"/>
      <x:c r="N1142" s="12" t="n"/>
      <x:c r="O1142" s="6">
        <x:f>IF(N1142="","",IFERROR(VLOOKUP(N1142,Master_Data!$A$5:$C$8,3,FALSE),0))</x:f>
      </x:c>
      <x:c r="P1142" s="7">
        <x:f>IF(M1142="","",M1142*O1142)</x:f>
      </x:c>
      <x:c r="Q1142" s="7">
        <x:f>IF(M1142="","",M1142+P1142)</x:f>
      </x:c>
      <x:c r="R1142" s="7">
        <x:f>IF(K1142&lt;&gt;"Paid",0,IF(C1142="Income",Q1142,-Q1142))</x:f>
      </x:c>
      <x:c r="S1142" s="14">
        <x:f>IF(A1142="","",DATE(YEAR(A1142),MONTH(A1142),1))</x:f>
      </x:c>
      <x:c r="T1142" s="14">
        <x:f>IF(L1142="","",DATE(YEAR(L1142),MONTH(L1142),1))</x:f>
      </x:c>
    </x:row>
    <x:row r="1143">
      <x:c r="A1143" s="11" t="n"/>
      <x:c r="B1143" s="5" t="n"/>
      <x:c r="C1143" s="12" t="n"/>
      <x:c r="D1143" s="12" t="n"/>
      <x:c r="E1143" s="12" t="n"/>
      <x:c r="F1143" s="12" t="n"/>
      <x:c r="G1143" s="13">
        <x:f>IF(F1143="","",IFERROR(VLOOKUP(F1143,Master_Data!$E$24:$G$33,2,FALSE),"9999"))</x:f>
      </x:c>
      <x:c r="H1143" s="12" t="n"/>
      <x:c r="I1143" s="12" t="n"/>
      <x:c r="J1143" s="12" t="n"/>
      <x:c r="K1143" s="12" t="n"/>
      <x:c r="L1143" s="11" t="n"/>
      <x:c r="M1143" s="9" t="n"/>
      <x:c r="N1143" s="12" t="n"/>
      <x:c r="O1143" s="6">
        <x:f>IF(N1143="","",IFERROR(VLOOKUP(N1143,Master_Data!$A$5:$C$8,3,FALSE),0))</x:f>
      </x:c>
      <x:c r="P1143" s="7">
        <x:f>IF(M1143="","",M1143*O1143)</x:f>
      </x:c>
      <x:c r="Q1143" s="7">
        <x:f>IF(M1143="","",M1143+P1143)</x:f>
      </x:c>
      <x:c r="R1143" s="7">
        <x:f>IF(K1143&lt;&gt;"Paid",0,IF(C1143="Income",Q1143,-Q1143))</x:f>
      </x:c>
      <x:c r="S1143" s="14">
        <x:f>IF(A1143="","",DATE(YEAR(A1143),MONTH(A1143),1))</x:f>
      </x:c>
      <x:c r="T1143" s="14">
        <x:f>IF(L1143="","",DATE(YEAR(L1143),MONTH(L1143),1))</x:f>
      </x:c>
    </x:row>
    <x:row r="1144">
      <x:c r="A1144" s="11" t="n"/>
      <x:c r="B1144" s="5" t="n"/>
      <x:c r="C1144" s="12" t="n"/>
      <x:c r="D1144" s="12" t="n"/>
      <x:c r="E1144" s="12" t="n"/>
      <x:c r="F1144" s="12" t="n"/>
      <x:c r="G1144" s="13">
        <x:f>IF(F1144="","",IFERROR(VLOOKUP(F1144,Master_Data!$E$24:$G$33,2,FALSE),"9999"))</x:f>
      </x:c>
      <x:c r="H1144" s="12" t="n"/>
      <x:c r="I1144" s="12" t="n"/>
      <x:c r="J1144" s="12" t="n"/>
      <x:c r="K1144" s="12" t="n"/>
      <x:c r="L1144" s="11" t="n"/>
      <x:c r="M1144" s="9" t="n"/>
      <x:c r="N1144" s="12" t="n"/>
      <x:c r="O1144" s="6">
        <x:f>IF(N1144="","",IFERROR(VLOOKUP(N1144,Master_Data!$A$5:$C$8,3,FALSE),0))</x:f>
      </x:c>
      <x:c r="P1144" s="7">
        <x:f>IF(M1144="","",M1144*O1144)</x:f>
      </x:c>
      <x:c r="Q1144" s="7">
        <x:f>IF(M1144="","",M1144+P1144)</x:f>
      </x:c>
      <x:c r="R1144" s="7">
        <x:f>IF(K1144&lt;&gt;"Paid",0,IF(C1144="Income",Q1144,-Q1144))</x:f>
      </x:c>
      <x:c r="S1144" s="14">
        <x:f>IF(A1144="","",DATE(YEAR(A1144),MONTH(A1144),1))</x:f>
      </x:c>
      <x:c r="T1144" s="14">
        <x:f>IF(L1144="","",DATE(YEAR(L1144),MONTH(L1144),1))</x:f>
      </x:c>
    </x:row>
    <x:row r="1145">
      <x:c r="A1145" s="11" t="n"/>
      <x:c r="B1145" s="5" t="n"/>
      <x:c r="C1145" s="12" t="n"/>
      <x:c r="D1145" s="12" t="n"/>
      <x:c r="E1145" s="12" t="n"/>
      <x:c r="F1145" s="12" t="n"/>
      <x:c r="G1145" s="13">
        <x:f>IF(F1145="","",IFERROR(VLOOKUP(F1145,Master_Data!$E$24:$G$33,2,FALSE),"9999"))</x:f>
      </x:c>
      <x:c r="H1145" s="12" t="n"/>
      <x:c r="I1145" s="12" t="n"/>
      <x:c r="J1145" s="12" t="n"/>
      <x:c r="K1145" s="12" t="n"/>
      <x:c r="L1145" s="11" t="n"/>
      <x:c r="M1145" s="9" t="n"/>
      <x:c r="N1145" s="12" t="n"/>
      <x:c r="O1145" s="6">
        <x:f>IF(N1145="","",IFERROR(VLOOKUP(N1145,Master_Data!$A$5:$C$8,3,FALSE),0))</x:f>
      </x:c>
      <x:c r="P1145" s="7">
        <x:f>IF(M1145="","",M1145*O1145)</x:f>
      </x:c>
      <x:c r="Q1145" s="7">
        <x:f>IF(M1145="","",M1145+P1145)</x:f>
      </x:c>
      <x:c r="R1145" s="7">
        <x:f>IF(K1145&lt;&gt;"Paid",0,IF(C1145="Income",Q1145,-Q1145))</x:f>
      </x:c>
      <x:c r="S1145" s="14">
        <x:f>IF(A1145="","",DATE(YEAR(A1145),MONTH(A1145),1))</x:f>
      </x:c>
      <x:c r="T1145" s="14">
        <x:f>IF(L1145="","",DATE(YEAR(L1145),MONTH(L1145),1))</x:f>
      </x:c>
    </x:row>
    <x:row r="1146">
      <x:c r="A1146" s="11" t="n"/>
      <x:c r="B1146" s="5" t="n"/>
      <x:c r="C1146" s="12" t="n"/>
      <x:c r="D1146" s="12" t="n"/>
      <x:c r="E1146" s="12" t="n"/>
      <x:c r="F1146" s="12" t="n"/>
      <x:c r="G1146" s="13">
        <x:f>IF(F1146="","",IFERROR(VLOOKUP(F1146,Master_Data!$E$24:$G$33,2,FALSE),"9999"))</x:f>
      </x:c>
      <x:c r="H1146" s="12" t="n"/>
      <x:c r="I1146" s="12" t="n"/>
      <x:c r="J1146" s="12" t="n"/>
      <x:c r="K1146" s="12" t="n"/>
      <x:c r="L1146" s="11" t="n"/>
      <x:c r="M1146" s="9" t="n"/>
      <x:c r="N1146" s="12" t="n"/>
      <x:c r="O1146" s="6">
        <x:f>IF(N1146="","",IFERROR(VLOOKUP(N1146,Master_Data!$A$5:$C$8,3,FALSE),0))</x:f>
      </x:c>
      <x:c r="P1146" s="7">
        <x:f>IF(M1146="","",M1146*O1146)</x:f>
      </x:c>
      <x:c r="Q1146" s="7">
        <x:f>IF(M1146="","",M1146+P1146)</x:f>
      </x:c>
      <x:c r="R1146" s="7">
        <x:f>IF(K1146&lt;&gt;"Paid",0,IF(C1146="Income",Q1146,-Q1146))</x:f>
      </x:c>
      <x:c r="S1146" s="14">
        <x:f>IF(A1146="","",DATE(YEAR(A1146),MONTH(A1146),1))</x:f>
      </x:c>
      <x:c r="T1146" s="14">
        <x:f>IF(L1146="","",DATE(YEAR(L1146),MONTH(L1146),1))</x:f>
      </x:c>
    </x:row>
    <x:row r="1147">
      <x:c r="A1147" s="11" t="n"/>
      <x:c r="B1147" s="5" t="n"/>
      <x:c r="C1147" s="12" t="n"/>
      <x:c r="D1147" s="12" t="n"/>
      <x:c r="E1147" s="12" t="n"/>
      <x:c r="F1147" s="12" t="n"/>
      <x:c r="G1147" s="13">
        <x:f>IF(F1147="","",IFERROR(VLOOKUP(F1147,Master_Data!$E$24:$G$33,2,FALSE),"9999"))</x:f>
      </x:c>
      <x:c r="H1147" s="12" t="n"/>
      <x:c r="I1147" s="12" t="n"/>
      <x:c r="J1147" s="12" t="n"/>
      <x:c r="K1147" s="12" t="n"/>
      <x:c r="L1147" s="11" t="n"/>
      <x:c r="M1147" s="9" t="n"/>
      <x:c r="N1147" s="12" t="n"/>
      <x:c r="O1147" s="6">
        <x:f>IF(N1147="","",IFERROR(VLOOKUP(N1147,Master_Data!$A$5:$C$8,3,FALSE),0))</x:f>
      </x:c>
      <x:c r="P1147" s="7">
        <x:f>IF(M1147="","",M1147*O1147)</x:f>
      </x:c>
      <x:c r="Q1147" s="7">
        <x:f>IF(M1147="","",M1147+P1147)</x:f>
      </x:c>
      <x:c r="R1147" s="7">
        <x:f>IF(K1147&lt;&gt;"Paid",0,IF(C1147="Income",Q1147,-Q1147))</x:f>
      </x:c>
      <x:c r="S1147" s="14">
        <x:f>IF(A1147="","",DATE(YEAR(A1147),MONTH(A1147),1))</x:f>
      </x:c>
      <x:c r="T1147" s="14">
        <x:f>IF(L1147="","",DATE(YEAR(L1147),MONTH(L1147),1))</x:f>
      </x:c>
    </x:row>
    <x:row r="1148">
      <x:c r="A1148" s="11" t="n"/>
      <x:c r="B1148" s="5" t="n"/>
      <x:c r="C1148" s="12" t="n"/>
      <x:c r="D1148" s="12" t="n"/>
      <x:c r="E1148" s="12" t="n"/>
      <x:c r="F1148" s="12" t="n"/>
      <x:c r="G1148" s="13">
        <x:f>IF(F1148="","",IFERROR(VLOOKUP(F1148,Master_Data!$E$24:$G$33,2,FALSE),"9999"))</x:f>
      </x:c>
      <x:c r="H1148" s="12" t="n"/>
      <x:c r="I1148" s="12" t="n"/>
      <x:c r="J1148" s="12" t="n"/>
      <x:c r="K1148" s="12" t="n"/>
      <x:c r="L1148" s="11" t="n"/>
      <x:c r="M1148" s="9" t="n"/>
      <x:c r="N1148" s="12" t="n"/>
      <x:c r="O1148" s="6">
        <x:f>IF(N1148="","",IFERROR(VLOOKUP(N1148,Master_Data!$A$5:$C$8,3,FALSE),0))</x:f>
      </x:c>
      <x:c r="P1148" s="7">
        <x:f>IF(M1148="","",M1148*O1148)</x:f>
      </x:c>
      <x:c r="Q1148" s="7">
        <x:f>IF(M1148="","",M1148+P1148)</x:f>
      </x:c>
      <x:c r="R1148" s="7">
        <x:f>IF(K1148&lt;&gt;"Paid",0,IF(C1148="Income",Q1148,-Q1148))</x:f>
      </x:c>
      <x:c r="S1148" s="14">
        <x:f>IF(A1148="","",DATE(YEAR(A1148),MONTH(A1148),1))</x:f>
      </x:c>
      <x:c r="T1148" s="14">
        <x:f>IF(L1148="","",DATE(YEAR(L1148),MONTH(L1148),1))</x:f>
      </x:c>
    </x:row>
    <x:row r="1149">
      <x:c r="A1149" s="11" t="n"/>
      <x:c r="B1149" s="5" t="n"/>
      <x:c r="C1149" s="12" t="n"/>
      <x:c r="D1149" s="12" t="n"/>
      <x:c r="E1149" s="12" t="n"/>
      <x:c r="F1149" s="12" t="n"/>
      <x:c r="G1149" s="13">
        <x:f>IF(F1149="","",IFERROR(VLOOKUP(F1149,Master_Data!$E$24:$G$33,2,FALSE),"9999"))</x:f>
      </x:c>
      <x:c r="H1149" s="12" t="n"/>
      <x:c r="I1149" s="12" t="n"/>
      <x:c r="J1149" s="12" t="n"/>
      <x:c r="K1149" s="12" t="n"/>
      <x:c r="L1149" s="11" t="n"/>
      <x:c r="M1149" s="9" t="n"/>
      <x:c r="N1149" s="12" t="n"/>
      <x:c r="O1149" s="6">
        <x:f>IF(N1149="","",IFERROR(VLOOKUP(N1149,Master_Data!$A$5:$C$8,3,FALSE),0))</x:f>
      </x:c>
      <x:c r="P1149" s="7">
        <x:f>IF(M1149="","",M1149*O1149)</x:f>
      </x:c>
      <x:c r="Q1149" s="7">
        <x:f>IF(M1149="","",M1149+P1149)</x:f>
      </x:c>
      <x:c r="R1149" s="7">
        <x:f>IF(K1149&lt;&gt;"Paid",0,IF(C1149="Income",Q1149,-Q1149))</x:f>
      </x:c>
      <x:c r="S1149" s="14">
        <x:f>IF(A1149="","",DATE(YEAR(A1149),MONTH(A1149),1))</x:f>
      </x:c>
      <x:c r="T1149" s="14">
        <x:f>IF(L1149="","",DATE(YEAR(L1149),MONTH(L1149),1))</x:f>
      </x:c>
    </x:row>
    <x:row r="1150">
      <x:c r="A1150" s="11" t="n"/>
      <x:c r="B1150" s="5" t="n"/>
      <x:c r="C1150" s="12" t="n"/>
      <x:c r="D1150" s="12" t="n"/>
      <x:c r="E1150" s="12" t="n"/>
      <x:c r="F1150" s="12" t="n"/>
      <x:c r="G1150" s="13">
        <x:f>IF(F1150="","",IFERROR(VLOOKUP(F1150,Master_Data!$E$24:$G$33,2,FALSE),"9999"))</x:f>
      </x:c>
      <x:c r="H1150" s="12" t="n"/>
      <x:c r="I1150" s="12" t="n"/>
      <x:c r="J1150" s="12" t="n"/>
      <x:c r="K1150" s="12" t="n"/>
      <x:c r="L1150" s="11" t="n"/>
      <x:c r="M1150" s="9" t="n"/>
      <x:c r="N1150" s="12" t="n"/>
      <x:c r="O1150" s="6">
        <x:f>IF(N1150="","",IFERROR(VLOOKUP(N1150,Master_Data!$A$5:$C$8,3,FALSE),0))</x:f>
      </x:c>
      <x:c r="P1150" s="7">
        <x:f>IF(M1150="","",M1150*O1150)</x:f>
      </x:c>
      <x:c r="Q1150" s="7">
        <x:f>IF(M1150="","",M1150+P1150)</x:f>
      </x:c>
      <x:c r="R1150" s="7">
        <x:f>IF(K1150&lt;&gt;"Paid",0,IF(C1150="Income",Q1150,-Q1150))</x:f>
      </x:c>
      <x:c r="S1150" s="14">
        <x:f>IF(A1150="","",DATE(YEAR(A1150),MONTH(A1150),1))</x:f>
      </x:c>
      <x:c r="T1150" s="14">
        <x:f>IF(L1150="","",DATE(YEAR(L1150),MONTH(L1150),1))</x:f>
      </x:c>
    </x:row>
    <x:row r="1151">
      <x:c r="A1151" s="11" t="n"/>
      <x:c r="B1151" s="5" t="n"/>
      <x:c r="C1151" s="12" t="n"/>
      <x:c r="D1151" s="12" t="n"/>
      <x:c r="E1151" s="12" t="n"/>
      <x:c r="F1151" s="12" t="n"/>
      <x:c r="G1151" s="13">
        <x:f>IF(F1151="","",IFERROR(VLOOKUP(F1151,Master_Data!$E$24:$G$33,2,FALSE),"9999"))</x:f>
      </x:c>
      <x:c r="H1151" s="12" t="n"/>
      <x:c r="I1151" s="12" t="n"/>
      <x:c r="J1151" s="12" t="n"/>
      <x:c r="K1151" s="12" t="n"/>
      <x:c r="L1151" s="11" t="n"/>
      <x:c r="M1151" s="9" t="n"/>
      <x:c r="N1151" s="12" t="n"/>
      <x:c r="O1151" s="6">
        <x:f>IF(N1151="","",IFERROR(VLOOKUP(N1151,Master_Data!$A$5:$C$8,3,FALSE),0))</x:f>
      </x:c>
      <x:c r="P1151" s="7">
        <x:f>IF(M1151="","",M1151*O1151)</x:f>
      </x:c>
      <x:c r="Q1151" s="7">
        <x:f>IF(M1151="","",M1151+P1151)</x:f>
      </x:c>
      <x:c r="R1151" s="7">
        <x:f>IF(K1151&lt;&gt;"Paid",0,IF(C1151="Income",Q1151,-Q1151))</x:f>
      </x:c>
      <x:c r="S1151" s="14">
        <x:f>IF(A1151="","",DATE(YEAR(A1151),MONTH(A1151),1))</x:f>
      </x:c>
      <x:c r="T1151" s="14">
        <x:f>IF(L1151="","",DATE(YEAR(L1151),MONTH(L1151),1))</x:f>
      </x:c>
    </x:row>
    <x:row r="1152">
      <x:c r="A1152" s="11" t="n"/>
      <x:c r="B1152" s="5" t="n"/>
      <x:c r="C1152" s="12" t="n"/>
      <x:c r="D1152" s="12" t="n"/>
      <x:c r="E1152" s="12" t="n"/>
      <x:c r="F1152" s="12" t="n"/>
      <x:c r="G1152" s="13">
        <x:f>IF(F1152="","",IFERROR(VLOOKUP(F1152,Master_Data!$E$24:$G$33,2,FALSE),"9999"))</x:f>
      </x:c>
      <x:c r="H1152" s="12" t="n"/>
      <x:c r="I1152" s="12" t="n"/>
      <x:c r="J1152" s="12" t="n"/>
      <x:c r="K1152" s="12" t="n"/>
      <x:c r="L1152" s="11" t="n"/>
      <x:c r="M1152" s="9" t="n"/>
      <x:c r="N1152" s="12" t="n"/>
      <x:c r="O1152" s="6">
        <x:f>IF(N1152="","",IFERROR(VLOOKUP(N1152,Master_Data!$A$5:$C$8,3,FALSE),0))</x:f>
      </x:c>
      <x:c r="P1152" s="7">
        <x:f>IF(M1152="","",M1152*O1152)</x:f>
      </x:c>
      <x:c r="Q1152" s="7">
        <x:f>IF(M1152="","",M1152+P1152)</x:f>
      </x:c>
      <x:c r="R1152" s="7">
        <x:f>IF(K1152&lt;&gt;"Paid",0,IF(C1152="Income",Q1152,-Q1152))</x:f>
      </x:c>
      <x:c r="S1152" s="14">
        <x:f>IF(A1152="","",DATE(YEAR(A1152),MONTH(A1152),1))</x:f>
      </x:c>
      <x:c r="T1152" s="14">
        <x:f>IF(L1152="","",DATE(YEAR(L1152),MONTH(L1152),1))</x:f>
      </x:c>
    </x:row>
    <x:row r="1153">
      <x:c r="A1153" s="11" t="n"/>
      <x:c r="B1153" s="5" t="n"/>
      <x:c r="C1153" s="12" t="n"/>
      <x:c r="D1153" s="12" t="n"/>
      <x:c r="E1153" s="12" t="n"/>
      <x:c r="F1153" s="12" t="n"/>
      <x:c r="G1153" s="13">
        <x:f>IF(F1153="","",IFERROR(VLOOKUP(F1153,Master_Data!$E$24:$G$33,2,FALSE),"9999"))</x:f>
      </x:c>
      <x:c r="H1153" s="12" t="n"/>
      <x:c r="I1153" s="12" t="n"/>
      <x:c r="J1153" s="12" t="n"/>
      <x:c r="K1153" s="12" t="n"/>
      <x:c r="L1153" s="11" t="n"/>
      <x:c r="M1153" s="9" t="n"/>
      <x:c r="N1153" s="12" t="n"/>
      <x:c r="O1153" s="6">
        <x:f>IF(N1153="","",IFERROR(VLOOKUP(N1153,Master_Data!$A$5:$C$8,3,FALSE),0))</x:f>
      </x:c>
      <x:c r="P1153" s="7">
        <x:f>IF(M1153="","",M1153*O1153)</x:f>
      </x:c>
      <x:c r="Q1153" s="7">
        <x:f>IF(M1153="","",M1153+P1153)</x:f>
      </x:c>
      <x:c r="R1153" s="7">
        <x:f>IF(K1153&lt;&gt;"Paid",0,IF(C1153="Income",Q1153,-Q1153))</x:f>
      </x:c>
      <x:c r="S1153" s="14">
        <x:f>IF(A1153="","",DATE(YEAR(A1153),MONTH(A1153),1))</x:f>
      </x:c>
      <x:c r="T1153" s="14">
        <x:f>IF(L1153="","",DATE(YEAR(L1153),MONTH(L1153),1))</x:f>
      </x:c>
    </x:row>
    <x:row r="1154">
      <x:c r="A1154" s="11" t="n"/>
      <x:c r="B1154" s="5" t="n"/>
      <x:c r="C1154" s="12" t="n"/>
      <x:c r="D1154" s="12" t="n"/>
      <x:c r="E1154" s="12" t="n"/>
      <x:c r="F1154" s="12" t="n"/>
      <x:c r="G1154" s="13">
        <x:f>IF(F1154="","",IFERROR(VLOOKUP(F1154,Master_Data!$E$24:$G$33,2,FALSE),"9999"))</x:f>
      </x:c>
      <x:c r="H1154" s="12" t="n"/>
      <x:c r="I1154" s="12" t="n"/>
      <x:c r="J1154" s="12" t="n"/>
      <x:c r="K1154" s="12" t="n"/>
      <x:c r="L1154" s="11" t="n"/>
      <x:c r="M1154" s="9" t="n"/>
      <x:c r="N1154" s="12" t="n"/>
      <x:c r="O1154" s="6">
        <x:f>IF(N1154="","",IFERROR(VLOOKUP(N1154,Master_Data!$A$5:$C$8,3,FALSE),0))</x:f>
      </x:c>
      <x:c r="P1154" s="7">
        <x:f>IF(M1154="","",M1154*O1154)</x:f>
      </x:c>
      <x:c r="Q1154" s="7">
        <x:f>IF(M1154="","",M1154+P1154)</x:f>
      </x:c>
      <x:c r="R1154" s="7">
        <x:f>IF(K1154&lt;&gt;"Paid",0,IF(C1154="Income",Q1154,-Q1154))</x:f>
      </x:c>
      <x:c r="S1154" s="14">
        <x:f>IF(A1154="","",DATE(YEAR(A1154),MONTH(A1154),1))</x:f>
      </x:c>
      <x:c r="T1154" s="14">
        <x:f>IF(L1154="","",DATE(YEAR(L1154),MONTH(L1154),1))</x:f>
      </x:c>
    </x:row>
    <x:row r="1155">
      <x:c r="A1155" s="11" t="n"/>
      <x:c r="B1155" s="5" t="n"/>
      <x:c r="C1155" s="12" t="n"/>
      <x:c r="D1155" s="12" t="n"/>
      <x:c r="E1155" s="12" t="n"/>
      <x:c r="F1155" s="12" t="n"/>
      <x:c r="G1155" s="13">
        <x:f>IF(F1155="","",IFERROR(VLOOKUP(F1155,Master_Data!$E$24:$G$33,2,FALSE),"9999"))</x:f>
      </x:c>
      <x:c r="H1155" s="12" t="n"/>
      <x:c r="I1155" s="12" t="n"/>
      <x:c r="J1155" s="12" t="n"/>
      <x:c r="K1155" s="12" t="n"/>
      <x:c r="L1155" s="11" t="n"/>
      <x:c r="M1155" s="9" t="n"/>
      <x:c r="N1155" s="12" t="n"/>
      <x:c r="O1155" s="6">
        <x:f>IF(N1155="","",IFERROR(VLOOKUP(N1155,Master_Data!$A$5:$C$8,3,FALSE),0))</x:f>
      </x:c>
      <x:c r="P1155" s="7">
        <x:f>IF(M1155="","",M1155*O1155)</x:f>
      </x:c>
      <x:c r="Q1155" s="7">
        <x:f>IF(M1155="","",M1155+P1155)</x:f>
      </x:c>
      <x:c r="R1155" s="7">
        <x:f>IF(K1155&lt;&gt;"Paid",0,IF(C1155="Income",Q1155,-Q1155))</x:f>
      </x:c>
      <x:c r="S1155" s="14">
        <x:f>IF(A1155="","",DATE(YEAR(A1155),MONTH(A1155),1))</x:f>
      </x:c>
      <x:c r="T1155" s="14">
        <x:f>IF(L1155="","",DATE(YEAR(L1155),MONTH(L1155),1))</x:f>
      </x:c>
    </x:row>
    <x:row r="1156">
      <x:c r="A1156" s="11" t="n"/>
      <x:c r="B1156" s="5" t="n"/>
      <x:c r="C1156" s="12" t="n"/>
      <x:c r="D1156" s="12" t="n"/>
      <x:c r="E1156" s="12" t="n"/>
      <x:c r="F1156" s="12" t="n"/>
      <x:c r="G1156" s="13">
        <x:f>IF(F1156="","",IFERROR(VLOOKUP(F1156,Master_Data!$E$24:$G$33,2,FALSE),"9999"))</x:f>
      </x:c>
      <x:c r="H1156" s="12" t="n"/>
      <x:c r="I1156" s="12" t="n"/>
      <x:c r="J1156" s="12" t="n"/>
      <x:c r="K1156" s="12" t="n"/>
      <x:c r="L1156" s="11" t="n"/>
      <x:c r="M1156" s="9" t="n"/>
      <x:c r="N1156" s="12" t="n"/>
      <x:c r="O1156" s="6">
        <x:f>IF(N1156="","",IFERROR(VLOOKUP(N1156,Master_Data!$A$5:$C$8,3,FALSE),0))</x:f>
      </x:c>
      <x:c r="P1156" s="7">
        <x:f>IF(M1156="","",M1156*O1156)</x:f>
      </x:c>
      <x:c r="Q1156" s="7">
        <x:f>IF(M1156="","",M1156+P1156)</x:f>
      </x:c>
      <x:c r="R1156" s="7">
        <x:f>IF(K1156&lt;&gt;"Paid",0,IF(C1156="Income",Q1156,-Q1156))</x:f>
      </x:c>
      <x:c r="S1156" s="14">
        <x:f>IF(A1156="","",DATE(YEAR(A1156),MONTH(A1156),1))</x:f>
      </x:c>
      <x:c r="T1156" s="14">
        <x:f>IF(L1156="","",DATE(YEAR(L1156),MONTH(L1156),1))</x:f>
      </x:c>
    </x:row>
    <x:row r="1157">
      <x:c r="A1157" s="11" t="n"/>
      <x:c r="B1157" s="5" t="n"/>
      <x:c r="C1157" s="12" t="n"/>
      <x:c r="D1157" s="12" t="n"/>
      <x:c r="E1157" s="12" t="n"/>
      <x:c r="F1157" s="12" t="n"/>
      <x:c r="G1157" s="13">
        <x:f>IF(F1157="","",IFERROR(VLOOKUP(F1157,Master_Data!$E$24:$G$33,2,FALSE),"9999"))</x:f>
      </x:c>
      <x:c r="H1157" s="12" t="n"/>
      <x:c r="I1157" s="12" t="n"/>
      <x:c r="J1157" s="12" t="n"/>
      <x:c r="K1157" s="12" t="n"/>
      <x:c r="L1157" s="11" t="n"/>
      <x:c r="M1157" s="9" t="n"/>
      <x:c r="N1157" s="12" t="n"/>
      <x:c r="O1157" s="6">
        <x:f>IF(N1157="","",IFERROR(VLOOKUP(N1157,Master_Data!$A$5:$C$8,3,FALSE),0))</x:f>
      </x:c>
      <x:c r="P1157" s="7">
        <x:f>IF(M1157="","",M1157*O1157)</x:f>
      </x:c>
      <x:c r="Q1157" s="7">
        <x:f>IF(M1157="","",M1157+P1157)</x:f>
      </x:c>
      <x:c r="R1157" s="7">
        <x:f>IF(K1157&lt;&gt;"Paid",0,IF(C1157="Income",Q1157,-Q1157))</x:f>
      </x:c>
      <x:c r="S1157" s="14">
        <x:f>IF(A1157="","",DATE(YEAR(A1157),MONTH(A1157),1))</x:f>
      </x:c>
      <x:c r="T1157" s="14">
        <x:f>IF(L1157="","",DATE(YEAR(L1157),MONTH(L1157),1))</x:f>
      </x:c>
    </x:row>
    <x:row r="1158">
      <x:c r="A1158" s="11" t="n"/>
      <x:c r="B1158" s="5" t="n"/>
      <x:c r="C1158" s="12" t="n"/>
      <x:c r="D1158" s="12" t="n"/>
      <x:c r="E1158" s="12" t="n"/>
      <x:c r="F1158" s="12" t="n"/>
      <x:c r="G1158" s="13">
        <x:f>IF(F1158="","",IFERROR(VLOOKUP(F1158,Master_Data!$E$24:$G$33,2,FALSE),"9999"))</x:f>
      </x:c>
      <x:c r="H1158" s="12" t="n"/>
      <x:c r="I1158" s="12" t="n"/>
      <x:c r="J1158" s="12" t="n"/>
      <x:c r="K1158" s="12" t="n"/>
      <x:c r="L1158" s="11" t="n"/>
      <x:c r="M1158" s="9" t="n"/>
      <x:c r="N1158" s="12" t="n"/>
      <x:c r="O1158" s="6">
        <x:f>IF(N1158="","",IFERROR(VLOOKUP(N1158,Master_Data!$A$5:$C$8,3,FALSE),0))</x:f>
      </x:c>
      <x:c r="P1158" s="7">
        <x:f>IF(M1158="","",M1158*O1158)</x:f>
      </x:c>
      <x:c r="Q1158" s="7">
        <x:f>IF(M1158="","",M1158+P1158)</x:f>
      </x:c>
      <x:c r="R1158" s="7">
        <x:f>IF(K1158&lt;&gt;"Paid",0,IF(C1158="Income",Q1158,-Q1158))</x:f>
      </x:c>
      <x:c r="S1158" s="14">
        <x:f>IF(A1158="","",DATE(YEAR(A1158),MONTH(A1158),1))</x:f>
      </x:c>
      <x:c r="T1158" s="14">
        <x:f>IF(L1158="","",DATE(YEAR(L1158),MONTH(L1158),1))</x:f>
      </x:c>
    </x:row>
    <x:row r="1159">
      <x:c r="A1159" s="11" t="n"/>
      <x:c r="B1159" s="5" t="n"/>
      <x:c r="C1159" s="12" t="n"/>
      <x:c r="D1159" s="12" t="n"/>
      <x:c r="E1159" s="12" t="n"/>
      <x:c r="F1159" s="12" t="n"/>
      <x:c r="G1159" s="13">
        <x:f>IF(F1159="","",IFERROR(VLOOKUP(F1159,Master_Data!$E$24:$G$33,2,FALSE),"9999"))</x:f>
      </x:c>
      <x:c r="H1159" s="12" t="n"/>
      <x:c r="I1159" s="12" t="n"/>
      <x:c r="J1159" s="12" t="n"/>
      <x:c r="K1159" s="12" t="n"/>
      <x:c r="L1159" s="11" t="n"/>
      <x:c r="M1159" s="9" t="n"/>
      <x:c r="N1159" s="12" t="n"/>
      <x:c r="O1159" s="6">
        <x:f>IF(N1159="","",IFERROR(VLOOKUP(N1159,Master_Data!$A$5:$C$8,3,FALSE),0))</x:f>
      </x:c>
      <x:c r="P1159" s="7">
        <x:f>IF(M1159="","",M1159*O1159)</x:f>
      </x:c>
      <x:c r="Q1159" s="7">
        <x:f>IF(M1159="","",M1159+P1159)</x:f>
      </x:c>
      <x:c r="R1159" s="7">
        <x:f>IF(K1159&lt;&gt;"Paid",0,IF(C1159="Income",Q1159,-Q1159))</x:f>
      </x:c>
      <x:c r="S1159" s="14">
        <x:f>IF(A1159="","",DATE(YEAR(A1159),MONTH(A1159),1))</x:f>
      </x:c>
      <x:c r="T1159" s="14">
        <x:f>IF(L1159="","",DATE(YEAR(L1159),MONTH(L1159),1))</x:f>
      </x:c>
    </x:row>
    <x:row r="1160">
      <x:c r="A1160" s="11" t="n"/>
      <x:c r="B1160" s="5" t="n"/>
      <x:c r="C1160" s="12" t="n"/>
      <x:c r="D1160" s="12" t="n"/>
      <x:c r="E1160" s="12" t="n"/>
      <x:c r="F1160" s="12" t="n"/>
      <x:c r="G1160" s="13">
        <x:f>IF(F1160="","",IFERROR(VLOOKUP(F1160,Master_Data!$E$24:$G$33,2,FALSE),"9999"))</x:f>
      </x:c>
      <x:c r="H1160" s="12" t="n"/>
      <x:c r="I1160" s="12" t="n"/>
      <x:c r="J1160" s="12" t="n"/>
      <x:c r="K1160" s="12" t="n"/>
      <x:c r="L1160" s="11" t="n"/>
      <x:c r="M1160" s="9" t="n"/>
      <x:c r="N1160" s="12" t="n"/>
      <x:c r="O1160" s="6">
        <x:f>IF(N1160="","",IFERROR(VLOOKUP(N1160,Master_Data!$A$5:$C$8,3,FALSE),0))</x:f>
      </x:c>
      <x:c r="P1160" s="7">
        <x:f>IF(M1160="","",M1160*O1160)</x:f>
      </x:c>
      <x:c r="Q1160" s="7">
        <x:f>IF(M1160="","",M1160+P1160)</x:f>
      </x:c>
      <x:c r="R1160" s="7">
        <x:f>IF(K1160&lt;&gt;"Paid",0,IF(C1160="Income",Q1160,-Q1160))</x:f>
      </x:c>
      <x:c r="S1160" s="14">
        <x:f>IF(A1160="","",DATE(YEAR(A1160),MONTH(A1160),1))</x:f>
      </x:c>
      <x:c r="T1160" s="14">
        <x:f>IF(L1160="","",DATE(YEAR(L1160),MONTH(L1160),1))</x:f>
      </x:c>
    </x:row>
    <x:row r="1161">
      <x:c r="A1161" s="11" t="n"/>
      <x:c r="B1161" s="5" t="n"/>
      <x:c r="C1161" s="12" t="n"/>
      <x:c r="D1161" s="12" t="n"/>
      <x:c r="E1161" s="12" t="n"/>
      <x:c r="F1161" s="12" t="n"/>
      <x:c r="G1161" s="13">
        <x:f>IF(F1161="","",IFERROR(VLOOKUP(F1161,Master_Data!$E$24:$G$33,2,FALSE),"9999"))</x:f>
      </x:c>
      <x:c r="H1161" s="12" t="n"/>
      <x:c r="I1161" s="12" t="n"/>
      <x:c r="J1161" s="12" t="n"/>
      <x:c r="K1161" s="12" t="n"/>
      <x:c r="L1161" s="11" t="n"/>
      <x:c r="M1161" s="9" t="n"/>
      <x:c r="N1161" s="12" t="n"/>
      <x:c r="O1161" s="6">
        <x:f>IF(N1161="","",IFERROR(VLOOKUP(N1161,Master_Data!$A$5:$C$8,3,FALSE),0))</x:f>
      </x:c>
      <x:c r="P1161" s="7">
        <x:f>IF(M1161="","",M1161*O1161)</x:f>
      </x:c>
      <x:c r="Q1161" s="7">
        <x:f>IF(M1161="","",M1161+P1161)</x:f>
      </x:c>
      <x:c r="R1161" s="7">
        <x:f>IF(K1161&lt;&gt;"Paid",0,IF(C1161="Income",Q1161,-Q1161))</x:f>
      </x:c>
      <x:c r="S1161" s="14">
        <x:f>IF(A1161="","",DATE(YEAR(A1161),MONTH(A1161),1))</x:f>
      </x:c>
      <x:c r="T1161" s="14">
        <x:f>IF(L1161="","",DATE(YEAR(L1161),MONTH(L1161),1))</x:f>
      </x:c>
    </x:row>
    <x:row r="1162">
      <x:c r="A1162" s="11" t="n"/>
      <x:c r="B1162" s="5" t="n"/>
      <x:c r="C1162" s="12" t="n"/>
      <x:c r="D1162" s="12" t="n"/>
      <x:c r="E1162" s="12" t="n"/>
      <x:c r="F1162" s="12" t="n"/>
      <x:c r="G1162" s="13">
        <x:f>IF(F1162="","",IFERROR(VLOOKUP(F1162,Master_Data!$E$24:$G$33,2,FALSE),"9999"))</x:f>
      </x:c>
      <x:c r="H1162" s="12" t="n"/>
      <x:c r="I1162" s="12" t="n"/>
      <x:c r="J1162" s="12" t="n"/>
      <x:c r="K1162" s="12" t="n"/>
      <x:c r="L1162" s="11" t="n"/>
      <x:c r="M1162" s="9" t="n"/>
      <x:c r="N1162" s="12" t="n"/>
      <x:c r="O1162" s="6">
        <x:f>IF(N1162="","",IFERROR(VLOOKUP(N1162,Master_Data!$A$5:$C$8,3,FALSE),0))</x:f>
      </x:c>
      <x:c r="P1162" s="7">
        <x:f>IF(M1162="","",M1162*O1162)</x:f>
      </x:c>
      <x:c r="Q1162" s="7">
        <x:f>IF(M1162="","",M1162+P1162)</x:f>
      </x:c>
      <x:c r="R1162" s="7">
        <x:f>IF(K1162&lt;&gt;"Paid",0,IF(C1162="Income",Q1162,-Q1162))</x:f>
      </x:c>
      <x:c r="S1162" s="14">
        <x:f>IF(A1162="","",DATE(YEAR(A1162),MONTH(A1162),1))</x:f>
      </x:c>
      <x:c r="T1162" s="14">
        <x:f>IF(L1162="","",DATE(YEAR(L1162),MONTH(L1162),1))</x:f>
      </x:c>
    </x:row>
    <x:row r="1163">
      <x:c r="A1163" s="11" t="n"/>
      <x:c r="B1163" s="5" t="n"/>
      <x:c r="C1163" s="12" t="n"/>
      <x:c r="D1163" s="12" t="n"/>
      <x:c r="E1163" s="12" t="n"/>
      <x:c r="F1163" s="12" t="n"/>
      <x:c r="G1163" s="13">
        <x:f>IF(F1163="","",IFERROR(VLOOKUP(F1163,Master_Data!$E$24:$G$33,2,FALSE),"9999"))</x:f>
      </x:c>
      <x:c r="H1163" s="12" t="n"/>
      <x:c r="I1163" s="12" t="n"/>
      <x:c r="J1163" s="12" t="n"/>
      <x:c r="K1163" s="12" t="n"/>
      <x:c r="L1163" s="11" t="n"/>
      <x:c r="M1163" s="9" t="n"/>
      <x:c r="N1163" s="12" t="n"/>
      <x:c r="O1163" s="6">
        <x:f>IF(N1163="","",IFERROR(VLOOKUP(N1163,Master_Data!$A$5:$C$8,3,FALSE),0))</x:f>
      </x:c>
      <x:c r="P1163" s="7">
        <x:f>IF(M1163="","",M1163*O1163)</x:f>
      </x:c>
      <x:c r="Q1163" s="7">
        <x:f>IF(M1163="","",M1163+P1163)</x:f>
      </x:c>
      <x:c r="R1163" s="7">
        <x:f>IF(K1163&lt;&gt;"Paid",0,IF(C1163="Income",Q1163,-Q1163))</x:f>
      </x:c>
      <x:c r="S1163" s="14">
        <x:f>IF(A1163="","",DATE(YEAR(A1163),MONTH(A1163),1))</x:f>
      </x:c>
      <x:c r="T1163" s="14">
        <x:f>IF(L1163="","",DATE(YEAR(L1163),MONTH(L1163),1))</x:f>
      </x:c>
    </x:row>
    <x:row r="1164">
      <x:c r="A1164" s="11" t="n"/>
      <x:c r="B1164" s="5" t="n"/>
      <x:c r="C1164" s="12" t="n"/>
      <x:c r="D1164" s="12" t="n"/>
      <x:c r="E1164" s="12" t="n"/>
      <x:c r="F1164" s="12" t="n"/>
      <x:c r="G1164" s="13">
        <x:f>IF(F1164="","",IFERROR(VLOOKUP(F1164,Master_Data!$E$24:$G$33,2,FALSE),"9999"))</x:f>
      </x:c>
      <x:c r="H1164" s="12" t="n"/>
      <x:c r="I1164" s="12" t="n"/>
      <x:c r="J1164" s="12" t="n"/>
      <x:c r="K1164" s="12" t="n"/>
      <x:c r="L1164" s="11" t="n"/>
      <x:c r="M1164" s="9" t="n"/>
      <x:c r="N1164" s="12" t="n"/>
      <x:c r="O1164" s="6">
        <x:f>IF(N1164="","",IFERROR(VLOOKUP(N1164,Master_Data!$A$5:$C$8,3,FALSE),0))</x:f>
      </x:c>
      <x:c r="P1164" s="7">
        <x:f>IF(M1164="","",M1164*O1164)</x:f>
      </x:c>
      <x:c r="Q1164" s="7">
        <x:f>IF(M1164="","",M1164+P1164)</x:f>
      </x:c>
      <x:c r="R1164" s="7">
        <x:f>IF(K1164&lt;&gt;"Paid",0,IF(C1164="Income",Q1164,-Q1164))</x:f>
      </x:c>
      <x:c r="S1164" s="14">
        <x:f>IF(A1164="","",DATE(YEAR(A1164),MONTH(A1164),1))</x:f>
      </x:c>
      <x:c r="T1164" s="14">
        <x:f>IF(L1164="","",DATE(YEAR(L1164),MONTH(L1164),1))</x:f>
      </x:c>
    </x:row>
    <x:row r="1165">
      <x:c r="A1165" s="11" t="n"/>
      <x:c r="B1165" s="5" t="n"/>
      <x:c r="C1165" s="12" t="n"/>
      <x:c r="D1165" s="12" t="n"/>
      <x:c r="E1165" s="12" t="n"/>
      <x:c r="F1165" s="12" t="n"/>
      <x:c r="G1165" s="13">
        <x:f>IF(F1165="","",IFERROR(VLOOKUP(F1165,Master_Data!$E$24:$G$33,2,FALSE),"9999"))</x:f>
      </x:c>
      <x:c r="H1165" s="12" t="n"/>
      <x:c r="I1165" s="12" t="n"/>
      <x:c r="J1165" s="12" t="n"/>
      <x:c r="K1165" s="12" t="n"/>
      <x:c r="L1165" s="11" t="n"/>
      <x:c r="M1165" s="9" t="n"/>
      <x:c r="N1165" s="12" t="n"/>
      <x:c r="O1165" s="6">
        <x:f>IF(N1165="","",IFERROR(VLOOKUP(N1165,Master_Data!$A$5:$C$8,3,FALSE),0))</x:f>
      </x:c>
      <x:c r="P1165" s="7">
        <x:f>IF(M1165="","",M1165*O1165)</x:f>
      </x:c>
      <x:c r="Q1165" s="7">
        <x:f>IF(M1165="","",M1165+P1165)</x:f>
      </x:c>
      <x:c r="R1165" s="7">
        <x:f>IF(K1165&lt;&gt;"Paid",0,IF(C1165="Income",Q1165,-Q1165))</x:f>
      </x:c>
      <x:c r="S1165" s="14">
        <x:f>IF(A1165="","",DATE(YEAR(A1165),MONTH(A1165),1))</x:f>
      </x:c>
      <x:c r="T1165" s="14">
        <x:f>IF(L1165="","",DATE(YEAR(L1165),MONTH(L1165),1))</x:f>
      </x:c>
    </x:row>
    <x:row r="1166">
      <x:c r="A1166" s="11" t="n"/>
      <x:c r="B1166" s="5" t="n"/>
      <x:c r="C1166" s="12" t="n"/>
      <x:c r="D1166" s="12" t="n"/>
      <x:c r="E1166" s="12" t="n"/>
      <x:c r="F1166" s="12" t="n"/>
      <x:c r="G1166" s="13">
        <x:f>IF(F1166="","",IFERROR(VLOOKUP(F1166,Master_Data!$E$24:$G$33,2,FALSE),"9999"))</x:f>
      </x:c>
      <x:c r="H1166" s="12" t="n"/>
      <x:c r="I1166" s="12" t="n"/>
      <x:c r="J1166" s="12" t="n"/>
      <x:c r="K1166" s="12" t="n"/>
      <x:c r="L1166" s="11" t="n"/>
      <x:c r="M1166" s="9" t="n"/>
      <x:c r="N1166" s="12" t="n"/>
      <x:c r="O1166" s="6">
        <x:f>IF(N1166="","",IFERROR(VLOOKUP(N1166,Master_Data!$A$5:$C$8,3,FALSE),0))</x:f>
      </x:c>
      <x:c r="P1166" s="7">
        <x:f>IF(M1166="","",M1166*O1166)</x:f>
      </x:c>
      <x:c r="Q1166" s="7">
        <x:f>IF(M1166="","",M1166+P1166)</x:f>
      </x:c>
      <x:c r="R1166" s="7">
        <x:f>IF(K1166&lt;&gt;"Paid",0,IF(C1166="Income",Q1166,-Q1166))</x:f>
      </x:c>
      <x:c r="S1166" s="14">
        <x:f>IF(A1166="","",DATE(YEAR(A1166),MONTH(A1166),1))</x:f>
      </x:c>
      <x:c r="T1166" s="14">
        <x:f>IF(L1166="","",DATE(YEAR(L1166),MONTH(L1166),1))</x:f>
      </x:c>
    </x:row>
    <x:row r="1167">
      <x:c r="A1167" s="11" t="n"/>
      <x:c r="B1167" s="5" t="n"/>
      <x:c r="C1167" s="12" t="n"/>
      <x:c r="D1167" s="12" t="n"/>
      <x:c r="E1167" s="12" t="n"/>
      <x:c r="F1167" s="12" t="n"/>
      <x:c r="G1167" s="13">
        <x:f>IF(F1167="","",IFERROR(VLOOKUP(F1167,Master_Data!$E$24:$G$33,2,FALSE),"9999"))</x:f>
      </x:c>
      <x:c r="H1167" s="12" t="n"/>
      <x:c r="I1167" s="12" t="n"/>
      <x:c r="J1167" s="12" t="n"/>
      <x:c r="K1167" s="12" t="n"/>
      <x:c r="L1167" s="11" t="n"/>
      <x:c r="M1167" s="9" t="n"/>
      <x:c r="N1167" s="12" t="n"/>
      <x:c r="O1167" s="6">
        <x:f>IF(N1167="","",IFERROR(VLOOKUP(N1167,Master_Data!$A$5:$C$8,3,FALSE),0))</x:f>
      </x:c>
      <x:c r="P1167" s="7">
        <x:f>IF(M1167="","",M1167*O1167)</x:f>
      </x:c>
      <x:c r="Q1167" s="7">
        <x:f>IF(M1167="","",M1167+P1167)</x:f>
      </x:c>
      <x:c r="R1167" s="7">
        <x:f>IF(K1167&lt;&gt;"Paid",0,IF(C1167="Income",Q1167,-Q1167))</x:f>
      </x:c>
      <x:c r="S1167" s="14">
        <x:f>IF(A1167="","",DATE(YEAR(A1167),MONTH(A1167),1))</x:f>
      </x:c>
      <x:c r="T1167" s="14">
        <x:f>IF(L1167="","",DATE(YEAR(L1167),MONTH(L1167),1))</x:f>
      </x:c>
    </x:row>
    <x:row r="1168">
      <x:c r="A1168" s="11" t="n"/>
      <x:c r="B1168" s="5" t="n"/>
      <x:c r="C1168" s="12" t="n"/>
      <x:c r="D1168" s="12" t="n"/>
      <x:c r="E1168" s="12" t="n"/>
      <x:c r="F1168" s="12" t="n"/>
      <x:c r="G1168" s="13">
        <x:f>IF(F1168="","",IFERROR(VLOOKUP(F1168,Master_Data!$E$24:$G$33,2,FALSE),"9999"))</x:f>
      </x:c>
      <x:c r="H1168" s="12" t="n"/>
      <x:c r="I1168" s="12" t="n"/>
      <x:c r="J1168" s="12" t="n"/>
      <x:c r="K1168" s="12" t="n"/>
      <x:c r="L1168" s="11" t="n"/>
      <x:c r="M1168" s="9" t="n"/>
      <x:c r="N1168" s="12" t="n"/>
      <x:c r="O1168" s="6">
        <x:f>IF(N1168="","",IFERROR(VLOOKUP(N1168,Master_Data!$A$5:$C$8,3,FALSE),0))</x:f>
      </x:c>
      <x:c r="P1168" s="7">
        <x:f>IF(M1168="","",M1168*O1168)</x:f>
      </x:c>
      <x:c r="Q1168" s="7">
        <x:f>IF(M1168="","",M1168+P1168)</x:f>
      </x:c>
      <x:c r="R1168" s="7">
        <x:f>IF(K1168&lt;&gt;"Paid",0,IF(C1168="Income",Q1168,-Q1168))</x:f>
      </x:c>
      <x:c r="S1168" s="14">
        <x:f>IF(A1168="","",DATE(YEAR(A1168),MONTH(A1168),1))</x:f>
      </x:c>
      <x:c r="T1168" s="14">
        <x:f>IF(L1168="","",DATE(YEAR(L1168),MONTH(L1168),1))</x:f>
      </x:c>
    </x:row>
    <x:row r="1169">
      <x:c r="A1169" s="11" t="n"/>
      <x:c r="B1169" s="5" t="n"/>
      <x:c r="C1169" s="12" t="n"/>
      <x:c r="D1169" s="12" t="n"/>
      <x:c r="E1169" s="12" t="n"/>
      <x:c r="F1169" s="12" t="n"/>
      <x:c r="G1169" s="13">
        <x:f>IF(F1169="","",IFERROR(VLOOKUP(F1169,Master_Data!$E$24:$G$33,2,FALSE),"9999"))</x:f>
      </x:c>
      <x:c r="H1169" s="12" t="n"/>
      <x:c r="I1169" s="12" t="n"/>
      <x:c r="J1169" s="12" t="n"/>
      <x:c r="K1169" s="12" t="n"/>
      <x:c r="L1169" s="11" t="n"/>
      <x:c r="M1169" s="9" t="n"/>
      <x:c r="N1169" s="12" t="n"/>
      <x:c r="O1169" s="6">
        <x:f>IF(N1169="","",IFERROR(VLOOKUP(N1169,Master_Data!$A$5:$C$8,3,FALSE),0))</x:f>
      </x:c>
      <x:c r="P1169" s="7">
        <x:f>IF(M1169="","",M1169*O1169)</x:f>
      </x:c>
      <x:c r="Q1169" s="7">
        <x:f>IF(M1169="","",M1169+P1169)</x:f>
      </x:c>
      <x:c r="R1169" s="7">
        <x:f>IF(K1169&lt;&gt;"Paid",0,IF(C1169="Income",Q1169,-Q1169))</x:f>
      </x:c>
      <x:c r="S1169" s="14">
        <x:f>IF(A1169="","",DATE(YEAR(A1169),MONTH(A1169),1))</x:f>
      </x:c>
      <x:c r="T1169" s="14">
        <x:f>IF(L1169="","",DATE(YEAR(L1169),MONTH(L1169),1))</x:f>
      </x:c>
    </x:row>
    <x:row r="1170">
      <x:c r="A1170" s="11" t="n"/>
      <x:c r="B1170" s="5" t="n"/>
      <x:c r="C1170" s="12" t="n"/>
      <x:c r="D1170" s="12" t="n"/>
      <x:c r="E1170" s="12" t="n"/>
      <x:c r="F1170" s="12" t="n"/>
      <x:c r="G1170" s="13">
        <x:f>IF(F1170="","",IFERROR(VLOOKUP(F1170,Master_Data!$E$24:$G$33,2,FALSE),"9999"))</x:f>
      </x:c>
      <x:c r="H1170" s="12" t="n"/>
      <x:c r="I1170" s="12" t="n"/>
      <x:c r="J1170" s="12" t="n"/>
      <x:c r="K1170" s="12" t="n"/>
      <x:c r="L1170" s="11" t="n"/>
      <x:c r="M1170" s="9" t="n"/>
      <x:c r="N1170" s="12" t="n"/>
      <x:c r="O1170" s="6">
        <x:f>IF(N1170="","",IFERROR(VLOOKUP(N1170,Master_Data!$A$5:$C$8,3,FALSE),0))</x:f>
      </x:c>
      <x:c r="P1170" s="7">
        <x:f>IF(M1170="","",M1170*O1170)</x:f>
      </x:c>
      <x:c r="Q1170" s="7">
        <x:f>IF(M1170="","",M1170+P1170)</x:f>
      </x:c>
      <x:c r="R1170" s="7">
        <x:f>IF(K1170&lt;&gt;"Paid",0,IF(C1170="Income",Q1170,-Q1170))</x:f>
      </x:c>
      <x:c r="S1170" s="14">
        <x:f>IF(A1170="","",DATE(YEAR(A1170),MONTH(A1170),1))</x:f>
      </x:c>
      <x:c r="T1170" s="14">
        <x:f>IF(L1170="","",DATE(YEAR(L1170),MONTH(L1170),1))</x:f>
      </x:c>
    </x:row>
    <x:row r="1171">
      <x:c r="A1171" s="11" t="n"/>
      <x:c r="B1171" s="5" t="n"/>
      <x:c r="C1171" s="12" t="n"/>
      <x:c r="D1171" s="12" t="n"/>
      <x:c r="E1171" s="12" t="n"/>
      <x:c r="F1171" s="12" t="n"/>
      <x:c r="G1171" s="13">
        <x:f>IF(F1171="","",IFERROR(VLOOKUP(F1171,Master_Data!$E$24:$G$33,2,FALSE),"9999"))</x:f>
      </x:c>
      <x:c r="H1171" s="12" t="n"/>
      <x:c r="I1171" s="12" t="n"/>
      <x:c r="J1171" s="12" t="n"/>
      <x:c r="K1171" s="12" t="n"/>
      <x:c r="L1171" s="11" t="n"/>
      <x:c r="M1171" s="9" t="n"/>
      <x:c r="N1171" s="12" t="n"/>
      <x:c r="O1171" s="6">
        <x:f>IF(N1171="","",IFERROR(VLOOKUP(N1171,Master_Data!$A$5:$C$8,3,FALSE),0))</x:f>
      </x:c>
      <x:c r="P1171" s="7">
        <x:f>IF(M1171="","",M1171*O1171)</x:f>
      </x:c>
      <x:c r="Q1171" s="7">
        <x:f>IF(M1171="","",M1171+P1171)</x:f>
      </x:c>
      <x:c r="R1171" s="7">
        <x:f>IF(K1171&lt;&gt;"Paid",0,IF(C1171="Income",Q1171,-Q1171))</x:f>
      </x:c>
      <x:c r="S1171" s="14">
        <x:f>IF(A1171="","",DATE(YEAR(A1171),MONTH(A1171),1))</x:f>
      </x:c>
      <x:c r="T1171" s="14">
        <x:f>IF(L1171="","",DATE(YEAR(L1171),MONTH(L1171),1))</x:f>
      </x:c>
    </x:row>
    <x:row r="1172">
      <x:c r="A1172" s="11" t="n"/>
      <x:c r="B1172" s="5" t="n"/>
      <x:c r="C1172" s="12" t="n"/>
      <x:c r="D1172" s="12" t="n"/>
      <x:c r="E1172" s="12" t="n"/>
      <x:c r="F1172" s="12" t="n"/>
      <x:c r="G1172" s="13">
        <x:f>IF(F1172="","",IFERROR(VLOOKUP(F1172,Master_Data!$E$24:$G$33,2,FALSE),"9999"))</x:f>
      </x:c>
      <x:c r="H1172" s="12" t="n"/>
      <x:c r="I1172" s="12" t="n"/>
      <x:c r="J1172" s="12" t="n"/>
      <x:c r="K1172" s="12" t="n"/>
      <x:c r="L1172" s="11" t="n"/>
      <x:c r="M1172" s="9" t="n"/>
      <x:c r="N1172" s="12" t="n"/>
      <x:c r="O1172" s="6">
        <x:f>IF(N1172="","",IFERROR(VLOOKUP(N1172,Master_Data!$A$5:$C$8,3,FALSE),0))</x:f>
      </x:c>
      <x:c r="P1172" s="7">
        <x:f>IF(M1172="","",M1172*O1172)</x:f>
      </x:c>
      <x:c r="Q1172" s="7">
        <x:f>IF(M1172="","",M1172+P1172)</x:f>
      </x:c>
      <x:c r="R1172" s="7">
        <x:f>IF(K1172&lt;&gt;"Paid",0,IF(C1172="Income",Q1172,-Q1172))</x:f>
      </x:c>
      <x:c r="S1172" s="14">
        <x:f>IF(A1172="","",DATE(YEAR(A1172),MONTH(A1172),1))</x:f>
      </x:c>
      <x:c r="T1172" s="14">
        <x:f>IF(L1172="","",DATE(YEAR(L1172),MONTH(L1172),1))</x:f>
      </x:c>
    </x:row>
    <x:row r="1173">
      <x:c r="A1173" s="11" t="n"/>
      <x:c r="B1173" s="5" t="n"/>
      <x:c r="C1173" s="12" t="n"/>
      <x:c r="D1173" s="12" t="n"/>
      <x:c r="E1173" s="12" t="n"/>
      <x:c r="F1173" s="12" t="n"/>
      <x:c r="G1173" s="13">
        <x:f>IF(F1173="","",IFERROR(VLOOKUP(F1173,Master_Data!$E$24:$G$33,2,FALSE),"9999"))</x:f>
      </x:c>
      <x:c r="H1173" s="12" t="n"/>
      <x:c r="I1173" s="12" t="n"/>
      <x:c r="J1173" s="12" t="n"/>
      <x:c r="K1173" s="12" t="n"/>
      <x:c r="L1173" s="11" t="n"/>
      <x:c r="M1173" s="9" t="n"/>
      <x:c r="N1173" s="12" t="n"/>
      <x:c r="O1173" s="6">
        <x:f>IF(N1173="","",IFERROR(VLOOKUP(N1173,Master_Data!$A$5:$C$8,3,FALSE),0))</x:f>
      </x:c>
      <x:c r="P1173" s="7">
        <x:f>IF(M1173="","",M1173*O1173)</x:f>
      </x:c>
      <x:c r="Q1173" s="7">
        <x:f>IF(M1173="","",M1173+P1173)</x:f>
      </x:c>
      <x:c r="R1173" s="7">
        <x:f>IF(K1173&lt;&gt;"Paid",0,IF(C1173="Income",Q1173,-Q1173))</x:f>
      </x:c>
      <x:c r="S1173" s="14">
        <x:f>IF(A1173="","",DATE(YEAR(A1173),MONTH(A1173),1))</x:f>
      </x:c>
      <x:c r="T1173" s="14">
        <x:f>IF(L1173="","",DATE(YEAR(L1173),MONTH(L1173),1))</x:f>
      </x:c>
    </x:row>
    <x:row r="1174">
      <x:c r="A1174" s="11" t="n"/>
      <x:c r="B1174" s="5" t="n"/>
      <x:c r="C1174" s="12" t="n"/>
      <x:c r="D1174" s="12" t="n"/>
      <x:c r="E1174" s="12" t="n"/>
      <x:c r="F1174" s="12" t="n"/>
      <x:c r="G1174" s="13">
        <x:f>IF(F1174="","",IFERROR(VLOOKUP(F1174,Master_Data!$E$24:$G$33,2,FALSE),"9999"))</x:f>
      </x:c>
      <x:c r="H1174" s="12" t="n"/>
      <x:c r="I1174" s="12" t="n"/>
      <x:c r="J1174" s="12" t="n"/>
      <x:c r="K1174" s="12" t="n"/>
      <x:c r="L1174" s="11" t="n"/>
      <x:c r="M1174" s="9" t="n"/>
      <x:c r="N1174" s="12" t="n"/>
      <x:c r="O1174" s="6">
        <x:f>IF(N1174="","",IFERROR(VLOOKUP(N1174,Master_Data!$A$5:$C$8,3,FALSE),0))</x:f>
      </x:c>
      <x:c r="P1174" s="7">
        <x:f>IF(M1174="","",M1174*O1174)</x:f>
      </x:c>
      <x:c r="Q1174" s="7">
        <x:f>IF(M1174="","",M1174+P1174)</x:f>
      </x:c>
      <x:c r="R1174" s="7">
        <x:f>IF(K1174&lt;&gt;"Paid",0,IF(C1174="Income",Q1174,-Q1174))</x:f>
      </x:c>
      <x:c r="S1174" s="14">
        <x:f>IF(A1174="","",DATE(YEAR(A1174),MONTH(A1174),1))</x:f>
      </x:c>
      <x:c r="T1174" s="14">
        <x:f>IF(L1174="","",DATE(YEAR(L1174),MONTH(L1174),1))</x:f>
      </x:c>
    </x:row>
    <x:row r="1175">
      <x:c r="A1175" s="11" t="n"/>
      <x:c r="B1175" s="5" t="n"/>
      <x:c r="C1175" s="12" t="n"/>
      <x:c r="D1175" s="12" t="n"/>
      <x:c r="E1175" s="12" t="n"/>
      <x:c r="F1175" s="12" t="n"/>
      <x:c r="G1175" s="13">
        <x:f>IF(F1175="","",IFERROR(VLOOKUP(F1175,Master_Data!$E$24:$G$33,2,FALSE),"9999"))</x:f>
      </x:c>
      <x:c r="H1175" s="12" t="n"/>
      <x:c r="I1175" s="12" t="n"/>
      <x:c r="J1175" s="12" t="n"/>
      <x:c r="K1175" s="12" t="n"/>
      <x:c r="L1175" s="11" t="n"/>
      <x:c r="M1175" s="9" t="n"/>
      <x:c r="N1175" s="12" t="n"/>
      <x:c r="O1175" s="6">
        <x:f>IF(N1175="","",IFERROR(VLOOKUP(N1175,Master_Data!$A$5:$C$8,3,FALSE),0))</x:f>
      </x:c>
      <x:c r="P1175" s="7">
        <x:f>IF(M1175="","",M1175*O1175)</x:f>
      </x:c>
      <x:c r="Q1175" s="7">
        <x:f>IF(M1175="","",M1175+P1175)</x:f>
      </x:c>
      <x:c r="R1175" s="7">
        <x:f>IF(K1175&lt;&gt;"Paid",0,IF(C1175="Income",Q1175,-Q1175))</x:f>
      </x:c>
      <x:c r="S1175" s="14">
        <x:f>IF(A1175="","",DATE(YEAR(A1175),MONTH(A1175),1))</x:f>
      </x:c>
      <x:c r="T1175" s="14">
        <x:f>IF(L1175="","",DATE(YEAR(L1175),MONTH(L1175),1))</x:f>
      </x:c>
    </x:row>
    <x:row r="1176">
      <x:c r="A1176" s="11" t="n"/>
      <x:c r="B1176" s="5" t="n"/>
      <x:c r="C1176" s="12" t="n"/>
      <x:c r="D1176" s="12" t="n"/>
      <x:c r="E1176" s="12" t="n"/>
      <x:c r="F1176" s="12" t="n"/>
      <x:c r="G1176" s="13">
        <x:f>IF(F1176="","",IFERROR(VLOOKUP(F1176,Master_Data!$E$24:$G$33,2,FALSE),"9999"))</x:f>
      </x:c>
      <x:c r="H1176" s="12" t="n"/>
      <x:c r="I1176" s="12" t="n"/>
      <x:c r="J1176" s="12" t="n"/>
      <x:c r="K1176" s="12" t="n"/>
      <x:c r="L1176" s="11" t="n"/>
      <x:c r="M1176" s="9" t="n"/>
      <x:c r="N1176" s="12" t="n"/>
      <x:c r="O1176" s="6">
        <x:f>IF(N1176="","",IFERROR(VLOOKUP(N1176,Master_Data!$A$5:$C$8,3,FALSE),0))</x:f>
      </x:c>
      <x:c r="P1176" s="7">
        <x:f>IF(M1176="","",M1176*O1176)</x:f>
      </x:c>
      <x:c r="Q1176" s="7">
        <x:f>IF(M1176="","",M1176+P1176)</x:f>
      </x:c>
      <x:c r="R1176" s="7">
        <x:f>IF(K1176&lt;&gt;"Paid",0,IF(C1176="Income",Q1176,-Q1176))</x:f>
      </x:c>
      <x:c r="S1176" s="14">
        <x:f>IF(A1176="","",DATE(YEAR(A1176),MONTH(A1176),1))</x:f>
      </x:c>
      <x:c r="T1176" s="14">
        <x:f>IF(L1176="","",DATE(YEAR(L1176),MONTH(L1176),1))</x:f>
      </x:c>
    </x:row>
    <x:row r="1177">
      <x:c r="A1177" s="11" t="n"/>
      <x:c r="B1177" s="5" t="n"/>
      <x:c r="C1177" s="12" t="n"/>
      <x:c r="D1177" s="12" t="n"/>
      <x:c r="E1177" s="12" t="n"/>
      <x:c r="F1177" s="12" t="n"/>
      <x:c r="G1177" s="13">
        <x:f>IF(F1177="","",IFERROR(VLOOKUP(F1177,Master_Data!$E$24:$G$33,2,FALSE),"9999"))</x:f>
      </x:c>
      <x:c r="H1177" s="12" t="n"/>
      <x:c r="I1177" s="12" t="n"/>
      <x:c r="J1177" s="12" t="n"/>
      <x:c r="K1177" s="12" t="n"/>
      <x:c r="L1177" s="11" t="n"/>
      <x:c r="M1177" s="9" t="n"/>
      <x:c r="N1177" s="12" t="n"/>
      <x:c r="O1177" s="6">
        <x:f>IF(N1177="","",IFERROR(VLOOKUP(N1177,Master_Data!$A$5:$C$8,3,FALSE),0))</x:f>
      </x:c>
      <x:c r="P1177" s="7">
        <x:f>IF(M1177="","",M1177*O1177)</x:f>
      </x:c>
      <x:c r="Q1177" s="7">
        <x:f>IF(M1177="","",M1177+P1177)</x:f>
      </x:c>
      <x:c r="R1177" s="7">
        <x:f>IF(K1177&lt;&gt;"Paid",0,IF(C1177="Income",Q1177,-Q1177))</x:f>
      </x:c>
      <x:c r="S1177" s="14">
        <x:f>IF(A1177="","",DATE(YEAR(A1177),MONTH(A1177),1))</x:f>
      </x:c>
      <x:c r="T1177" s="14">
        <x:f>IF(L1177="","",DATE(YEAR(L1177),MONTH(L1177),1))</x:f>
      </x:c>
    </x:row>
    <x:row r="1178">
      <x:c r="A1178" s="11" t="n"/>
      <x:c r="B1178" s="5" t="n"/>
      <x:c r="C1178" s="12" t="n"/>
      <x:c r="D1178" s="12" t="n"/>
      <x:c r="E1178" s="12" t="n"/>
      <x:c r="F1178" s="12" t="n"/>
      <x:c r="G1178" s="13">
        <x:f>IF(F1178="","",IFERROR(VLOOKUP(F1178,Master_Data!$E$24:$G$33,2,FALSE),"9999"))</x:f>
      </x:c>
      <x:c r="H1178" s="12" t="n"/>
      <x:c r="I1178" s="12" t="n"/>
      <x:c r="J1178" s="12" t="n"/>
      <x:c r="K1178" s="12" t="n"/>
      <x:c r="L1178" s="11" t="n"/>
      <x:c r="M1178" s="9" t="n"/>
      <x:c r="N1178" s="12" t="n"/>
      <x:c r="O1178" s="6">
        <x:f>IF(N1178="","",IFERROR(VLOOKUP(N1178,Master_Data!$A$5:$C$8,3,FALSE),0))</x:f>
      </x:c>
      <x:c r="P1178" s="7">
        <x:f>IF(M1178="","",M1178*O1178)</x:f>
      </x:c>
      <x:c r="Q1178" s="7">
        <x:f>IF(M1178="","",M1178+P1178)</x:f>
      </x:c>
      <x:c r="R1178" s="7">
        <x:f>IF(K1178&lt;&gt;"Paid",0,IF(C1178="Income",Q1178,-Q1178))</x:f>
      </x:c>
      <x:c r="S1178" s="14">
        <x:f>IF(A1178="","",DATE(YEAR(A1178),MONTH(A1178),1))</x:f>
      </x:c>
      <x:c r="T1178" s="14">
        <x:f>IF(L1178="","",DATE(YEAR(L1178),MONTH(L1178),1))</x:f>
      </x:c>
    </x:row>
    <x:row r="1179">
      <x:c r="A1179" s="11" t="n"/>
      <x:c r="B1179" s="5" t="n"/>
      <x:c r="C1179" s="12" t="n"/>
      <x:c r="D1179" s="12" t="n"/>
      <x:c r="E1179" s="12" t="n"/>
      <x:c r="F1179" s="12" t="n"/>
      <x:c r="G1179" s="13">
        <x:f>IF(F1179="","",IFERROR(VLOOKUP(F1179,Master_Data!$E$24:$G$33,2,FALSE),"9999"))</x:f>
      </x:c>
      <x:c r="H1179" s="12" t="n"/>
      <x:c r="I1179" s="12" t="n"/>
      <x:c r="J1179" s="12" t="n"/>
      <x:c r="K1179" s="12" t="n"/>
      <x:c r="L1179" s="11" t="n"/>
      <x:c r="M1179" s="9" t="n"/>
      <x:c r="N1179" s="12" t="n"/>
      <x:c r="O1179" s="6">
        <x:f>IF(N1179="","",IFERROR(VLOOKUP(N1179,Master_Data!$A$5:$C$8,3,FALSE),0))</x:f>
      </x:c>
      <x:c r="P1179" s="7">
        <x:f>IF(M1179="","",M1179*O1179)</x:f>
      </x:c>
      <x:c r="Q1179" s="7">
        <x:f>IF(M1179="","",M1179+P1179)</x:f>
      </x:c>
      <x:c r="R1179" s="7">
        <x:f>IF(K1179&lt;&gt;"Paid",0,IF(C1179="Income",Q1179,-Q1179))</x:f>
      </x:c>
      <x:c r="S1179" s="14">
        <x:f>IF(A1179="","",DATE(YEAR(A1179),MONTH(A1179),1))</x:f>
      </x:c>
      <x:c r="T1179" s="14">
        <x:f>IF(L1179="","",DATE(YEAR(L1179),MONTH(L1179),1))</x:f>
      </x:c>
    </x:row>
    <x:row r="1180">
      <x:c r="A1180" s="11" t="n"/>
      <x:c r="B1180" s="5" t="n"/>
      <x:c r="C1180" s="12" t="n"/>
      <x:c r="D1180" s="12" t="n"/>
      <x:c r="E1180" s="12" t="n"/>
      <x:c r="F1180" s="12" t="n"/>
      <x:c r="G1180" s="13">
        <x:f>IF(F1180="","",IFERROR(VLOOKUP(F1180,Master_Data!$E$24:$G$33,2,FALSE),"9999"))</x:f>
      </x:c>
      <x:c r="H1180" s="12" t="n"/>
      <x:c r="I1180" s="12" t="n"/>
      <x:c r="J1180" s="12" t="n"/>
      <x:c r="K1180" s="12" t="n"/>
      <x:c r="L1180" s="11" t="n"/>
      <x:c r="M1180" s="9" t="n"/>
      <x:c r="N1180" s="12" t="n"/>
      <x:c r="O1180" s="6">
        <x:f>IF(N1180="","",IFERROR(VLOOKUP(N1180,Master_Data!$A$5:$C$8,3,FALSE),0))</x:f>
      </x:c>
      <x:c r="P1180" s="7">
        <x:f>IF(M1180="","",M1180*O1180)</x:f>
      </x:c>
      <x:c r="Q1180" s="7">
        <x:f>IF(M1180="","",M1180+P1180)</x:f>
      </x:c>
      <x:c r="R1180" s="7">
        <x:f>IF(K1180&lt;&gt;"Paid",0,IF(C1180="Income",Q1180,-Q1180))</x:f>
      </x:c>
      <x:c r="S1180" s="14">
        <x:f>IF(A1180="","",DATE(YEAR(A1180),MONTH(A1180),1))</x:f>
      </x:c>
      <x:c r="T1180" s="14">
        <x:f>IF(L1180="","",DATE(YEAR(L1180),MONTH(L1180),1))</x:f>
      </x:c>
    </x:row>
    <x:row r="1181">
      <x:c r="A1181" s="11" t="n"/>
      <x:c r="B1181" s="5" t="n"/>
      <x:c r="C1181" s="12" t="n"/>
      <x:c r="D1181" s="12" t="n"/>
      <x:c r="E1181" s="12" t="n"/>
      <x:c r="F1181" s="12" t="n"/>
      <x:c r="G1181" s="13">
        <x:f>IF(F1181="","",IFERROR(VLOOKUP(F1181,Master_Data!$E$24:$G$33,2,FALSE),"9999"))</x:f>
      </x:c>
      <x:c r="H1181" s="12" t="n"/>
      <x:c r="I1181" s="12" t="n"/>
      <x:c r="J1181" s="12" t="n"/>
      <x:c r="K1181" s="12" t="n"/>
      <x:c r="L1181" s="11" t="n"/>
      <x:c r="M1181" s="9" t="n"/>
      <x:c r="N1181" s="12" t="n"/>
      <x:c r="O1181" s="6">
        <x:f>IF(N1181="","",IFERROR(VLOOKUP(N1181,Master_Data!$A$5:$C$8,3,FALSE),0))</x:f>
      </x:c>
      <x:c r="P1181" s="7">
        <x:f>IF(M1181="","",M1181*O1181)</x:f>
      </x:c>
      <x:c r="Q1181" s="7">
        <x:f>IF(M1181="","",M1181+P1181)</x:f>
      </x:c>
      <x:c r="R1181" s="7">
        <x:f>IF(K1181&lt;&gt;"Paid",0,IF(C1181="Income",Q1181,-Q1181))</x:f>
      </x:c>
      <x:c r="S1181" s="14">
        <x:f>IF(A1181="","",DATE(YEAR(A1181),MONTH(A1181),1))</x:f>
      </x:c>
      <x:c r="T1181" s="14">
        <x:f>IF(L1181="","",DATE(YEAR(L1181),MONTH(L1181),1))</x:f>
      </x:c>
    </x:row>
    <x:row r="1182">
      <x:c r="A1182" s="11" t="n"/>
      <x:c r="B1182" s="5" t="n"/>
      <x:c r="C1182" s="12" t="n"/>
      <x:c r="D1182" s="12" t="n"/>
      <x:c r="E1182" s="12" t="n"/>
      <x:c r="F1182" s="12" t="n"/>
      <x:c r="G1182" s="13">
        <x:f>IF(F1182="","",IFERROR(VLOOKUP(F1182,Master_Data!$E$24:$G$33,2,FALSE),"9999"))</x:f>
      </x:c>
      <x:c r="H1182" s="12" t="n"/>
      <x:c r="I1182" s="12" t="n"/>
      <x:c r="J1182" s="12" t="n"/>
      <x:c r="K1182" s="12" t="n"/>
      <x:c r="L1182" s="11" t="n"/>
      <x:c r="M1182" s="9" t="n"/>
      <x:c r="N1182" s="12" t="n"/>
      <x:c r="O1182" s="6">
        <x:f>IF(N1182="","",IFERROR(VLOOKUP(N1182,Master_Data!$A$5:$C$8,3,FALSE),0))</x:f>
      </x:c>
      <x:c r="P1182" s="7">
        <x:f>IF(M1182="","",M1182*O1182)</x:f>
      </x:c>
      <x:c r="Q1182" s="7">
        <x:f>IF(M1182="","",M1182+P1182)</x:f>
      </x:c>
      <x:c r="R1182" s="7">
        <x:f>IF(K1182&lt;&gt;"Paid",0,IF(C1182="Income",Q1182,-Q1182))</x:f>
      </x:c>
      <x:c r="S1182" s="14">
        <x:f>IF(A1182="","",DATE(YEAR(A1182),MONTH(A1182),1))</x:f>
      </x:c>
      <x:c r="T1182" s="14">
        <x:f>IF(L1182="","",DATE(YEAR(L1182),MONTH(L1182),1))</x:f>
      </x:c>
    </x:row>
    <x:row r="1183">
      <x:c r="A1183" s="11" t="n"/>
      <x:c r="B1183" s="5" t="n"/>
      <x:c r="C1183" s="12" t="n"/>
      <x:c r="D1183" s="12" t="n"/>
      <x:c r="E1183" s="12" t="n"/>
      <x:c r="F1183" s="12" t="n"/>
      <x:c r="G1183" s="13">
        <x:f>IF(F1183="","",IFERROR(VLOOKUP(F1183,Master_Data!$E$24:$G$33,2,FALSE),"9999"))</x:f>
      </x:c>
      <x:c r="H1183" s="12" t="n"/>
      <x:c r="I1183" s="12" t="n"/>
      <x:c r="J1183" s="12" t="n"/>
      <x:c r="K1183" s="12" t="n"/>
      <x:c r="L1183" s="11" t="n"/>
      <x:c r="M1183" s="9" t="n"/>
      <x:c r="N1183" s="12" t="n"/>
      <x:c r="O1183" s="6">
        <x:f>IF(N1183="","",IFERROR(VLOOKUP(N1183,Master_Data!$A$5:$C$8,3,FALSE),0))</x:f>
      </x:c>
      <x:c r="P1183" s="7">
        <x:f>IF(M1183="","",M1183*O1183)</x:f>
      </x:c>
      <x:c r="Q1183" s="7">
        <x:f>IF(M1183="","",M1183+P1183)</x:f>
      </x:c>
      <x:c r="R1183" s="7">
        <x:f>IF(K1183&lt;&gt;"Paid",0,IF(C1183="Income",Q1183,-Q1183))</x:f>
      </x:c>
      <x:c r="S1183" s="14">
        <x:f>IF(A1183="","",DATE(YEAR(A1183),MONTH(A1183),1))</x:f>
      </x:c>
      <x:c r="T1183" s="14">
        <x:f>IF(L1183="","",DATE(YEAR(L1183),MONTH(L1183),1))</x:f>
      </x:c>
    </x:row>
    <x:row r="1184">
      <x:c r="A1184" s="11" t="n"/>
      <x:c r="B1184" s="5" t="n"/>
      <x:c r="C1184" s="12" t="n"/>
      <x:c r="D1184" s="12" t="n"/>
      <x:c r="E1184" s="12" t="n"/>
      <x:c r="F1184" s="12" t="n"/>
      <x:c r="G1184" s="13">
        <x:f>IF(F1184="","",IFERROR(VLOOKUP(F1184,Master_Data!$E$24:$G$33,2,FALSE),"9999"))</x:f>
      </x:c>
      <x:c r="H1184" s="12" t="n"/>
      <x:c r="I1184" s="12" t="n"/>
      <x:c r="J1184" s="12" t="n"/>
      <x:c r="K1184" s="12" t="n"/>
      <x:c r="L1184" s="11" t="n"/>
      <x:c r="M1184" s="9" t="n"/>
      <x:c r="N1184" s="12" t="n"/>
      <x:c r="O1184" s="6">
        <x:f>IF(N1184="","",IFERROR(VLOOKUP(N1184,Master_Data!$A$5:$C$8,3,FALSE),0))</x:f>
      </x:c>
      <x:c r="P1184" s="7">
        <x:f>IF(M1184="","",M1184*O1184)</x:f>
      </x:c>
      <x:c r="Q1184" s="7">
        <x:f>IF(M1184="","",M1184+P1184)</x:f>
      </x:c>
      <x:c r="R1184" s="7">
        <x:f>IF(K1184&lt;&gt;"Paid",0,IF(C1184="Income",Q1184,-Q1184))</x:f>
      </x:c>
      <x:c r="S1184" s="14">
        <x:f>IF(A1184="","",DATE(YEAR(A1184),MONTH(A1184),1))</x:f>
      </x:c>
      <x:c r="T1184" s="14">
        <x:f>IF(L1184="","",DATE(YEAR(L1184),MONTH(L1184),1))</x:f>
      </x:c>
    </x:row>
    <x:row r="1185">
      <x:c r="A1185" s="11" t="n"/>
      <x:c r="B1185" s="5" t="n"/>
      <x:c r="C1185" s="12" t="n"/>
      <x:c r="D1185" s="12" t="n"/>
      <x:c r="E1185" s="12" t="n"/>
      <x:c r="F1185" s="12" t="n"/>
      <x:c r="G1185" s="13">
        <x:f>IF(F1185="","",IFERROR(VLOOKUP(F1185,Master_Data!$E$24:$G$33,2,FALSE),"9999"))</x:f>
      </x:c>
      <x:c r="H1185" s="12" t="n"/>
      <x:c r="I1185" s="12" t="n"/>
      <x:c r="J1185" s="12" t="n"/>
      <x:c r="K1185" s="12" t="n"/>
      <x:c r="L1185" s="11" t="n"/>
      <x:c r="M1185" s="9" t="n"/>
      <x:c r="N1185" s="12" t="n"/>
      <x:c r="O1185" s="6">
        <x:f>IF(N1185="","",IFERROR(VLOOKUP(N1185,Master_Data!$A$5:$C$8,3,FALSE),0))</x:f>
      </x:c>
      <x:c r="P1185" s="7">
        <x:f>IF(M1185="","",M1185*O1185)</x:f>
      </x:c>
      <x:c r="Q1185" s="7">
        <x:f>IF(M1185="","",M1185+P1185)</x:f>
      </x:c>
      <x:c r="R1185" s="7">
        <x:f>IF(K1185&lt;&gt;"Paid",0,IF(C1185="Income",Q1185,-Q1185))</x:f>
      </x:c>
      <x:c r="S1185" s="14">
        <x:f>IF(A1185="","",DATE(YEAR(A1185),MONTH(A1185),1))</x:f>
      </x:c>
      <x:c r="T1185" s="14">
        <x:f>IF(L1185="","",DATE(YEAR(L1185),MONTH(L1185),1))</x:f>
      </x:c>
    </x:row>
    <x:row r="1186">
      <x:c r="A1186" s="11" t="n"/>
      <x:c r="B1186" s="5" t="n"/>
      <x:c r="C1186" s="12" t="n"/>
      <x:c r="D1186" s="12" t="n"/>
      <x:c r="E1186" s="12" t="n"/>
      <x:c r="F1186" s="12" t="n"/>
      <x:c r="G1186" s="13">
        <x:f>IF(F1186="","",IFERROR(VLOOKUP(F1186,Master_Data!$E$24:$G$33,2,FALSE),"9999"))</x:f>
      </x:c>
      <x:c r="H1186" s="12" t="n"/>
      <x:c r="I1186" s="12" t="n"/>
      <x:c r="J1186" s="12" t="n"/>
      <x:c r="K1186" s="12" t="n"/>
      <x:c r="L1186" s="11" t="n"/>
      <x:c r="M1186" s="9" t="n"/>
      <x:c r="N1186" s="12" t="n"/>
      <x:c r="O1186" s="6">
        <x:f>IF(N1186="","",IFERROR(VLOOKUP(N1186,Master_Data!$A$5:$C$8,3,FALSE),0))</x:f>
      </x:c>
      <x:c r="P1186" s="7">
        <x:f>IF(M1186="","",M1186*O1186)</x:f>
      </x:c>
      <x:c r="Q1186" s="7">
        <x:f>IF(M1186="","",M1186+P1186)</x:f>
      </x:c>
      <x:c r="R1186" s="7">
        <x:f>IF(K1186&lt;&gt;"Paid",0,IF(C1186="Income",Q1186,-Q1186))</x:f>
      </x:c>
      <x:c r="S1186" s="14">
        <x:f>IF(A1186="","",DATE(YEAR(A1186),MONTH(A1186),1))</x:f>
      </x:c>
      <x:c r="T1186" s="14">
        <x:f>IF(L1186="","",DATE(YEAR(L1186),MONTH(L1186),1))</x:f>
      </x:c>
    </x:row>
    <x:row r="1187">
      <x:c r="A1187" s="11" t="n"/>
      <x:c r="B1187" s="5" t="n"/>
      <x:c r="C1187" s="12" t="n"/>
      <x:c r="D1187" s="12" t="n"/>
      <x:c r="E1187" s="12" t="n"/>
      <x:c r="F1187" s="12" t="n"/>
      <x:c r="G1187" s="13">
        <x:f>IF(F1187="","",IFERROR(VLOOKUP(F1187,Master_Data!$E$24:$G$33,2,FALSE),"9999"))</x:f>
      </x:c>
      <x:c r="H1187" s="12" t="n"/>
      <x:c r="I1187" s="12" t="n"/>
      <x:c r="J1187" s="12" t="n"/>
      <x:c r="K1187" s="12" t="n"/>
      <x:c r="L1187" s="11" t="n"/>
      <x:c r="M1187" s="9" t="n"/>
      <x:c r="N1187" s="12" t="n"/>
      <x:c r="O1187" s="6">
        <x:f>IF(N1187="","",IFERROR(VLOOKUP(N1187,Master_Data!$A$5:$C$8,3,FALSE),0))</x:f>
      </x:c>
      <x:c r="P1187" s="7">
        <x:f>IF(M1187="","",M1187*O1187)</x:f>
      </x:c>
      <x:c r="Q1187" s="7">
        <x:f>IF(M1187="","",M1187+P1187)</x:f>
      </x:c>
      <x:c r="R1187" s="7">
        <x:f>IF(K1187&lt;&gt;"Paid",0,IF(C1187="Income",Q1187,-Q1187))</x:f>
      </x:c>
      <x:c r="S1187" s="14">
        <x:f>IF(A1187="","",DATE(YEAR(A1187),MONTH(A1187),1))</x:f>
      </x:c>
      <x:c r="T1187" s="14">
        <x:f>IF(L1187="","",DATE(YEAR(L1187),MONTH(L1187),1))</x:f>
      </x:c>
    </x:row>
    <x:row r="1188">
      <x:c r="A1188" s="11" t="n"/>
      <x:c r="B1188" s="5" t="n"/>
      <x:c r="C1188" s="12" t="n"/>
      <x:c r="D1188" s="12" t="n"/>
      <x:c r="E1188" s="12" t="n"/>
      <x:c r="F1188" s="12" t="n"/>
      <x:c r="G1188" s="13">
        <x:f>IF(F1188="","",IFERROR(VLOOKUP(F1188,Master_Data!$E$24:$G$33,2,FALSE),"9999"))</x:f>
      </x:c>
      <x:c r="H1188" s="12" t="n"/>
      <x:c r="I1188" s="12" t="n"/>
      <x:c r="J1188" s="12" t="n"/>
      <x:c r="K1188" s="12" t="n"/>
      <x:c r="L1188" s="11" t="n"/>
      <x:c r="M1188" s="9" t="n"/>
      <x:c r="N1188" s="12" t="n"/>
      <x:c r="O1188" s="6">
        <x:f>IF(N1188="","",IFERROR(VLOOKUP(N1188,Master_Data!$A$5:$C$8,3,FALSE),0))</x:f>
      </x:c>
      <x:c r="P1188" s="7">
        <x:f>IF(M1188="","",M1188*O1188)</x:f>
      </x:c>
      <x:c r="Q1188" s="7">
        <x:f>IF(M1188="","",M1188+P1188)</x:f>
      </x:c>
      <x:c r="R1188" s="7">
        <x:f>IF(K1188&lt;&gt;"Paid",0,IF(C1188="Income",Q1188,-Q1188))</x:f>
      </x:c>
      <x:c r="S1188" s="14">
        <x:f>IF(A1188="","",DATE(YEAR(A1188),MONTH(A1188),1))</x:f>
      </x:c>
      <x:c r="T1188" s="14">
        <x:f>IF(L1188="","",DATE(YEAR(L1188),MONTH(L1188),1))</x:f>
      </x:c>
    </x:row>
    <x:row r="1189">
      <x:c r="A1189" s="11" t="n"/>
      <x:c r="B1189" s="5" t="n"/>
      <x:c r="C1189" s="12" t="n"/>
      <x:c r="D1189" s="12" t="n"/>
      <x:c r="E1189" s="12" t="n"/>
      <x:c r="F1189" s="12" t="n"/>
      <x:c r="G1189" s="13">
        <x:f>IF(F1189="","",IFERROR(VLOOKUP(F1189,Master_Data!$E$24:$G$33,2,FALSE),"9999"))</x:f>
      </x:c>
      <x:c r="H1189" s="12" t="n"/>
      <x:c r="I1189" s="12" t="n"/>
      <x:c r="J1189" s="12" t="n"/>
      <x:c r="K1189" s="12" t="n"/>
      <x:c r="L1189" s="11" t="n"/>
      <x:c r="M1189" s="9" t="n"/>
      <x:c r="N1189" s="12" t="n"/>
      <x:c r="O1189" s="6">
        <x:f>IF(N1189="","",IFERROR(VLOOKUP(N1189,Master_Data!$A$5:$C$8,3,FALSE),0))</x:f>
      </x:c>
      <x:c r="P1189" s="7">
        <x:f>IF(M1189="","",M1189*O1189)</x:f>
      </x:c>
      <x:c r="Q1189" s="7">
        <x:f>IF(M1189="","",M1189+P1189)</x:f>
      </x:c>
      <x:c r="R1189" s="7">
        <x:f>IF(K1189&lt;&gt;"Paid",0,IF(C1189="Income",Q1189,-Q1189))</x:f>
      </x:c>
      <x:c r="S1189" s="14">
        <x:f>IF(A1189="","",DATE(YEAR(A1189),MONTH(A1189),1))</x:f>
      </x:c>
      <x:c r="T1189" s="14">
        <x:f>IF(L1189="","",DATE(YEAR(L1189),MONTH(L1189),1))</x:f>
      </x:c>
    </x:row>
    <x:row r="1190">
      <x:c r="A1190" s="11" t="n"/>
      <x:c r="B1190" s="5" t="n"/>
      <x:c r="C1190" s="12" t="n"/>
      <x:c r="D1190" s="12" t="n"/>
      <x:c r="E1190" s="12" t="n"/>
      <x:c r="F1190" s="12" t="n"/>
      <x:c r="G1190" s="13">
        <x:f>IF(F1190="","",IFERROR(VLOOKUP(F1190,Master_Data!$E$24:$G$33,2,FALSE),"9999"))</x:f>
      </x:c>
      <x:c r="H1190" s="12" t="n"/>
      <x:c r="I1190" s="12" t="n"/>
      <x:c r="J1190" s="12" t="n"/>
      <x:c r="K1190" s="12" t="n"/>
      <x:c r="L1190" s="11" t="n"/>
      <x:c r="M1190" s="9" t="n"/>
      <x:c r="N1190" s="12" t="n"/>
      <x:c r="O1190" s="6">
        <x:f>IF(N1190="","",IFERROR(VLOOKUP(N1190,Master_Data!$A$5:$C$8,3,FALSE),0))</x:f>
      </x:c>
      <x:c r="P1190" s="7">
        <x:f>IF(M1190="","",M1190*O1190)</x:f>
      </x:c>
      <x:c r="Q1190" s="7">
        <x:f>IF(M1190="","",M1190+P1190)</x:f>
      </x:c>
      <x:c r="R1190" s="7">
        <x:f>IF(K1190&lt;&gt;"Paid",0,IF(C1190="Income",Q1190,-Q1190))</x:f>
      </x:c>
      <x:c r="S1190" s="14">
        <x:f>IF(A1190="","",DATE(YEAR(A1190),MONTH(A1190),1))</x:f>
      </x:c>
      <x:c r="T1190" s="14">
        <x:f>IF(L1190="","",DATE(YEAR(L1190),MONTH(L1190),1))</x:f>
      </x:c>
    </x:row>
    <x:row r="1191">
      <x:c r="A1191" s="11" t="n"/>
      <x:c r="B1191" s="5" t="n"/>
      <x:c r="C1191" s="12" t="n"/>
      <x:c r="D1191" s="12" t="n"/>
      <x:c r="E1191" s="12" t="n"/>
      <x:c r="F1191" s="12" t="n"/>
      <x:c r="G1191" s="13">
        <x:f>IF(F1191="","",IFERROR(VLOOKUP(F1191,Master_Data!$E$24:$G$33,2,FALSE),"9999"))</x:f>
      </x:c>
      <x:c r="H1191" s="12" t="n"/>
      <x:c r="I1191" s="12" t="n"/>
      <x:c r="J1191" s="12" t="n"/>
      <x:c r="K1191" s="12" t="n"/>
      <x:c r="L1191" s="11" t="n"/>
      <x:c r="M1191" s="9" t="n"/>
      <x:c r="N1191" s="12" t="n"/>
      <x:c r="O1191" s="6">
        <x:f>IF(N1191="","",IFERROR(VLOOKUP(N1191,Master_Data!$A$5:$C$8,3,FALSE),0))</x:f>
      </x:c>
      <x:c r="P1191" s="7">
        <x:f>IF(M1191="","",M1191*O1191)</x:f>
      </x:c>
      <x:c r="Q1191" s="7">
        <x:f>IF(M1191="","",M1191+P1191)</x:f>
      </x:c>
      <x:c r="R1191" s="7">
        <x:f>IF(K1191&lt;&gt;"Paid",0,IF(C1191="Income",Q1191,-Q1191))</x:f>
      </x:c>
      <x:c r="S1191" s="14">
        <x:f>IF(A1191="","",DATE(YEAR(A1191),MONTH(A1191),1))</x:f>
      </x:c>
      <x:c r="T1191" s="14">
        <x:f>IF(L1191="","",DATE(YEAR(L1191),MONTH(L1191),1))</x:f>
      </x:c>
    </x:row>
    <x:row r="1192">
      <x:c r="A1192" s="11" t="n"/>
      <x:c r="B1192" s="5" t="n"/>
      <x:c r="C1192" s="12" t="n"/>
      <x:c r="D1192" s="12" t="n"/>
      <x:c r="E1192" s="12" t="n"/>
      <x:c r="F1192" s="12" t="n"/>
      <x:c r="G1192" s="13">
        <x:f>IF(F1192="","",IFERROR(VLOOKUP(F1192,Master_Data!$E$24:$G$33,2,FALSE),"9999"))</x:f>
      </x:c>
      <x:c r="H1192" s="12" t="n"/>
      <x:c r="I1192" s="12" t="n"/>
      <x:c r="J1192" s="12" t="n"/>
      <x:c r="K1192" s="12" t="n"/>
      <x:c r="L1192" s="11" t="n"/>
      <x:c r="M1192" s="9" t="n"/>
      <x:c r="N1192" s="12" t="n"/>
      <x:c r="O1192" s="6">
        <x:f>IF(N1192="","",IFERROR(VLOOKUP(N1192,Master_Data!$A$5:$C$8,3,FALSE),0))</x:f>
      </x:c>
      <x:c r="P1192" s="7">
        <x:f>IF(M1192="","",M1192*O1192)</x:f>
      </x:c>
      <x:c r="Q1192" s="7">
        <x:f>IF(M1192="","",M1192+P1192)</x:f>
      </x:c>
      <x:c r="R1192" s="7">
        <x:f>IF(K1192&lt;&gt;"Paid",0,IF(C1192="Income",Q1192,-Q1192))</x:f>
      </x:c>
      <x:c r="S1192" s="14">
        <x:f>IF(A1192="","",DATE(YEAR(A1192),MONTH(A1192),1))</x:f>
      </x:c>
      <x:c r="T1192" s="14">
        <x:f>IF(L1192="","",DATE(YEAR(L1192),MONTH(L1192),1))</x:f>
      </x:c>
    </x:row>
    <x:row r="1193">
      <x:c r="A1193" s="11" t="n"/>
      <x:c r="B1193" s="5" t="n"/>
      <x:c r="C1193" s="12" t="n"/>
      <x:c r="D1193" s="12" t="n"/>
      <x:c r="E1193" s="12" t="n"/>
      <x:c r="F1193" s="12" t="n"/>
      <x:c r="G1193" s="13">
        <x:f>IF(F1193="","",IFERROR(VLOOKUP(F1193,Master_Data!$E$24:$G$33,2,FALSE),"9999"))</x:f>
      </x:c>
      <x:c r="H1193" s="12" t="n"/>
      <x:c r="I1193" s="12" t="n"/>
      <x:c r="J1193" s="12" t="n"/>
      <x:c r="K1193" s="12" t="n"/>
      <x:c r="L1193" s="11" t="n"/>
      <x:c r="M1193" s="9" t="n"/>
      <x:c r="N1193" s="12" t="n"/>
      <x:c r="O1193" s="6">
        <x:f>IF(N1193="","",IFERROR(VLOOKUP(N1193,Master_Data!$A$5:$C$8,3,FALSE),0))</x:f>
      </x:c>
      <x:c r="P1193" s="7">
        <x:f>IF(M1193="","",M1193*O1193)</x:f>
      </x:c>
      <x:c r="Q1193" s="7">
        <x:f>IF(M1193="","",M1193+P1193)</x:f>
      </x:c>
      <x:c r="R1193" s="7">
        <x:f>IF(K1193&lt;&gt;"Paid",0,IF(C1193="Income",Q1193,-Q1193))</x:f>
      </x:c>
      <x:c r="S1193" s="14">
        <x:f>IF(A1193="","",DATE(YEAR(A1193),MONTH(A1193),1))</x:f>
      </x:c>
      <x:c r="T1193" s="14">
        <x:f>IF(L1193="","",DATE(YEAR(L1193),MONTH(L1193),1))</x:f>
      </x:c>
    </x:row>
    <x:row r="1194">
      <x:c r="A1194" s="11" t="n"/>
      <x:c r="B1194" s="5" t="n"/>
      <x:c r="C1194" s="12" t="n"/>
      <x:c r="D1194" s="12" t="n"/>
      <x:c r="E1194" s="12" t="n"/>
      <x:c r="F1194" s="12" t="n"/>
      <x:c r="G1194" s="13">
        <x:f>IF(F1194="","",IFERROR(VLOOKUP(F1194,Master_Data!$E$24:$G$33,2,FALSE),"9999"))</x:f>
      </x:c>
      <x:c r="H1194" s="12" t="n"/>
      <x:c r="I1194" s="12" t="n"/>
      <x:c r="J1194" s="12" t="n"/>
      <x:c r="K1194" s="12" t="n"/>
      <x:c r="L1194" s="11" t="n"/>
      <x:c r="M1194" s="9" t="n"/>
      <x:c r="N1194" s="12" t="n"/>
      <x:c r="O1194" s="6">
        <x:f>IF(N1194="","",IFERROR(VLOOKUP(N1194,Master_Data!$A$5:$C$8,3,FALSE),0))</x:f>
      </x:c>
      <x:c r="P1194" s="7">
        <x:f>IF(M1194="","",M1194*O1194)</x:f>
      </x:c>
      <x:c r="Q1194" s="7">
        <x:f>IF(M1194="","",M1194+P1194)</x:f>
      </x:c>
      <x:c r="R1194" s="7">
        <x:f>IF(K1194&lt;&gt;"Paid",0,IF(C1194="Income",Q1194,-Q1194))</x:f>
      </x:c>
      <x:c r="S1194" s="14">
        <x:f>IF(A1194="","",DATE(YEAR(A1194),MONTH(A1194),1))</x:f>
      </x:c>
      <x:c r="T1194" s="14">
        <x:f>IF(L1194="","",DATE(YEAR(L1194),MONTH(L1194),1))</x:f>
      </x:c>
    </x:row>
    <x:row r="1195">
      <x:c r="A1195" s="11" t="n"/>
      <x:c r="B1195" s="5" t="n"/>
      <x:c r="C1195" s="12" t="n"/>
      <x:c r="D1195" s="12" t="n"/>
      <x:c r="E1195" s="12" t="n"/>
      <x:c r="F1195" s="12" t="n"/>
      <x:c r="G1195" s="13">
        <x:f>IF(F1195="","",IFERROR(VLOOKUP(F1195,Master_Data!$E$24:$G$33,2,FALSE),"9999"))</x:f>
      </x:c>
      <x:c r="H1195" s="12" t="n"/>
      <x:c r="I1195" s="12" t="n"/>
      <x:c r="J1195" s="12" t="n"/>
      <x:c r="K1195" s="12" t="n"/>
      <x:c r="L1195" s="11" t="n"/>
      <x:c r="M1195" s="9" t="n"/>
      <x:c r="N1195" s="12" t="n"/>
      <x:c r="O1195" s="6">
        <x:f>IF(N1195="","",IFERROR(VLOOKUP(N1195,Master_Data!$A$5:$C$8,3,FALSE),0))</x:f>
      </x:c>
      <x:c r="P1195" s="7">
        <x:f>IF(M1195="","",M1195*O1195)</x:f>
      </x:c>
      <x:c r="Q1195" s="7">
        <x:f>IF(M1195="","",M1195+P1195)</x:f>
      </x:c>
      <x:c r="R1195" s="7">
        <x:f>IF(K1195&lt;&gt;"Paid",0,IF(C1195="Income",Q1195,-Q1195))</x:f>
      </x:c>
      <x:c r="S1195" s="14">
        <x:f>IF(A1195="","",DATE(YEAR(A1195),MONTH(A1195),1))</x:f>
      </x:c>
      <x:c r="T1195" s="14">
        <x:f>IF(L1195="","",DATE(YEAR(L1195),MONTH(L1195),1))</x:f>
      </x:c>
    </x:row>
    <x:row r="1196">
      <x:c r="A1196" s="11" t="n"/>
      <x:c r="B1196" s="5" t="n"/>
      <x:c r="C1196" s="12" t="n"/>
      <x:c r="D1196" s="12" t="n"/>
      <x:c r="E1196" s="12" t="n"/>
      <x:c r="F1196" s="12" t="n"/>
      <x:c r="G1196" s="13">
        <x:f>IF(F1196="","",IFERROR(VLOOKUP(F1196,Master_Data!$E$24:$G$33,2,FALSE),"9999"))</x:f>
      </x:c>
      <x:c r="H1196" s="12" t="n"/>
      <x:c r="I1196" s="12" t="n"/>
      <x:c r="J1196" s="12" t="n"/>
      <x:c r="K1196" s="12" t="n"/>
      <x:c r="L1196" s="11" t="n"/>
      <x:c r="M1196" s="9" t="n"/>
      <x:c r="N1196" s="12" t="n"/>
      <x:c r="O1196" s="6">
        <x:f>IF(N1196="","",IFERROR(VLOOKUP(N1196,Master_Data!$A$5:$C$8,3,FALSE),0))</x:f>
      </x:c>
      <x:c r="P1196" s="7">
        <x:f>IF(M1196="","",M1196*O1196)</x:f>
      </x:c>
      <x:c r="Q1196" s="7">
        <x:f>IF(M1196="","",M1196+P1196)</x:f>
      </x:c>
      <x:c r="R1196" s="7">
        <x:f>IF(K1196&lt;&gt;"Paid",0,IF(C1196="Income",Q1196,-Q1196))</x:f>
      </x:c>
      <x:c r="S1196" s="14">
        <x:f>IF(A1196="","",DATE(YEAR(A1196),MONTH(A1196),1))</x:f>
      </x:c>
      <x:c r="T1196" s="14">
        <x:f>IF(L1196="","",DATE(YEAR(L1196),MONTH(L1196),1))</x:f>
      </x:c>
    </x:row>
    <x:row r="1197">
      <x:c r="A1197" s="11" t="n"/>
      <x:c r="B1197" s="5" t="n"/>
      <x:c r="C1197" s="12" t="n"/>
      <x:c r="D1197" s="12" t="n"/>
      <x:c r="E1197" s="12" t="n"/>
      <x:c r="F1197" s="12" t="n"/>
      <x:c r="G1197" s="13">
        <x:f>IF(F1197="","",IFERROR(VLOOKUP(F1197,Master_Data!$E$24:$G$33,2,FALSE),"9999"))</x:f>
      </x:c>
      <x:c r="H1197" s="12" t="n"/>
      <x:c r="I1197" s="12" t="n"/>
      <x:c r="J1197" s="12" t="n"/>
      <x:c r="K1197" s="12" t="n"/>
      <x:c r="L1197" s="11" t="n"/>
      <x:c r="M1197" s="9" t="n"/>
      <x:c r="N1197" s="12" t="n"/>
      <x:c r="O1197" s="6">
        <x:f>IF(N1197="","",IFERROR(VLOOKUP(N1197,Master_Data!$A$5:$C$8,3,FALSE),0))</x:f>
      </x:c>
      <x:c r="P1197" s="7">
        <x:f>IF(M1197="","",M1197*O1197)</x:f>
      </x:c>
      <x:c r="Q1197" s="7">
        <x:f>IF(M1197="","",M1197+P1197)</x:f>
      </x:c>
      <x:c r="R1197" s="7">
        <x:f>IF(K1197&lt;&gt;"Paid",0,IF(C1197="Income",Q1197,-Q1197))</x:f>
      </x:c>
      <x:c r="S1197" s="14">
        <x:f>IF(A1197="","",DATE(YEAR(A1197),MONTH(A1197),1))</x:f>
      </x:c>
      <x:c r="T1197" s="14">
        <x:f>IF(L1197="","",DATE(YEAR(L1197),MONTH(L1197),1))</x:f>
      </x:c>
    </x:row>
    <x:row r="1198">
      <x:c r="A1198" s="11" t="n"/>
      <x:c r="B1198" s="5" t="n"/>
      <x:c r="C1198" s="12" t="n"/>
      <x:c r="D1198" s="12" t="n"/>
      <x:c r="E1198" s="12" t="n"/>
      <x:c r="F1198" s="12" t="n"/>
      <x:c r="G1198" s="13">
        <x:f>IF(F1198="","",IFERROR(VLOOKUP(F1198,Master_Data!$E$24:$G$33,2,FALSE),"9999"))</x:f>
      </x:c>
      <x:c r="H1198" s="12" t="n"/>
      <x:c r="I1198" s="12" t="n"/>
      <x:c r="J1198" s="12" t="n"/>
      <x:c r="K1198" s="12" t="n"/>
      <x:c r="L1198" s="11" t="n"/>
      <x:c r="M1198" s="9" t="n"/>
      <x:c r="N1198" s="12" t="n"/>
      <x:c r="O1198" s="6">
        <x:f>IF(N1198="","",IFERROR(VLOOKUP(N1198,Master_Data!$A$5:$C$8,3,FALSE),0))</x:f>
      </x:c>
      <x:c r="P1198" s="7">
        <x:f>IF(M1198="","",M1198*O1198)</x:f>
      </x:c>
      <x:c r="Q1198" s="7">
        <x:f>IF(M1198="","",M1198+P1198)</x:f>
      </x:c>
      <x:c r="R1198" s="7">
        <x:f>IF(K1198&lt;&gt;"Paid",0,IF(C1198="Income",Q1198,-Q1198))</x:f>
      </x:c>
      <x:c r="S1198" s="14">
        <x:f>IF(A1198="","",DATE(YEAR(A1198),MONTH(A1198),1))</x:f>
      </x:c>
      <x:c r="T1198" s="14">
        <x:f>IF(L1198="","",DATE(YEAR(L1198),MONTH(L1198),1))</x:f>
      </x:c>
    </x:row>
    <x:row r="1199">
      <x:c r="A1199" s="11" t="n"/>
      <x:c r="B1199" s="5" t="n"/>
      <x:c r="C1199" s="12" t="n"/>
      <x:c r="D1199" s="12" t="n"/>
      <x:c r="E1199" s="12" t="n"/>
      <x:c r="F1199" s="12" t="n"/>
      <x:c r="G1199" s="13">
        <x:f>IF(F1199="","",IFERROR(VLOOKUP(F1199,Master_Data!$E$24:$G$33,2,FALSE),"9999"))</x:f>
      </x:c>
      <x:c r="H1199" s="12" t="n"/>
      <x:c r="I1199" s="12" t="n"/>
      <x:c r="J1199" s="12" t="n"/>
      <x:c r="K1199" s="12" t="n"/>
      <x:c r="L1199" s="11" t="n"/>
      <x:c r="M1199" s="9" t="n"/>
      <x:c r="N1199" s="12" t="n"/>
      <x:c r="O1199" s="6">
        <x:f>IF(N1199="","",IFERROR(VLOOKUP(N1199,Master_Data!$A$5:$C$8,3,FALSE),0))</x:f>
      </x:c>
      <x:c r="P1199" s="7">
        <x:f>IF(M1199="","",M1199*O1199)</x:f>
      </x:c>
      <x:c r="Q1199" s="7">
        <x:f>IF(M1199="","",M1199+P1199)</x:f>
      </x:c>
      <x:c r="R1199" s="7">
        <x:f>IF(K1199&lt;&gt;"Paid",0,IF(C1199="Income",Q1199,-Q1199))</x:f>
      </x:c>
      <x:c r="S1199" s="14">
        <x:f>IF(A1199="","",DATE(YEAR(A1199),MONTH(A1199),1))</x:f>
      </x:c>
      <x:c r="T1199" s="14">
        <x:f>IF(L1199="","",DATE(YEAR(L1199),MONTH(L1199),1))</x:f>
      </x:c>
    </x:row>
    <x:row r="1200">
      <x:c r="A1200" s="11" t="n"/>
      <x:c r="B1200" s="5" t="n"/>
      <x:c r="C1200" s="12" t="n"/>
      <x:c r="D1200" s="12" t="n"/>
      <x:c r="E1200" s="12" t="n"/>
      <x:c r="F1200" s="12" t="n"/>
      <x:c r="G1200" s="13">
        <x:f>IF(F1200="","",IFERROR(VLOOKUP(F1200,Master_Data!$E$24:$G$33,2,FALSE),"9999"))</x:f>
      </x:c>
      <x:c r="H1200" s="12" t="n"/>
      <x:c r="I1200" s="12" t="n"/>
      <x:c r="J1200" s="12" t="n"/>
      <x:c r="K1200" s="12" t="n"/>
      <x:c r="L1200" s="11" t="n"/>
      <x:c r="M1200" s="9" t="n"/>
      <x:c r="N1200" s="12" t="n"/>
      <x:c r="O1200" s="6">
        <x:f>IF(N1200="","",IFERROR(VLOOKUP(N1200,Master_Data!$A$5:$C$8,3,FALSE),0))</x:f>
      </x:c>
      <x:c r="P1200" s="7">
        <x:f>IF(M1200="","",M1200*O1200)</x:f>
      </x:c>
      <x:c r="Q1200" s="7">
        <x:f>IF(M1200="","",M1200+P1200)</x:f>
      </x:c>
      <x:c r="R1200" s="7">
        <x:f>IF(K1200&lt;&gt;"Paid",0,IF(C1200="Income",Q1200,-Q1200))</x:f>
      </x:c>
      <x:c r="S1200" s="14">
        <x:f>IF(A1200="","",DATE(YEAR(A1200),MONTH(A1200),1))</x:f>
      </x:c>
      <x:c r="T1200" s="14">
        <x:f>IF(L1200="","",DATE(YEAR(L1200),MONTH(L1200),1))</x:f>
      </x:c>
    </x:row>
    <x:row r="1201">
      <x:c r="A1201" s="11" t="n"/>
      <x:c r="B1201" s="5" t="n"/>
      <x:c r="C1201" s="12" t="n"/>
      <x:c r="D1201" s="12" t="n"/>
      <x:c r="E1201" s="12" t="n"/>
      <x:c r="F1201" s="12" t="n"/>
      <x:c r="G1201" s="13">
        <x:f>IF(F1201="","",IFERROR(VLOOKUP(F1201,Master_Data!$E$24:$G$33,2,FALSE),"9999"))</x:f>
      </x:c>
      <x:c r="H1201" s="12" t="n"/>
      <x:c r="I1201" s="12" t="n"/>
      <x:c r="J1201" s="12" t="n"/>
      <x:c r="K1201" s="12" t="n"/>
      <x:c r="L1201" s="11" t="n"/>
      <x:c r="M1201" s="9" t="n"/>
      <x:c r="N1201" s="12" t="n"/>
      <x:c r="O1201" s="6">
        <x:f>IF(N1201="","",IFERROR(VLOOKUP(N1201,Master_Data!$A$5:$C$8,3,FALSE),0))</x:f>
      </x:c>
      <x:c r="P1201" s="7">
        <x:f>IF(M1201="","",M1201*O1201)</x:f>
      </x:c>
      <x:c r="Q1201" s="7">
        <x:f>IF(M1201="","",M1201+P1201)</x:f>
      </x:c>
      <x:c r="R1201" s="7">
        <x:f>IF(K1201&lt;&gt;"Paid",0,IF(C1201="Income",Q1201,-Q1201))</x:f>
      </x:c>
      <x:c r="S1201" s="14">
        <x:f>IF(A1201="","",DATE(YEAR(A1201),MONTH(A1201),1))</x:f>
      </x:c>
      <x:c r="T1201" s="14">
        <x:f>IF(L1201="","",DATE(YEAR(L1201),MONTH(L1201),1))</x:f>
      </x:c>
    </x:row>
    <x:row r="1202">
      <x:c r="A1202" s="11" t="n"/>
      <x:c r="B1202" s="5" t="n"/>
      <x:c r="C1202" s="12" t="n"/>
      <x:c r="D1202" s="12" t="n"/>
      <x:c r="E1202" s="12" t="n"/>
      <x:c r="F1202" s="12" t="n"/>
      <x:c r="G1202" s="13">
        <x:f>IF(F1202="","",IFERROR(VLOOKUP(F1202,Master_Data!$E$24:$G$33,2,FALSE),"9999"))</x:f>
      </x:c>
      <x:c r="H1202" s="12" t="n"/>
      <x:c r="I1202" s="12" t="n"/>
      <x:c r="J1202" s="12" t="n"/>
      <x:c r="K1202" s="12" t="n"/>
      <x:c r="L1202" s="11" t="n"/>
      <x:c r="M1202" s="9" t="n"/>
      <x:c r="N1202" s="12" t="n"/>
      <x:c r="O1202" s="6">
        <x:f>IF(N1202="","",IFERROR(VLOOKUP(N1202,Master_Data!$A$5:$C$8,3,FALSE),0))</x:f>
      </x:c>
      <x:c r="P1202" s="7">
        <x:f>IF(M1202="","",M1202*O1202)</x:f>
      </x:c>
      <x:c r="Q1202" s="7">
        <x:f>IF(M1202="","",M1202+P1202)</x:f>
      </x:c>
      <x:c r="R1202" s="7">
        <x:f>IF(K1202&lt;&gt;"Paid",0,IF(C1202="Income",Q1202,-Q1202))</x:f>
      </x:c>
      <x:c r="S1202" s="14">
        <x:f>IF(A1202="","",DATE(YEAR(A1202),MONTH(A1202),1))</x:f>
      </x:c>
      <x:c r="T1202" s="14">
        <x:f>IF(L1202="","",DATE(YEAR(L1202),MONTH(L1202),1))</x:f>
      </x:c>
    </x:row>
    <x:row r="1203">
      <x:c r="A1203" s="11" t="n"/>
      <x:c r="B1203" s="5" t="n"/>
      <x:c r="C1203" s="12" t="n"/>
      <x:c r="D1203" s="12" t="n"/>
      <x:c r="E1203" s="12" t="n"/>
      <x:c r="F1203" s="12" t="n"/>
      <x:c r="G1203" s="13">
        <x:f>IF(F1203="","",IFERROR(VLOOKUP(F1203,Master_Data!$E$24:$G$33,2,FALSE),"9999"))</x:f>
      </x:c>
      <x:c r="H1203" s="12" t="n"/>
      <x:c r="I1203" s="12" t="n"/>
      <x:c r="J1203" s="12" t="n"/>
      <x:c r="K1203" s="12" t="n"/>
      <x:c r="L1203" s="11" t="n"/>
      <x:c r="M1203" s="9" t="n"/>
      <x:c r="N1203" s="12" t="n"/>
      <x:c r="O1203" s="6">
        <x:f>IF(N1203="","",IFERROR(VLOOKUP(N1203,Master_Data!$A$5:$C$8,3,FALSE),0))</x:f>
      </x:c>
      <x:c r="P1203" s="7">
        <x:f>IF(M1203="","",M1203*O1203)</x:f>
      </x:c>
      <x:c r="Q1203" s="7">
        <x:f>IF(M1203="","",M1203+P1203)</x:f>
      </x:c>
      <x:c r="R1203" s="7">
        <x:f>IF(K1203&lt;&gt;"Paid",0,IF(C1203="Income",Q1203,-Q1203))</x:f>
      </x:c>
      <x:c r="S1203" s="14">
        <x:f>IF(A1203="","",DATE(YEAR(A1203),MONTH(A1203),1))</x:f>
      </x:c>
      <x:c r="T1203" s="14">
        <x:f>IF(L1203="","",DATE(YEAR(L1203),MONTH(L1203),1))</x:f>
      </x:c>
    </x:row>
    <x:row r="1204">
      <x:c r="A1204" s="11" t="n"/>
      <x:c r="B1204" s="5" t="n"/>
      <x:c r="C1204" s="12" t="n"/>
      <x:c r="D1204" s="12" t="n"/>
      <x:c r="E1204" s="12" t="n"/>
      <x:c r="F1204" s="12" t="n"/>
      <x:c r="G1204" s="13">
        <x:f>IF(F1204="","",IFERROR(VLOOKUP(F1204,Master_Data!$E$24:$G$33,2,FALSE),"9999"))</x:f>
      </x:c>
      <x:c r="H1204" s="12" t="n"/>
      <x:c r="I1204" s="12" t="n"/>
      <x:c r="J1204" s="12" t="n"/>
      <x:c r="K1204" s="12" t="n"/>
      <x:c r="L1204" s="11" t="n"/>
      <x:c r="M1204" s="9" t="n"/>
      <x:c r="N1204" s="12" t="n"/>
      <x:c r="O1204" s="6">
        <x:f>IF(N1204="","",IFERROR(VLOOKUP(N1204,Master_Data!$A$5:$C$8,3,FALSE),0))</x:f>
      </x:c>
      <x:c r="P1204" s="7">
        <x:f>IF(M1204="","",M1204*O1204)</x:f>
      </x:c>
      <x:c r="Q1204" s="7">
        <x:f>IF(M1204="","",M1204+P1204)</x:f>
      </x:c>
      <x:c r="R1204" s="7">
        <x:f>IF(K1204&lt;&gt;"Paid",0,IF(C1204="Income",Q1204,-Q1204))</x:f>
      </x:c>
      <x:c r="S1204" s="14">
        <x:f>IF(A1204="","",DATE(YEAR(A1204),MONTH(A1204),1))</x:f>
      </x:c>
      <x:c r="T1204" s="14">
        <x:f>IF(L1204="","",DATE(YEAR(L1204),MONTH(L1204),1))</x:f>
      </x:c>
    </x:row>
    <x:row r="1205">
      <x:c r="A1205" s="11" t="n"/>
      <x:c r="B1205" s="5" t="n"/>
      <x:c r="C1205" s="12" t="n"/>
      <x:c r="D1205" s="12" t="n"/>
      <x:c r="E1205" s="12" t="n"/>
      <x:c r="F1205" s="12" t="n"/>
      <x:c r="G1205" s="13">
        <x:f>IF(F1205="","",IFERROR(VLOOKUP(F1205,Master_Data!$E$24:$G$33,2,FALSE),"9999"))</x:f>
      </x:c>
      <x:c r="H1205" s="12" t="n"/>
      <x:c r="I1205" s="12" t="n"/>
      <x:c r="J1205" s="12" t="n"/>
      <x:c r="K1205" s="12" t="n"/>
      <x:c r="L1205" s="11" t="n"/>
      <x:c r="M1205" s="9" t="n"/>
      <x:c r="N1205" s="12" t="n"/>
      <x:c r="O1205" s="6">
        <x:f>IF(N1205="","",IFERROR(VLOOKUP(N1205,Master_Data!$A$5:$C$8,3,FALSE),0))</x:f>
      </x:c>
      <x:c r="P1205" s="7">
        <x:f>IF(M1205="","",M1205*O1205)</x:f>
      </x:c>
      <x:c r="Q1205" s="7">
        <x:f>IF(M1205="","",M1205+P1205)</x:f>
      </x:c>
      <x:c r="R1205" s="7">
        <x:f>IF(K1205&lt;&gt;"Paid",0,IF(C1205="Income",Q1205,-Q1205))</x:f>
      </x:c>
      <x:c r="S1205" s="14">
        <x:f>IF(A1205="","",DATE(YEAR(A1205),MONTH(A1205),1))</x:f>
      </x:c>
      <x:c r="T1205" s="14">
        <x:f>IF(L1205="","",DATE(YEAR(L1205),MONTH(L1205),1))</x:f>
      </x:c>
    </x:row>
    <x:row r="1206">
      <x:c r="A1206" s="11" t="n"/>
      <x:c r="B1206" s="5" t="n"/>
      <x:c r="C1206" s="12" t="n"/>
      <x:c r="D1206" s="12" t="n"/>
      <x:c r="E1206" s="12" t="n"/>
      <x:c r="F1206" s="12" t="n"/>
      <x:c r="G1206" s="13">
        <x:f>IF(F1206="","",IFERROR(VLOOKUP(F1206,Master_Data!$E$24:$G$33,2,FALSE),"9999"))</x:f>
      </x:c>
      <x:c r="H1206" s="12" t="n"/>
      <x:c r="I1206" s="12" t="n"/>
      <x:c r="J1206" s="12" t="n"/>
      <x:c r="K1206" s="12" t="n"/>
      <x:c r="L1206" s="11" t="n"/>
      <x:c r="M1206" s="9" t="n"/>
      <x:c r="N1206" s="12" t="n"/>
      <x:c r="O1206" s="6">
        <x:f>IF(N1206="","",IFERROR(VLOOKUP(N1206,Master_Data!$A$5:$C$8,3,FALSE),0))</x:f>
      </x:c>
      <x:c r="P1206" s="7">
        <x:f>IF(M1206="","",M1206*O1206)</x:f>
      </x:c>
      <x:c r="Q1206" s="7">
        <x:f>IF(M1206="","",M1206+P1206)</x:f>
      </x:c>
      <x:c r="R1206" s="7">
        <x:f>IF(K1206&lt;&gt;"Paid",0,IF(C1206="Income",Q1206,-Q1206))</x:f>
      </x:c>
      <x:c r="S1206" s="14">
        <x:f>IF(A1206="","",DATE(YEAR(A1206),MONTH(A1206),1))</x:f>
      </x:c>
      <x:c r="T1206" s="14">
        <x:f>IF(L1206="","",DATE(YEAR(L1206),MONTH(L1206),1))</x:f>
      </x:c>
    </x:row>
    <x:row r="1207">
      <x:c r="A1207" s="11" t="n"/>
      <x:c r="B1207" s="5" t="n"/>
      <x:c r="C1207" s="12" t="n"/>
      <x:c r="D1207" s="12" t="n"/>
      <x:c r="E1207" s="12" t="n"/>
      <x:c r="F1207" s="12" t="n"/>
      <x:c r="G1207" s="13">
        <x:f>IF(F1207="","",IFERROR(VLOOKUP(F1207,Master_Data!$E$24:$G$33,2,FALSE),"9999"))</x:f>
      </x:c>
      <x:c r="H1207" s="12" t="n"/>
      <x:c r="I1207" s="12" t="n"/>
      <x:c r="J1207" s="12" t="n"/>
      <x:c r="K1207" s="12" t="n"/>
      <x:c r="L1207" s="11" t="n"/>
      <x:c r="M1207" s="9" t="n"/>
      <x:c r="N1207" s="12" t="n"/>
      <x:c r="O1207" s="6">
        <x:f>IF(N1207="","",IFERROR(VLOOKUP(N1207,Master_Data!$A$5:$C$8,3,FALSE),0))</x:f>
      </x:c>
      <x:c r="P1207" s="7">
        <x:f>IF(M1207="","",M1207*O1207)</x:f>
      </x:c>
      <x:c r="Q1207" s="7">
        <x:f>IF(M1207="","",M1207+P1207)</x:f>
      </x:c>
      <x:c r="R1207" s="7">
        <x:f>IF(K1207&lt;&gt;"Paid",0,IF(C1207="Income",Q1207,-Q1207))</x:f>
      </x:c>
      <x:c r="S1207" s="14">
        <x:f>IF(A1207="","",DATE(YEAR(A1207),MONTH(A1207),1))</x:f>
      </x:c>
      <x:c r="T1207" s="14">
        <x:f>IF(L1207="","",DATE(YEAR(L1207),MONTH(L1207),1))</x:f>
      </x:c>
    </x:row>
    <x:row r="1208">
      <x:c r="A1208" s="11" t="n"/>
      <x:c r="B1208" s="5" t="n"/>
      <x:c r="C1208" s="12" t="n"/>
      <x:c r="D1208" s="12" t="n"/>
      <x:c r="E1208" s="12" t="n"/>
      <x:c r="F1208" s="12" t="n"/>
      <x:c r="G1208" s="13">
        <x:f>IF(F1208="","",IFERROR(VLOOKUP(F1208,Master_Data!$E$24:$G$33,2,FALSE),"9999"))</x:f>
      </x:c>
      <x:c r="H1208" s="12" t="n"/>
      <x:c r="I1208" s="12" t="n"/>
      <x:c r="J1208" s="12" t="n"/>
      <x:c r="K1208" s="12" t="n"/>
      <x:c r="L1208" s="11" t="n"/>
      <x:c r="M1208" s="9" t="n"/>
      <x:c r="N1208" s="12" t="n"/>
      <x:c r="O1208" s="6">
        <x:f>IF(N1208="","",IFERROR(VLOOKUP(N1208,Master_Data!$A$5:$C$8,3,FALSE),0))</x:f>
      </x:c>
      <x:c r="P1208" s="7">
        <x:f>IF(M1208="","",M1208*O1208)</x:f>
      </x:c>
      <x:c r="Q1208" s="7">
        <x:f>IF(M1208="","",M1208+P1208)</x:f>
      </x:c>
      <x:c r="R1208" s="7">
        <x:f>IF(K1208&lt;&gt;"Paid",0,IF(C1208="Income",Q1208,-Q1208))</x:f>
      </x:c>
      <x:c r="S1208" s="14">
        <x:f>IF(A1208="","",DATE(YEAR(A1208),MONTH(A1208),1))</x:f>
      </x:c>
      <x:c r="T1208" s="14">
        <x:f>IF(L1208="","",DATE(YEAR(L1208),MONTH(L1208),1))</x:f>
      </x:c>
    </x:row>
    <x:row r="1209">
      <x:c r="A1209" s="11" t="n"/>
      <x:c r="B1209" s="5" t="n"/>
      <x:c r="C1209" s="12" t="n"/>
      <x:c r="D1209" s="12" t="n"/>
      <x:c r="E1209" s="12" t="n"/>
      <x:c r="F1209" s="12" t="n"/>
      <x:c r="G1209" s="13">
        <x:f>IF(F1209="","",IFERROR(VLOOKUP(F1209,Master_Data!$E$24:$G$33,2,FALSE),"9999"))</x:f>
      </x:c>
      <x:c r="H1209" s="12" t="n"/>
      <x:c r="I1209" s="12" t="n"/>
      <x:c r="J1209" s="12" t="n"/>
      <x:c r="K1209" s="12" t="n"/>
      <x:c r="L1209" s="11" t="n"/>
      <x:c r="M1209" s="9" t="n"/>
      <x:c r="N1209" s="12" t="n"/>
      <x:c r="O1209" s="6">
        <x:f>IF(N1209="","",IFERROR(VLOOKUP(N1209,Master_Data!$A$5:$C$8,3,FALSE),0))</x:f>
      </x:c>
      <x:c r="P1209" s="7">
        <x:f>IF(M1209="","",M1209*O1209)</x:f>
      </x:c>
      <x:c r="Q1209" s="7">
        <x:f>IF(M1209="","",M1209+P1209)</x:f>
      </x:c>
      <x:c r="R1209" s="7">
        <x:f>IF(K1209&lt;&gt;"Paid",0,IF(C1209="Income",Q1209,-Q1209))</x:f>
      </x:c>
      <x:c r="S1209" s="14">
        <x:f>IF(A1209="","",DATE(YEAR(A1209),MONTH(A1209),1))</x:f>
      </x:c>
      <x:c r="T1209" s="14">
        <x:f>IF(L1209="","",DATE(YEAR(L1209),MONTH(L1209),1))</x:f>
      </x:c>
    </x:row>
    <x:row r="1210">
      <x:c r="A1210" s="11" t="n"/>
      <x:c r="B1210" s="5" t="n"/>
      <x:c r="C1210" s="12" t="n"/>
      <x:c r="D1210" s="12" t="n"/>
      <x:c r="E1210" s="12" t="n"/>
      <x:c r="F1210" s="12" t="n"/>
      <x:c r="G1210" s="13">
        <x:f>IF(F1210="","",IFERROR(VLOOKUP(F1210,Master_Data!$E$24:$G$33,2,FALSE),"9999"))</x:f>
      </x:c>
      <x:c r="H1210" s="12" t="n"/>
      <x:c r="I1210" s="12" t="n"/>
      <x:c r="J1210" s="12" t="n"/>
      <x:c r="K1210" s="12" t="n"/>
      <x:c r="L1210" s="11" t="n"/>
      <x:c r="M1210" s="9" t="n"/>
      <x:c r="N1210" s="12" t="n"/>
      <x:c r="O1210" s="6">
        <x:f>IF(N1210="","",IFERROR(VLOOKUP(N1210,Master_Data!$A$5:$C$8,3,FALSE),0))</x:f>
      </x:c>
      <x:c r="P1210" s="7">
        <x:f>IF(M1210="","",M1210*O1210)</x:f>
      </x:c>
      <x:c r="Q1210" s="7">
        <x:f>IF(M1210="","",M1210+P1210)</x:f>
      </x:c>
      <x:c r="R1210" s="7">
        <x:f>IF(K1210&lt;&gt;"Paid",0,IF(C1210="Income",Q1210,-Q1210))</x:f>
      </x:c>
      <x:c r="S1210" s="14">
        <x:f>IF(A1210="","",DATE(YEAR(A1210),MONTH(A1210),1))</x:f>
      </x:c>
      <x:c r="T1210" s="14">
        <x:f>IF(L1210="","",DATE(YEAR(L1210),MONTH(L1210),1))</x:f>
      </x:c>
    </x:row>
    <x:row r="1211">
      <x:c r="A1211" s="11" t="n"/>
      <x:c r="B1211" s="5" t="n"/>
      <x:c r="C1211" s="12" t="n"/>
      <x:c r="D1211" s="12" t="n"/>
      <x:c r="E1211" s="12" t="n"/>
      <x:c r="F1211" s="12" t="n"/>
      <x:c r="G1211" s="13">
        <x:f>IF(F1211="","",IFERROR(VLOOKUP(F1211,Master_Data!$E$24:$G$33,2,FALSE),"9999"))</x:f>
      </x:c>
      <x:c r="H1211" s="12" t="n"/>
      <x:c r="I1211" s="12" t="n"/>
      <x:c r="J1211" s="12" t="n"/>
      <x:c r="K1211" s="12" t="n"/>
      <x:c r="L1211" s="11" t="n"/>
      <x:c r="M1211" s="9" t="n"/>
      <x:c r="N1211" s="12" t="n"/>
      <x:c r="O1211" s="6">
        <x:f>IF(N1211="","",IFERROR(VLOOKUP(N1211,Master_Data!$A$5:$C$8,3,FALSE),0))</x:f>
      </x:c>
      <x:c r="P1211" s="7">
        <x:f>IF(M1211="","",M1211*O1211)</x:f>
      </x:c>
      <x:c r="Q1211" s="7">
        <x:f>IF(M1211="","",M1211+P1211)</x:f>
      </x:c>
      <x:c r="R1211" s="7">
        <x:f>IF(K1211&lt;&gt;"Paid",0,IF(C1211="Income",Q1211,-Q1211))</x:f>
      </x:c>
      <x:c r="S1211" s="14">
        <x:f>IF(A1211="","",DATE(YEAR(A1211),MONTH(A1211),1))</x:f>
      </x:c>
      <x:c r="T1211" s="14">
        <x:f>IF(L1211="","",DATE(YEAR(L1211),MONTH(L1211),1))</x:f>
      </x:c>
    </x:row>
    <x:row r="1212">
      <x:c r="A1212" s="11" t="n"/>
      <x:c r="B1212" s="5" t="n"/>
      <x:c r="C1212" s="12" t="n"/>
      <x:c r="D1212" s="12" t="n"/>
      <x:c r="E1212" s="12" t="n"/>
      <x:c r="F1212" s="12" t="n"/>
      <x:c r="G1212" s="13">
        <x:f>IF(F1212="","",IFERROR(VLOOKUP(F1212,Master_Data!$E$24:$G$33,2,FALSE),"9999"))</x:f>
      </x:c>
      <x:c r="H1212" s="12" t="n"/>
      <x:c r="I1212" s="12" t="n"/>
      <x:c r="J1212" s="12" t="n"/>
      <x:c r="K1212" s="12" t="n"/>
      <x:c r="L1212" s="11" t="n"/>
      <x:c r="M1212" s="9" t="n"/>
      <x:c r="N1212" s="12" t="n"/>
      <x:c r="O1212" s="6">
        <x:f>IF(N1212="","",IFERROR(VLOOKUP(N1212,Master_Data!$A$5:$C$8,3,FALSE),0))</x:f>
      </x:c>
      <x:c r="P1212" s="7">
        <x:f>IF(M1212="","",M1212*O1212)</x:f>
      </x:c>
      <x:c r="Q1212" s="7">
        <x:f>IF(M1212="","",M1212+P1212)</x:f>
      </x:c>
      <x:c r="R1212" s="7">
        <x:f>IF(K1212&lt;&gt;"Paid",0,IF(C1212="Income",Q1212,-Q1212))</x:f>
      </x:c>
      <x:c r="S1212" s="14">
        <x:f>IF(A1212="","",DATE(YEAR(A1212),MONTH(A1212),1))</x:f>
      </x:c>
      <x:c r="T1212" s="14">
        <x:f>IF(L1212="","",DATE(YEAR(L1212),MONTH(L1212),1))</x:f>
      </x:c>
    </x:row>
    <x:row r="1213">
      <x:c r="A1213" s="11" t="n"/>
      <x:c r="B1213" s="5" t="n"/>
      <x:c r="C1213" s="12" t="n"/>
      <x:c r="D1213" s="12" t="n"/>
      <x:c r="E1213" s="12" t="n"/>
      <x:c r="F1213" s="12" t="n"/>
      <x:c r="G1213" s="13">
        <x:f>IF(F1213="","",IFERROR(VLOOKUP(F1213,Master_Data!$E$24:$G$33,2,FALSE),"9999"))</x:f>
      </x:c>
      <x:c r="H1213" s="12" t="n"/>
      <x:c r="I1213" s="12" t="n"/>
      <x:c r="J1213" s="12" t="n"/>
      <x:c r="K1213" s="12" t="n"/>
      <x:c r="L1213" s="11" t="n"/>
      <x:c r="M1213" s="9" t="n"/>
      <x:c r="N1213" s="12" t="n"/>
      <x:c r="O1213" s="6">
        <x:f>IF(N1213="","",IFERROR(VLOOKUP(N1213,Master_Data!$A$5:$C$8,3,FALSE),0))</x:f>
      </x:c>
      <x:c r="P1213" s="7">
        <x:f>IF(M1213="","",M1213*O1213)</x:f>
      </x:c>
      <x:c r="Q1213" s="7">
        <x:f>IF(M1213="","",M1213+P1213)</x:f>
      </x:c>
      <x:c r="R1213" s="7">
        <x:f>IF(K1213&lt;&gt;"Paid",0,IF(C1213="Income",Q1213,-Q1213))</x:f>
      </x:c>
      <x:c r="S1213" s="14">
        <x:f>IF(A1213="","",DATE(YEAR(A1213),MONTH(A1213),1))</x:f>
      </x:c>
      <x:c r="T1213" s="14">
        <x:f>IF(L1213="","",DATE(YEAR(L1213),MONTH(L1213),1))</x:f>
      </x:c>
    </x:row>
    <x:row r="1214">
      <x:c r="A1214" s="11" t="n"/>
      <x:c r="B1214" s="5" t="n"/>
      <x:c r="C1214" s="12" t="n"/>
      <x:c r="D1214" s="12" t="n"/>
      <x:c r="E1214" s="12" t="n"/>
      <x:c r="F1214" s="12" t="n"/>
      <x:c r="G1214" s="13">
        <x:f>IF(F1214="","",IFERROR(VLOOKUP(F1214,Master_Data!$E$24:$G$33,2,FALSE),"9999"))</x:f>
      </x:c>
      <x:c r="H1214" s="12" t="n"/>
      <x:c r="I1214" s="12" t="n"/>
      <x:c r="J1214" s="12" t="n"/>
      <x:c r="K1214" s="12" t="n"/>
      <x:c r="L1214" s="11" t="n"/>
      <x:c r="M1214" s="9" t="n"/>
      <x:c r="N1214" s="12" t="n"/>
      <x:c r="O1214" s="6">
        <x:f>IF(N1214="","",IFERROR(VLOOKUP(N1214,Master_Data!$A$5:$C$8,3,FALSE),0))</x:f>
      </x:c>
      <x:c r="P1214" s="7">
        <x:f>IF(M1214="","",M1214*O1214)</x:f>
      </x:c>
      <x:c r="Q1214" s="7">
        <x:f>IF(M1214="","",M1214+P1214)</x:f>
      </x:c>
      <x:c r="R1214" s="7">
        <x:f>IF(K1214&lt;&gt;"Paid",0,IF(C1214="Income",Q1214,-Q1214))</x:f>
      </x:c>
      <x:c r="S1214" s="14">
        <x:f>IF(A1214="","",DATE(YEAR(A1214),MONTH(A1214),1))</x:f>
      </x:c>
      <x:c r="T1214" s="14">
        <x:f>IF(L1214="","",DATE(YEAR(L1214),MONTH(L1214),1))</x:f>
      </x:c>
    </x:row>
    <x:row r="1215">
      <x:c r="A1215" s="11" t="n"/>
      <x:c r="B1215" s="5" t="n"/>
      <x:c r="C1215" s="12" t="n"/>
      <x:c r="D1215" s="12" t="n"/>
      <x:c r="E1215" s="12" t="n"/>
      <x:c r="F1215" s="12" t="n"/>
      <x:c r="G1215" s="13">
        <x:f>IF(F1215="","",IFERROR(VLOOKUP(F1215,Master_Data!$E$24:$G$33,2,FALSE),"9999"))</x:f>
      </x:c>
      <x:c r="H1215" s="12" t="n"/>
      <x:c r="I1215" s="12" t="n"/>
      <x:c r="J1215" s="12" t="n"/>
      <x:c r="K1215" s="12" t="n"/>
      <x:c r="L1215" s="11" t="n"/>
      <x:c r="M1215" s="9" t="n"/>
      <x:c r="N1215" s="12" t="n"/>
      <x:c r="O1215" s="6">
        <x:f>IF(N1215="","",IFERROR(VLOOKUP(N1215,Master_Data!$A$5:$C$8,3,FALSE),0))</x:f>
      </x:c>
      <x:c r="P1215" s="7">
        <x:f>IF(M1215="","",M1215*O1215)</x:f>
      </x:c>
      <x:c r="Q1215" s="7">
        <x:f>IF(M1215="","",M1215+P1215)</x:f>
      </x:c>
      <x:c r="R1215" s="7">
        <x:f>IF(K1215&lt;&gt;"Paid",0,IF(C1215="Income",Q1215,-Q1215))</x:f>
      </x:c>
      <x:c r="S1215" s="14">
        <x:f>IF(A1215="","",DATE(YEAR(A1215),MONTH(A1215),1))</x:f>
      </x:c>
      <x:c r="T1215" s="14">
        <x:f>IF(L1215="","",DATE(YEAR(L1215),MONTH(L1215),1))</x:f>
      </x:c>
    </x:row>
    <x:row r="1216">
      <x:c r="A1216" s="11" t="n"/>
      <x:c r="B1216" s="5" t="n"/>
      <x:c r="C1216" s="12" t="n"/>
      <x:c r="D1216" s="12" t="n"/>
      <x:c r="E1216" s="12" t="n"/>
      <x:c r="F1216" s="12" t="n"/>
      <x:c r="G1216" s="13">
        <x:f>IF(F1216="","",IFERROR(VLOOKUP(F1216,Master_Data!$E$24:$G$33,2,FALSE),"9999"))</x:f>
      </x:c>
      <x:c r="H1216" s="12" t="n"/>
      <x:c r="I1216" s="12" t="n"/>
      <x:c r="J1216" s="12" t="n"/>
      <x:c r="K1216" s="12" t="n"/>
      <x:c r="L1216" s="11" t="n"/>
      <x:c r="M1216" s="9" t="n"/>
      <x:c r="N1216" s="12" t="n"/>
      <x:c r="O1216" s="6">
        <x:f>IF(N1216="","",IFERROR(VLOOKUP(N1216,Master_Data!$A$5:$C$8,3,FALSE),0))</x:f>
      </x:c>
      <x:c r="P1216" s="7">
        <x:f>IF(M1216="","",M1216*O1216)</x:f>
      </x:c>
      <x:c r="Q1216" s="7">
        <x:f>IF(M1216="","",M1216+P1216)</x:f>
      </x:c>
      <x:c r="R1216" s="7">
        <x:f>IF(K1216&lt;&gt;"Paid",0,IF(C1216="Income",Q1216,-Q1216))</x:f>
      </x:c>
      <x:c r="S1216" s="14">
        <x:f>IF(A1216="","",DATE(YEAR(A1216),MONTH(A1216),1))</x:f>
      </x:c>
      <x:c r="T1216" s="14">
        <x:f>IF(L1216="","",DATE(YEAR(L1216),MONTH(L1216),1))</x:f>
      </x:c>
    </x:row>
    <x:row r="1217">
      <x:c r="A1217" s="11" t="n"/>
      <x:c r="B1217" s="5" t="n"/>
      <x:c r="C1217" s="12" t="n"/>
      <x:c r="D1217" s="12" t="n"/>
      <x:c r="E1217" s="12" t="n"/>
      <x:c r="F1217" s="12" t="n"/>
      <x:c r="G1217" s="13">
        <x:f>IF(F1217="","",IFERROR(VLOOKUP(F1217,Master_Data!$E$24:$G$33,2,FALSE),"9999"))</x:f>
      </x:c>
      <x:c r="H1217" s="12" t="n"/>
      <x:c r="I1217" s="12" t="n"/>
      <x:c r="J1217" s="12" t="n"/>
      <x:c r="K1217" s="12" t="n"/>
      <x:c r="L1217" s="11" t="n"/>
      <x:c r="M1217" s="9" t="n"/>
      <x:c r="N1217" s="12" t="n"/>
      <x:c r="O1217" s="6">
        <x:f>IF(N1217="","",IFERROR(VLOOKUP(N1217,Master_Data!$A$5:$C$8,3,FALSE),0))</x:f>
      </x:c>
      <x:c r="P1217" s="7">
        <x:f>IF(M1217="","",M1217*O1217)</x:f>
      </x:c>
      <x:c r="Q1217" s="7">
        <x:f>IF(M1217="","",M1217+P1217)</x:f>
      </x:c>
      <x:c r="R1217" s="7">
        <x:f>IF(K1217&lt;&gt;"Paid",0,IF(C1217="Income",Q1217,-Q1217))</x:f>
      </x:c>
      <x:c r="S1217" s="14">
        <x:f>IF(A1217="","",DATE(YEAR(A1217),MONTH(A1217),1))</x:f>
      </x:c>
      <x:c r="T1217" s="14">
        <x:f>IF(L1217="","",DATE(YEAR(L1217),MONTH(L1217),1))</x:f>
      </x:c>
    </x:row>
    <x:row r="1218">
      <x:c r="A1218" s="11" t="n"/>
      <x:c r="B1218" s="5" t="n"/>
      <x:c r="C1218" s="12" t="n"/>
      <x:c r="D1218" s="12" t="n"/>
      <x:c r="E1218" s="12" t="n"/>
      <x:c r="F1218" s="12" t="n"/>
      <x:c r="G1218" s="13">
        <x:f>IF(F1218="","",IFERROR(VLOOKUP(F1218,Master_Data!$E$24:$G$33,2,FALSE),"9999"))</x:f>
      </x:c>
      <x:c r="H1218" s="12" t="n"/>
      <x:c r="I1218" s="12" t="n"/>
      <x:c r="J1218" s="12" t="n"/>
      <x:c r="K1218" s="12" t="n"/>
      <x:c r="L1218" s="11" t="n"/>
      <x:c r="M1218" s="9" t="n"/>
      <x:c r="N1218" s="12" t="n"/>
      <x:c r="O1218" s="6">
        <x:f>IF(N1218="","",IFERROR(VLOOKUP(N1218,Master_Data!$A$5:$C$8,3,FALSE),0))</x:f>
      </x:c>
      <x:c r="P1218" s="7">
        <x:f>IF(M1218="","",M1218*O1218)</x:f>
      </x:c>
      <x:c r="Q1218" s="7">
        <x:f>IF(M1218="","",M1218+P1218)</x:f>
      </x:c>
      <x:c r="R1218" s="7">
        <x:f>IF(K1218&lt;&gt;"Paid",0,IF(C1218="Income",Q1218,-Q1218))</x:f>
      </x:c>
      <x:c r="S1218" s="14">
        <x:f>IF(A1218="","",DATE(YEAR(A1218),MONTH(A1218),1))</x:f>
      </x:c>
      <x:c r="T1218" s="14">
        <x:f>IF(L1218="","",DATE(YEAR(L1218),MONTH(L1218),1))</x:f>
      </x:c>
    </x:row>
    <x:row r="1219">
      <x:c r="A1219" s="11" t="n"/>
      <x:c r="B1219" s="5" t="n"/>
      <x:c r="C1219" s="12" t="n"/>
      <x:c r="D1219" s="12" t="n"/>
      <x:c r="E1219" s="12" t="n"/>
      <x:c r="F1219" s="12" t="n"/>
      <x:c r="G1219" s="13">
        <x:f>IF(F1219="","",IFERROR(VLOOKUP(F1219,Master_Data!$E$24:$G$33,2,FALSE),"9999"))</x:f>
      </x:c>
      <x:c r="H1219" s="12" t="n"/>
      <x:c r="I1219" s="12" t="n"/>
      <x:c r="J1219" s="12" t="n"/>
      <x:c r="K1219" s="12" t="n"/>
      <x:c r="L1219" s="11" t="n"/>
      <x:c r="M1219" s="9" t="n"/>
      <x:c r="N1219" s="12" t="n"/>
      <x:c r="O1219" s="6">
        <x:f>IF(N1219="","",IFERROR(VLOOKUP(N1219,Master_Data!$A$5:$C$8,3,FALSE),0))</x:f>
      </x:c>
      <x:c r="P1219" s="7">
        <x:f>IF(M1219="","",M1219*O1219)</x:f>
      </x:c>
      <x:c r="Q1219" s="7">
        <x:f>IF(M1219="","",M1219+P1219)</x:f>
      </x:c>
      <x:c r="R1219" s="7">
        <x:f>IF(K1219&lt;&gt;"Paid",0,IF(C1219="Income",Q1219,-Q1219))</x:f>
      </x:c>
      <x:c r="S1219" s="14">
        <x:f>IF(A1219="","",DATE(YEAR(A1219),MONTH(A1219),1))</x:f>
      </x:c>
      <x:c r="T1219" s="14">
        <x:f>IF(L1219="","",DATE(YEAR(L1219),MONTH(L1219),1))</x:f>
      </x:c>
    </x:row>
    <x:row r="1220">
      <x:c r="A1220" s="11" t="n"/>
      <x:c r="B1220" s="5" t="n"/>
      <x:c r="C1220" s="12" t="n"/>
      <x:c r="D1220" s="12" t="n"/>
      <x:c r="E1220" s="12" t="n"/>
      <x:c r="F1220" s="12" t="n"/>
      <x:c r="G1220" s="13">
        <x:f>IF(F1220="","",IFERROR(VLOOKUP(F1220,Master_Data!$E$24:$G$33,2,FALSE),"9999"))</x:f>
      </x:c>
      <x:c r="H1220" s="12" t="n"/>
      <x:c r="I1220" s="12" t="n"/>
      <x:c r="J1220" s="12" t="n"/>
      <x:c r="K1220" s="12" t="n"/>
      <x:c r="L1220" s="11" t="n"/>
      <x:c r="M1220" s="9" t="n"/>
      <x:c r="N1220" s="12" t="n"/>
      <x:c r="O1220" s="6">
        <x:f>IF(N1220="","",IFERROR(VLOOKUP(N1220,Master_Data!$A$5:$C$8,3,FALSE),0))</x:f>
      </x:c>
      <x:c r="P1220" s="7">
        <x:f>IF(M1220="","",M1220*O1220)</x:f>
      </x:c>
      <x:c r="Q1220" s="7">
        <x:f>IF(M1220="","",M1220+P1220)</x:f>
      </x:c>
      <x:c r="R1220" s="7">
        <x:f>IF(K1220&lt;&gt;"Paid",0,IF(C1220="Income",Q1220,-Q1220))</x:f>
      </x:c>
      <x:c r="S1220" s="14">
        <x:f>IF(A1220="","",DATE(YEAR(A1220),MONTH(A1220),1))</x:f>
      </x:c>
      <x:c r="T1220" s="14">
        <x:f>IF(L1220="","",DATE(YEAR(L1220),MONTH(L1220),1))</x:f>
      </x:c>
    </x:row>
    <x:row r="1221">
      <x:c r="A1221" s="11" t="n"/>
      <x:c r="B1221" s="5" t="n"/>
      <x:c r="C1221" s="12" t="n"/>
      <x:c r="D1221" s="12" t="n"/>
      <x:c r="E1221" s="12" t="n"/>
      <x:c r="F1221" s="12" t="n"/>
      <x:c r="G1221" s="13">
        <x:f>IF(F1221="","",IFERROR(VLOOKUP(F1221,Master_Data!$E$24:$G$33,2,FALSE),"9999"))</x:f>
      </x:c>
      <x:c r="H1221" s="12" t="n"/>
      <x:c r="I1221" s="12" t="n"/>
      <x:c r="J1221" s="12" t="n"/>
      <x:c r="K1221" s="12" t="n"/>
      <x:c r="L1221" s="11" t="n"/>
      <x:c r="M1221" s="9" t="n"/>
      <x:c r="N1221" s="12" t="n"/>
      <x:c r="O1221" s="6">
        <x:f>IF(N1221="","",IFERROR(VLOOKUP(N1221,Master_Data!$A$5:$C$8,3,FALSE),0))</x:f>
      </x:c>
      <x:c r="P1221" s="7">
        <x:f>IF(M1221="","",M1221*O1221)</x:f>
      </x:c>
      <x:c r="Q1221" s="7">
        <x:f>IF(M1221="","",M1221+P1221)</x:f>
      </x:c>
      <x:c r="R1221" s="7">
        <x:f>IF(K1221&lt;&gt;"Paid",0,IF(C1221="Income",Q1221,-Q1221))</x:f>
      </x:c>
      <x:c r="S1221" s="14">
        <x:f>IF(A1221="","",DATE(YEAR(A1221),MONTH(A1221),1))</x:f>
      </x:c>
      <x:c r="T1221" s="14">
        <x:f>IF(L1221="","",DATE(YEAR(L1221),MONTH(L1221),1))</x:f>
      </x:c>
    </x:row>
    <x:row r="1222">
      <x:c r="A1222" s="11" t="n"/>
      <x:c r="B1222" s="5" t="n"/>
      <x:c r="C1222" s="12" t="n"/>
      <x:c r="D1222" s="12" t="n"/>
      <x:c r="E1222" s="12" t="n"/>
      <x:c r="F1222" s="12" t="n"/>
      <x:c r="G1222" s="13">
        <x:f>IF(F1222="","",IFERROR(VLOOKUP(F1222,Master_Data!$E$24:$G$33,2,FALSE),"9999"))</x:f>
      </x:c>
      <x:c r="H1222" s="12" t="n"/>
      <x:c r="I1222" s="12" t="n"/>
      <x:c r="J1222" s="12" t="n"/>
      <x:c r="K1222" s="12" t="n"/>
      <x:c r="L1222" s="11" t="n"/>
      <x:c r="M1222" s="9" t="n"/>
      <x:c r="N1222" s="12" t="n"/>
      <x:c r="O1222" s="6">
        <x:f>IF(N1222="","",IFERROR(VLOOKUP(N1222,Master_Data!$A$5:$C$8,3,FALSE),0))</x:f>
      </x:c>
      <x:c r="P1222" s="7">
        <x:f>IF(M1222="","",M1222*O1222)</x:f>
      </x:c>
      <x:c r="Q1222" s="7">
        <x:f>IF(M1222="","",M1222+P1222)</x:f>
      </x:c>
      <x:c r="R1222" s="7">
        <x:f>IF(K1222&lt;&gt;"Paid",0,IF(C1222="Income",Q1222,-Q1222))</x:f>
      </x:c>
      <x:c r="S1222" s="14">
        <x:f>IF(A1222="","",DATE(YEAR(A1222),MONTH(A1222),1))</x:f>
      </x:c>
      <x:c r="T1222" s="14">
        <x:f>IF(L1222="","",DATE(YEAR(L1222),MONTH(L1222),1))</x:f>
      </x:c>
    </x:row>
    <x:row r="1223">
      <x:c r="A1223" s="11" t="n"/>
      <x:c r="B1223" s="5" t="n"/>
      <x:c r="C1223" s="12" t="n"/>
      <x:c r="D1223" s="12" t="n"/>
      <x:c r="E1223" s="12" t="n"/>
      <x:c r="F1223" s="12" t="n"/>
      <x:c r="G1223" s="13">
        <x:f>IF(F1223="","",IFERROR(VLOOKUP(F1223,Master_Data!$E$24:$G$33,2,FALSE),"9999"))</x:f>
      </x:c>
      <x:c r="H1223" s="12" t="n"/>
      <x:c r="I1223" s="12" t="n"/>
      <x:c r="J1223" s="12" t="n"/>
      <x:c r="K1223" s="12" t="n"/>
      <x:c r="L1223" s="11" t="n"/>
      <x:c r="M1223" s="9" t="n"/>
      <x:c r="N1223" s="12" t="n"/>
      <x:c r="O1223" s="6">
        <x:f>IF(N1223="","",IFERROR(VLOOKUP(N1223,Master_Data!$A$5:$C$8,3,FALSE),0))</x:f>
      </x:c>
      <x:c r="P1223" s="7">
        <x:f>IF(M1223="","",M1223*O1223)</x:f>
      </x:c>
      <x:c r="Q1223" s="7">
        <x:f>IF(M1223="","",M1223+P1223)</x:f>
      </x:c>
      <x:c r="R1223" s="7">
        <x:f>IF(K1223&lt;&gt;"Paid",0,IF(C1223="Income",Q1223,-Q1223))</x:f>
      </x:c>
      <x:c r="S1223" s="14">
        <x:f>IF(A1223="","",DATE(YEAR(A1223),MONTH(A1223),1))</x:f>
      </x:c>
      <x:c r="T1223" s="14">
        <x:f>IF(L1223="","",DATE(YEAR(L1223),MONTH(L1223),1))</x:f>
      </x:c>
    </x:row>
    <x:row r="1224">
      <x:c r="A1224" s="11" t="n"/>
      <x:c r="B1224" s="5" t="n"/>
      <x:c r="C1224" s="12" t="n"/>
      <x:c r="D1224" s="12" t="n"/>
      <x:c r="E1224" s="12" t="n"/>
      <x:c r="F1224" s="12" t="n"/>
      <x:c r="G1224" s="13">
        <x:f>IF(F1224="","",IFERROR(VLOOKUP(F1224,Master_Data!$E$24:$G$33,2,FALSE),"9999"))</x:f>
      </x:c>
      <x:c r="H1224" s="12" t="n"/>
      <x:c r="I1224" s="12" t="n"/>
      <x:c r="J1224" s="12" t="n"/>
      <x:c r="K1224" s="12" t="n"/>
      <x:c r="L1224" s="11" t="n"/>
      <x:c r="M1224" s="9" t="n"/>
      <x:c r="N1224" s="12" t="n"/>
      <x:c r="O1224" s="6">
        <x:f>IF(N1224="","",IFERROR(VLOOKUP(N1224,Master_Data!$A$5:$C$8,3,FALSE),0))</x:f>
      </x:c>
      <x:c r="P1224" s="7">
        <x:f>IF(M1224="","",M1224*O1224)</x:f>
      </x:c>
      <x:c r="Q1224" s="7">
        <x:f>IF(M1224="","",M1224+P1224)</x:f>
      </x:c>
      <x:c r="R1224" s="7">
        <x:f>IF(K1224&lt;&gt;"Paid",0,IF(C1224="Income",Q1224,-Q1224))</x:f>
      </x:c>
      <x:c r="S1224" s="14">
        <x:f>IF(A1224="","",DATE(YEAR(A1224),MONTH(A1224),1))</x:f>
      </x:c>
      <x:c r="T1224" s="14">
        <x:f>IF(L1224="","",DATE(YEAR(L1224),MONTH(L1224),1))</x:f>
      </x:c>
    </x:row>
    <x:row r="1225">
      <x:c r="A1225" s="11" t="n"/>
      <x:c r="B1225" s="5" t="n"/>
      <x:c r="C1225" s="12" t="n"/>
      <x:c r="D1225" s="12" t="n"/>
      <x:c r="E1225" s="12" t="n"/>
      <x:c r="F1225" s="12" t="n"/>
      <x:c r="G1225" s="13">
        <x:f>IF(F1225="","",IFERROR(VLOOKUP(F1225,Master_Data!$E$24:$G$33,2,FALSE),"9999"))</x:f>
      </x:c>
      <x:c r="H1225" s="12" t="n"/>
      <x:c r="I1225" s="12" t="n"/>
      <x:c r="J1225" s="12" t="n"/>
      <x:c r="K1225" s="12" t="n"/>
      <x:c r="L1225" s="11" t="n"/>
      <x:c r="M1225" s="9" t="n"/>
      <x:c r="N1225" s="12" t="n"/>
      <x:c r="O1225" s="6">
        <x:f>IF(N1225="","",IFERROR(VLOOKUP(N1225,Master_Data!$A$5:$C$8,3,FALSE),0))</x:f>
      </x:c>
      <x:c r="P1225" s="7">
        <x:f>IF(M1225="","",M1225*O1225)</x:f>
      </x:c>
      <x:c r="Q1225" s="7">
        <x:f>IF(M1225="","",M1225+P1225)</x:f>
      </x:c>
      <x:c r="R1225" s="7">
        <x:f>IF(K1225&lt;&gt;"Paid",0,IF(C1225="Income",Q1225,-Q1225))</x:f>
      </x:c>
      <x:c r="S1225" s="14">
        <x:f>IF(A1225="","",DATE(YEAR(A1225),MONTH(A1225),1))</x:f>
      </x:c>
      <x:c r="T1225" s="14">
        <x:f>IF(L1225="","",DATE(YEAR(L1225),MONTH(L1225),1))</x:f>
      </x:c>
    </x:row>
    <x:row r="1226">
      <x:c r="A1226" s="11" t="n"/>
      <x:c r="B1226" s="5" t="n"/>
      <x:c r="C1226" s="12" t="n"/>
      <x:c r="D1226" s="12" t="n"/>
      <x:c r="E1226" s="12" t="n"/>
      <x:c r="F1226" s="12" t="n"/>
      <x:c r="G1226" s="13">
        <x:f>IF(F1226="","",IFERROR(VLOOKUP(F1226,Master_Data!$E$24:$G$33,2,FALSE),"9999"))</x:f>
      </x:c>
      <x:c r="H1226" s="12" t="n"/>
      <x:c r="I1226" s="12" t="n"/>
      <x:c r="J1226" s="12" t="n"/>
      <x:c r="K1226" s="12" t="n"/>
      <x:c r="L1226" s="11" t="n"/>
      <x:c r="M1226" s="9" t="n"/>
      <x:c r="N1226" s="12" t="n"/>
      <x:c r="O1226" s="6">
        <x:f>IF(N1226="","",IFERROR(VLOOKUP(N1226,Master_Data!$A$5:$C$8,3,FALSE),0))</x:f>
      </x:c>
      <x:c r="P1226" s="7">
        <x:f>IF(M1226="","",M1226*O1226)</x:f>
      </x:c>
      <x:c r="Q1226" s="7">
        <x:f>IF(M1226="","",M1226+P1226)</x:f>
      </x:c>
      <x:c r="R1226" s="7">
        <x:f>IF(K1226&lt;&gt;"Paid",0,IF(C1226="Income",Q1226,-Q1226))</x:f>
      </x:c>
      <x:c r="S1226" s="14">
        <x:f>IF(A1226="","",DATE(YEAR(A1226),MONTH(A1226),1))</x:f>
      </x:c>
      <x:c r="T1226" s="14">
        <x:f>IF(L1226="","",DATE(YEAR(L1226),MONTH(L1226),1))</x:f>
      </x:c>
    </x:row>
    <x:row r="1227">
      <x:c r="A1227" s="11" t="n"/>
      <x:c r="B1227" s="5" t="n"/>
      <x:c r="C1227" s="12" t="n"/>
      <x:c r="D1227" s="12" t="n"/>
      <x:c r="E1227" s="12" t="n"/>
      <x:c r="F1227" s="12" t="n"/>
      <x:c r="G1227" s="13">
        <x:f>IF(F1227="","",IFERROR(VLOOKUP(F1227,Master_Data!$E$24:$G$33,2,FALSE),"9999"))</x:f>
      </x:c>
      <x:c r="H1227" s="12" t="n"/>
      <x:c r="I1227" s="12" t="n"/>
      <x:c r="J1227" s="12" t="n"/>
      <x:c r="K1227" s="12" t="n"/>
      <x:c r="L1227" s="11" t="n"/>
      <x:c r="M1227" s="9" t="n"/>
      <x:c r="N1227" s="12" t="n"/>
      <x:c r="O1227" s="6">
        <x:f>IF(N1227="","",IFERROR(VLOOKUP(N1227,Master_Data!$A$5:$C$8,3,FALSE),0))</x:f>
      </x:c>
      <x:c r="P1227" s="7">
        <x:f>IF(M1227="","",M1227*O1227)</x:f>
      </x:c>
      <x:c r="Q1227" s="7">
        <x:f>IF(M1227="","",M1227+P1227)</x:f>
      </x:c>
      <x:c r="R1227" s="7">
        <x:f>IF(K1227&lt;&gt;"Paid",0,IF(C1227="Income",Q1227,-Q1227))</x:f>
      </x:c>
      <x:c r="S1227" s="14">
        <x:f>IF(A1227="","",DATE(YEAR(A1227),MONTH(A1227),1))</x:f>
      </x:c>
      <x:c r="T1227" s="14">
        <x:f>IF(L1227="","",DATE(YEAR(L1227),MONTH(L1227),1))</x:f>
      </x:c>
    </x:row>
    <x:row r="1228">
      <x:c r="A1228" s="11" t="n"/>
      <x:c r="B1228" s="5" t="n"/>
      <x:c r="C1228" s="12" t="n"/>
      <x:c r="D1228" s="12" t="n"/>
      <x:c r="E1228" s="12" t="n"/>
      <x:c r="F1228" s="12" t="n"/>
      <x:c r="G1228" s="13">
        <x:f>IF(F1228="","",IFERROR(VLOOKUP(F1228,Master_Data!$E$24:$G$33,2,FALSE),"9999"))</x:f>
      </x:c>
      <x:c r="H1228" s="12" t="n"/>
      <x:c r="I1228" s="12" t="n"/>
      <x:c r="J1228" s="12" t="n"/>
      <x:c r="K1228" s="12" t="n"/>
      <x:c r="L1228" s="11" t="n"/>
      <x:c r="M1228" s="9" t="n"/>
      <x:c r="N1228" s="12" t="n"/>
      <x:c r="O1228" s="6">
        <x:f>IF(N1228="","",IFERROR(VLOOKUP(N1228,Master_Data!$A$5:$C$8,3,FALSE),0))</x:f>
      </x:c>
      <x:c r="P1228" s="7">
        <x:f>IF(M1228="","",M1228*O1228)</x:f>
      </x:c>
      <x:c r="Q1228" s="7">
        <x:f>IF(M1228="","",M1228+P1228)</x:f>
      </x:c>
      <x:c r="R1228" s="7">
        <x:f>IF(K1228&lt;&gt;"Paid",0,IF(C1228="Income",Q1228,-Q1228))</x:f>
      </x:c>
      <x:c r="S1228" s="14">
        <x:f>IF(A1228="","",DATE(YEAR(A1228),MONTH(A1228),1))</x:f>
      </x:c>
      <x:c r="T1228" s="14">
        <x:f>IF(L1228="","",DATE(YEAR(L1228),MONTH(L1228),1))</x:f>
      </x:c>
    </x:row>
    <x:row r="1229">
      <x:c r="A1229" s="11" t="n"/>
      <x:c r="B1229" s="5" t="n"/>
      <x:c r="C1229" s="12" t="n"/>
      <x:c r="D1229" s="12" t="n"/>
      <x:c r="E1229" s="12" t="n"/>
      <x:c r="F1229" s="12" t="n"/>
      <x:c r="G1229" s="13">
        <x:f>IF(F1229="","",IFERROR(VLOOKUP(F1229,Master_Data!$E$24:$G$33,2,FALSE),"9999"))</x:f>
      </x:c>
      <x:c r="H1229" s="12" t="n"/>
      <x:c r="I1229" s="12" t="n"/>
      <x:c r="J1229" s="12" t="n"/>
      <x:c r="K1229" s="12" t="n"/>
      <x:c r="L1229" s="11" t="n"/>
      <x:c r="M1229" s="9" t="n"/>
      <x:c r="N1229" s="12" t="n"/>
      <x:c r="O1229" s="6">
        <x:f>IF(N1229="","",IFERROR(VLOOKUP(N1229,Master_Data!$A$5:$C$8,3,FALSE),0))</x:f>
      </x:c>
      <x:c r="P1229" s="7">
        <x:f>IF(M1229="","",M1229*O1229)</x:f>
      </x:c>
      <x:c r="Q1229" s="7">
        <x:f>IF(M1229="","",M1229+P1229)</x:f>
      </x:c>
      <x:c r="R1229" s="7">
        <x:f>IF(K1229&lt;&gt;"Paid",0,IF(C1229="Income",Q1229,-Q1229))</x:f>
      </x:c>
      <x:c r="S1229" s="14">
        <x:f>IF(A1229="","",DATE(YEAR(A1229),MONTH(A1229),1))</x:f>
      </x:c>
      <x:c r="T1229" s="14">
        <x:f>IF(L1229="","",DATE(YEAR(L1229),MONTH(L1229),1))</x:f>
      </x:c>
    </x:row>
    <x:row r="1230">
      <x:c r="A1230" s="11" t="n"/>
      <x:c r="B1230" s="5" t="n"/>
      <x:c r="C1230" s="12" t="n"/>
      <x:c r="D1230" s="12" t="n"/>
      <x:c r="E1230" s="12" t="n"/>
      <x:c r="F1230" s="12" t="n"/>
      <x:c r="G1230" s="13">
        <x:f>IF(F1230="","",IFERROR(VLOOKUP(F1230,Master_Data!$E$24:$G$33,2,FALSE),"9999"))</x:f>
      </x:c>
      <x:c r="H1230" s="12" t="n"/>
      <x:c r="I1230" s="12" t="n"/>
      <x:c r="J1230" s="12" t="n"/>
      <x:c r="K1230" s="12" t="n"/>
      <x:c r="L1230" s="11" t="n"/>
      <x:c r="M1230" s="9" t="n"/>
      <x:c r="N1230" s="12" t="n"/>
      <x:c r="O1230" s="6">
        <x:f>IF(N1230="","",IFERROR(VLOOKUP(N1230,Master_Data!$A$5:$C$8,3,FALSE),0))</x:f>
      </x:c>
      <x:c r="P1230" s="7">
        <x:f>IF(M1230="","",M1230*O1230)</x:f>
      </x:c>
      <x:c r="Q1230" s="7">
        <x:f>IF(M1230="","",M1230+P1230)</x:f>
      </x:c>
      <x:c r="R1230" s="7">
        <x:f>IF(K1230&lt;&gt;"Paid",0,IF(C1230="Income",Q1230,-Q1230))</x:f>
      </x:c>
      <x:c r="S1230" s="14">
        <x:f>IF(A1230="","",DATE(YEAR(A1230),MONTH(A1230),1))</x:f>
      </x:c>
      <x:c r="T1230" s="14">
        <x:f>IF(L1230="","",DATE(YEAR(L1230),MONTH(L1230),1))</x:f>
      </x:c>
    </x:row>
    <x:row r="1231">
      <x:c r="A1231" s="11" t="n"/>
      <x:c r="B1231" s="5" t="n"/>
      <x:c r="C1231" s="12" t="n"/>
      <x:c r="D1231" s="12" t="n"/>
      <x:c r="E1231" s="12" t="n"/>
      <x:c r="F1231" s="12" t="n"/>
      <x:c r="G1231" s="13">
        <x:f>IF(F1231="","",IFERROR(VLOOKUP(F1231,Master_Data!$E$24:$G$33,2,FALSE),"9999"))</x:f>
      </x:c>
      <x:c r="H1231" s="12" t="n"/>
      <x:c r="I1231" s="12" t="n"/>
      <x:c r="J1231" s="12" t="n"/>
      <x:c r="K1231" s="12" t="n"/>
      <x:c r="L1231" s="11" t="n"/>
      <x:c r="M1231" s="9" t="n"/>
      <x:c r="N1231" s="12" t="n"/>
      <x:c r="O1231" s="6">
        <x:f>IF(N1231="","",IFERROR(VLOOKUP(N1231,Master_Data!$A$5:$C$8,3,FALSE),0))</x:f>
      </x:c>
      <x:c r="P1231" s="7">
        <x:f>IF(M1231="","",M1231*O1231)</x:f>
      </x:c>
      <x:c r="Q1231" s="7">
        <x:f>IF(M1231="","",M1231+P1231)</x:f>
      </x:c>
      <x:c r="R1231" s="7">
        <x:f>IF(K1231&lt;&gt;"Paid",0,IF(C1231="Income",Q1231,-Q1231))</x:f>
      </x:c>
      <x:c r="S1231" s="14">
        <x:f>IF(A1231="","",DATE(YEAR(A1231),MONTH(A1231),1))</x:f>
      </x:c>
      <x:c r="T1231" s="14">
        <x:f>IF(L1231="","",DATE(YEAR(L1231),MONTH(L1231),1))</x:f>
      </x:c>
    </x:row>
    <x:row r="1232">
      <x:c r="A1232" s="11" t="n"/>
      <x:c r="B1232" s="5" t="n"/>
      <x:c r="C1232" s="12" t="n"/>
      <x:c r="D1232" s="12" t="n"/>
      <x:c r="E1232" s="12" t="n"/>
      <x:c r="F1232" s="12" t="n"/>
      <x:c r="G1232" s="13">
        <x:f>IF(F1232="","",IFERROR(VLOOKUP(F1232,Master_Data!$E$24:$G$33,2,FALSE),"9999"))</x:f>
      </x:c>
      <x:c r="H1232" s="12" t="n"/>
      <x:c r="I1232" s="12" t="n"/>
      <x:c r="J1232" s="12" t="n"/>
      <x:c r="K1232" s="12" t="n"/>
      <x:c r="L1232" s="11" t="n"/>
      <x:c r="M1232" s="9" t="n"/>
      <x:c r="N1232" s="12" t="n"/>
      <x:c r="O1232" s="6">
        <x:f>IF(N1232="","",IFERROR(VLOOKUP(N1232,Master_Data!$A$5:$C$8,3,FALSE),0))</x:f>
      </x:c>
      <x:c r="P1232" s="7">
        <x:f>IF(M1232="","",M1232*O1232)</x:f>
      </x:c>
      <x:c r="Q1232" s="7">
        <x:f>IF(M1232="","",M1232+P1232)</x:f>
      </x:c>
      <x:c r="R1232" s="7">
        <x:f>IF(K1232&lt;&gt;"Paid",0,IF(C1232="Income",Q1232,-Q1232))</x:f>
      </x:c>
      <x:c r="S1232" s="14">
        <x:f>IF(A1232="","",DATE(YEAR(A1232),MONTH(A1232),1))</x:f>
      </x:c>
      <x:c r="T1232" s="14">
        <x:f>IF(L1232="","",DATE(YEAR(L1232),MONTH(L1232),1))</x:f>
      </x:c>
    </x:row>
    <x:row r="1233">
      <x:c r="A1233" s="11" t="n"/>
      <x:c r="B1233" s="5" t="n"/>
      <x:c r="C1233" s="12" t="n"/>
      <x:c r="D1233" s="12" t="n"/>
      <x:c r="E1233" s="12" t="n"/>
      <x:c r="F1233" s="12" t="n"/>
      <x:c r="G1233" s="13">
        <x:f>IF(F1233="","",IFERROR(VLOOKUP(F1233,Master_Data!$E$24:$G$33,2,FALSE),"9999"))</x:f>
      </x:c>
      <x:c r="H1233" s="12" t="n"/>
      <x:c r="I1233" s="12" t="n"/>
      <x:c r="J1233" s="12" t="n"/>
      <x:c r="K1233" s="12" t="n"/>
      <x:c r="L1233" s="11" t="n"/>
      <x:c r="M1233" s="9" t="n"/>
      <x:c r="N1233" s="12" t="n"/>
      <x:c r="O1233" s="6">
        <x:f>IF(N1233="","",IFERROR(VLOOKUP(N1233,Master_Data!$A$5:$C$8,3,FALSE),0))</x:f>
      </x:c>
      <x:c r="P1233" s="7">
        <x:f>IF(M1233="","",M1233*O1233)</x:f>
      </x:c>
      <x:c r="Q1233" s="7">
        <x:f>IF(M1233="","",M1233+P1233)</x:f>
      </x:c>
      <x:c r="R1233" s="7">
        <x:f>IF(K1233&lt;&gt;"Paid",0,IF(C1233="Income",Q1233,-Q1233))</x:f>
      </x:c>
      <x:c r="S1233" s="14">
        <x:f>IF(A1233="","",DATE(YEAR(A1233),MONTH(A1233),1))</x:f>
      </x:c>
      <x:c r="T1233" s="14">
        <x:f>IF(L1233="","",DATE(YEAR(L1233),MONTH(L1233),1))</x:f>
      </x:c>
    </x:row>
    <x:row r="1234">
      <x:c r="A1234" s="11" t="n"/>
      <x:c r="B1234" s="5" t="n"/>
      <x:c r="C1234" s="12" t="n"/>
      <x:c r="D1234" s="12" t="n"/>
      <x:c r="E1234" s="12" t="n"/>
      <x:c r="F1234" s="12" t="n"/>
      <x:c r="G1234" s="13">
        <x:f>IF(F1234="","",IFERROR(VLOOKUP(F1234,Master_Data!$E$24:$G$33,2,FALSE),"9999"))</x:f>
      </x:c>
      <x:c r="H1234" s="12" t="n"/>
      <x:c r="I1234" s="12" t="n"/>
      <x:c r="J1234" s="12" t="n"/>
      <x:c r="K1234" s="12" t="n"/>
      <x:c r="L1234" s="11" t="n"/>
      <x:c r="M1234" s="9" t="n"/>
      <x:c r="N1234" s="12" t="n"/>
      <x:c r="O1234" s="6">
        <x:f>IF(N1234="","",IFERROR(VLOOKUP(N1234,Master_Data!$A$5:$C$8,3,FALSE),0))</x:f>
      </x:c>
      <x:c r="P1234" s="7">
        <x:f>IF(M1234="","",M1234*O1234)</x:f>
      </x:c>
      <x:c r="Q1234" s="7">
        <x:f>IF(M1234="","",M1234+P1234)</x:f>
      </x:c>
      <x:c r="R1234" s="7">
        <x:f>IF(K1234&lt;&gt;"Paid",0,IF(C1234="Income",Q1234,-Q1234))</x:f>
      </x:c>
      <x:c r="S1234" s="14">
        <x:f>IF(A1234="","",DATE(YEAR(A1234),MONTH(A1234),1))</x:f>
      </x:c>
      <x:c r="T1234" s="14">
        <x:f>IF(L1234="","",DATE(YEAR(L1234),MONTH(L1234),1))</x:f>
      </x:c>
    </x:row>
    <x:row r="1235">
      <x:c r="A1235" s="11" t="n"/>
      <x:c r="B1235" s="5" t="n"/>
      <x:c r="C1235" s="12" t="n"/>
      <x:c r="D1235" s="12" t="n"/>
      <x:c r="E1235" s="12" t="n"/>
      <x:c r="F1235" s="12" t="n"/>
      <x:c r="G1235" s="13">
        <x:f>IF(F1235="","",IFERROR(VLOOKUP(F1235,Master_Data!$E$24:$G$33,2,FALSE),"9999"))</x:f>
      </x:c>
      <x:c r="H1235" s="12" t="n"/>
      <x:c r="I1235" s="12" t="n"/>
      <x:c r="J1235" s="12" t="n"/>
      <x:c r="K1235" s="12" t="n"/>
      <x:c r="L1235" s="11" t="n"/>
      <x:c r="M1235" s="9" t="n"/>
      <x:c r="N1235" s="12" t="n"/>
      <x:c r="O1235" s="6">
        <x:f>IF(N1235="","",IFERROR(VLOOKUP(N1235,Master_Data!$A$5:$C$8,3,FALSE),0))</x:f>
      </x:c>
      <x:c r="P1235" s="7">
        <x:f>IF(M1235="","",M1235*O1235)</x:f>
      </x:c>
      <x:c r="Q1235" s="7">
        <x:f>IF(M1235="","",M1235+P1235)</x:f>
      </x:c>
      <x:c r="R1235" s="7">
        <x:f>IF(K1235&lt;&gt;"Paid",0,IF(C1235="Income",Q1235,-Q1235))</x:f>
      </x:c>
      <x:c r="S1235" s="14">
        <x:f>IF(A1235="","",DATE(YEAR(A1235),MONTH(A1235),1))</x:f>
      </x:c>
      <x:c r="T1235" s="14">
        <x:f>IF(L1235="","",DATE(YEAR(L1235),MONTH(L1235),1))</x:f>
      </x:c>
    </x:row>
    <x:row r="1236">
      <x:c r="A1236" s="11" t="n"/>
      <x:c r="B1236" s="5" t="n"/>
      <x:c r="C1236" s="12" t="n"/>
      <x:c r="D1236" s="12" t="n"/>
      <x:c r="E1236" s="12" t="n"/>
      <x:c r="F1236" s="12" t="n"/>
      <x:c r="G1236" s="13">
        <x:f>IF(F1236="","",IFERROR(VLOOKUP(F1236,Master_Data!$E$24:$G$33,2,FALSE),"9999"))</x:f>
      </x:c>
      <x:c r="H1236" s="12" t="n"/>
      <x:c r="I1236" s="12" t="n"/>
      <x:c r="J1236" s="12" t="n"/>
      <x:c r="K1236" s="12" t="n"/>
      <x:c r="L1236" s="11" t="n"/>
      <x:c r="M1236" s="9" t="n"/>
      <x:c r="N1236" s="12" t="n"/>
      <x:c r="O1236" s="6">
        <x:f>IF(N1236="","",IFERROR(VLOOKUP(N1236,Master_Data!$A$5:$C$8,3,FALSE),0))</x:f>
      </x:c>
      <x:c r="P1236" s="7">
        <x:f>IF(M1236="","",M1236*O1236)</x:f>
      </x:c>
      <x:c r="Q1236" s="7">
        <x:f>IF(M1236="","",M1236+P1236)</x:f>
      </x:c>
      <x:c r="R1236" s="7">
        <x:f>IF(K1236&lt;&gt;"Paid",0,IF(C1236="Income",Q1236,-Q1236))</x:f>
      </x:c>
      <x:c r="S1236" s="14">
        <x:f>IF(A1236="","",DATE(YEAR(A1236),MONTH(A1236),1))</x:f>
      </x:c>
      <x:c r="T1236" s="14">
        <x:f>IF(L1236="","",DATE(YEAR(L1236),MONTH(L1236),1))</x:f>
      </x:c>
    </x:row>
    <x:row r="1237">
      <x:c r="A1237" s="11" t="n"/>
      <x:c r="B1237" s="5" t="n"/>
      <x:c r="C1237" s="12" t="n"/>
      <x:c r="D1237" s="12" t="n"/>
      <x:c r="E1237" s="12" t="n"/>
      <x:c r="F1237" s="12" t="n"/>
      <x:c r="G1237" s="13">
        <x:f>IF(F1237="","",IFERROR(VLOOKUP(F1237,Master_Data!$E$24:$G$33,2,FALSE),"9999"))</x:f>
      </x:c>
      <x:c r="H1237" s="12" t="n"/>
      <x:c r="I1237" s="12" t="n"/>
      <x:c r="J1237" s="12" t="n"/>
      <x:c r="K1237" s="12" t="n"/>
      <x:c r="L1237" s="11" t="n"/>
      <x:c r="M1237" s="9" t="n"/>
      <x:c r="N1237" s="12" t="n"/>
      <x:c r="O1237" s="6">
        <x:f>IF(N1237="","",IFERROR(VLOOKUP(N1237,Master_Data!$A$5:$C$8,3,FALSE),0))</x:f>
      </x:c>
      <x:c r="P1237" s="7">
        <x:f>IF(M1237="","",M1237*O1237)</x:f>
      </x:c>
      <x:c r="Q1237" s="7">
        <x:f>IF(M1237="","",M1237+P1237)</x:f>
      </x:c>
      <x:c r="R1237" s="7">
        <x:f>IF(K1237&lt;&gt;"Paid",0,IF(C1237="Income",Q1237,-Q1237))</x:f>
      </x:c>
      <x:c r="S1237" s="14">
        <x:f>IF(A1237="","",DATE(YEAR(A1237),MONTH(A1237),1))</x:f>
      </x:c>
      <x:c r="T1237" s="14">
        <x:f>IF(L1237="","",DATE(YEAR(L1237),MONTH(L1237),1))</x:f>
      </x:c>
    </x:row>
    <x:row r="1238">
      <x:c r="A1238" s="11" t="n"/>
      <x:c r="B1238" s="5" t="n"/>
      <x:c r="C1238" s="12" t="n"/>
      <x:c r="D1238" s="12" t="n"/>
      <x:c r="E1238" s="12" t="n"/>
      <x:c r="F1238" s="12" t="n"/>
      <x:c r="G1238" s="13">
        <x:f>IF(F1238="","",IFERROR(VLOOKUP(F1238,Master_Data!$E$24:$G$33,2,FALSE),"9999"))</x:f>
      </x:c>
      <x:c r="H1238" s="12" t="n"/>
      <x:c r="I1238" s="12" t="n"/>
      <x:c r="J1238" s="12" t="n"/>
      <x:c r="K1238" s="12" t="n"/>
      <x:c r="L1238" s="11" t="n"/>
      <x:c r="M1238" s="9" t="n"/>
      <x:c r="N1238" s="12" t="n"/>
      <x:c r="O1238" s="6">
        <x:f>IF(N1238="","",IFERROR(VLOOKUP(N1238,Master_Data!$A$5:$C$8,3,FALSE),0))</x:f>
      </x:c>
      <x:c r="P1238" s="7">
        <x:f>IF(M1238="","",M1238*O1238)</x:f>
      </x:c>
      <x:c r="Q1238" s="7">
        <x:f>IF(M1238="","",M1238+P1238)</x:f>
      </x:c>
      <x:c r="R1238" s="7">
        <x:f>IF(K1238&lt;&gt;"Paid",0,IF(C1238="Income",Q1238,-Q1238))</x:f>
      </x:c>
      <x:c r="S1238" s="14">
        <x:f>IF(A1238="","",DATE(YEAR(A1238),MONTH(A1238),1))</x:f>
      </x:c>
      <x:c r="T1238" s="14">
        <x:f>IF(L1238="","",DATE(YEAR(L1238),MONTH(L1238),1))</x:f>
      </x:c>
    </x:row>
    <x:row r="1239">
      <x:c r="A1239" s="11" t="n"/>
      <x:c r="B1239" s="5" t="n"/>
      <x:c r="C1239" s="12" t="n"/>
      <x:c r="D1239" s="12" t="n"/>
      <x:c r="E1239" s="12" t="n"/>
      <x:c r="F1239" s="12" t="n"/>
      <x:c r="G1239" s="13">
        <x:f>IF(F1239="","",IFERROR(VLOOKUP(F1239,Master_Data!$E$24:$G$33,2,FALSE),"9999"))</x:f>
      </x:c>
      <x:c r="H1239" s="12" t="n"/>
      <x:c r="I1239" s="12" t="n"/>
      <x:c r="J1239" s="12" t="n"/>
      <x:c r="K1239" s="12" t="n"/>
      <x:c r="L1239" s="11" t="n"/>
      <x:c r="M1239" s="9" t="n"/>
      <x:c r="N1239" s="12" t="n"/>
      <x:c r="O1239" s="6">
        <x:f>IF(N1239="","",IFERROR(VLOOKUP(N1239,Master_Data!$A$5:$C$8,3,FALSE),0))</x:f>
      </x:c>
      <x:c r="P1239" s="7">
        <x:f>IF(M1239="","",M1239*O1239)</x:f>
      </x:c>
      <x:c r="Q1239" s="7">
        <x:f>IF(M1239="","",M1239+P1239)</x:f>
      </x:c>
      <x:c r="R1239" s="7">
        <x:f>IF(K1239&lt;&gt;"Paid",0,IF(C1239="Income",Q1239,-Q1239))</x:f>
      </x:c>
      <x:c r="S1239" s="14">
        <x:f>IF(A1239="","",DATE(YEAR(A1239),MONTH(A1239),1))</x:f>
      </x:c>
      <x:c r="T1239" s="14">
        <x:f>IF(L1239="","",DATE(YEAR(L1239),MONTH(L1239),1))</x:f>
      </x:c>
    </x:row>
    <x:row r="1240">
      <x:c r="A1240" s="11" t="n"/>
      <x:c r="B1240" s="5" t="n"/>
      <x:c r="C1240" s="12" t="n"/>
      <x:c r="D1240" s="12" t="n"/>
      <x:c r="E1240" s="12" t="n"/>
      <x:c r="F1240" s="12" t="n"/>
      <x:c r="G1240" s="13">
        <x:f>IF(F1240="","",IFERROR(VLOOKUP(F1240,Master_Data!$E$24:$G$33,2,FALSE),"9999"))</x:f>
      </x:c>
      <x:c r="H1240" s="12" t="n"/>
      <x:c r="I1240" s="12" t="n"/>
      <x:c r="J1240" s="12" t="n"/>
      <x:c r="K1240" s="12" t="n"/>
      <x:c r="L1240" s="11" t="n"/>
      <x:c r="M1240" s="9" t="n"/>
      <x:c r="N1240" s="12" t="n"/>
      <x:c r="O1240" s="6">
        <x:f>IF(N1240="","",IFERROR(VLOOKUP(N1240,Master_Data!$A$5:$C$8,3,FALSE),0))</x:f>
      </x:c>
      <x:c r="P1240" s="7">
        <x:f>IF(M1240="","",M1240*O1240)</x:f>
      </x:c>
      <x:c r="Q1240" s="7">
        <x:f>IF(M1240="","",M1240+P1240)</x:f>
      </x:c>
      <x:c r="R1240" s="7">
        <x:f>IF(K1240&lt;&gt;"Paid",0,IF(C1240="Income",Q1240,-Q1240))</x:f>
      </x:c>
      <x:c r="S1240" s="14">
        <x:f>IF(A1240="","",DATE(YEAR(A1240),MONTH(A1240),1))</x:f>
      </x:c>
      <x:c r="T1240" s="14">
        <x:f>IF(L1240="","",DATE(YEAR(L1240),MONTH(L1240),1))</x:f>
      </x:c>
    </x:row>
    <x:row r="1241">
      <x:c r="A1241" s="11" t="n"/>
      <x:c r="B1241" s="5" t="n"/>
      <x:c r="C1241" s="12" t="n"/>
      <x:c r="D1241" s="12" t="n"/>
      <x:c r="E1241" s="12" t="n"/>
      <x:c r="F1241" s="12" t="n"/>
      <x:c r="G1241" s="13">
        <x:f>IF(F1241="","",IFERROR(VLOOKUP(F1241,Master_Data!$E$24:$G$33,2,FALSE),"9999"))</x:f>
      </x:c>
      <x:c r="H1241" s="12" t="n"/>
      <x:c r="I1241" s="12" t="n"/>
      <x:c r="J1241" s="12" t="n"/>
      <x:c r="K1241" s="12" t="n"/>
      <x:c r="L1241" s="11" t="n"/>
      <x:c r="M1241" s="9" t="n"/>
      <x:c r="N1241" s="12" t="n"/>
      <x:c r="O1241" s="6">
        <x:f>IF(N1241="","",IFERROR(VLOOKUP(N1241,Master_Data!$A$5:$C$8,3,FALSE),0))</x:f>
      </x:c>
      <x:c r="P1241" s="7">
        <x:f>IF(M1241="","",M1241*O1241)</x:f>
      </x:c>
      <x:c r="Q1241" s="7">
        <x:f>IF(M1241="","",M1241+P1241)</x:f>
      </x:c>
      <x:c r="R1241" s="7">
        <x:f>IF(K1241&lt;&gt;"Paid",0,IF(C1241="Income",Q1241,-Q1241))</x:f>
      </x:c>
      <x:c r="S1241" s="14">
        <x:f>IF(A1241="","",DATE(YEAR(A1241),MONTH(A1241),1))</x:f>
      </x:c>
      <x:c r="T1241" s="14">
        <x:f>IF(L1241="","",DATE(YEAR(L1241),MONTH(L1241),1))</x:f>
      </x:c>
    </x:row>
    <x:row r="1242">
      <x:c r="A1242" s="11" t="n"/>
      <x:c r="B1242" s="5" t="n"/>
      <x:c r="C1242" s="12" t="n"/>
      <x:c r="D1242" s="12" t="n"/>
      <x:c r="E1242" s="12" t="n"/>
      <x:c r="F1242" s="12" t="n"/>
      <x:c r="G1242" s="13">
        <x:f>IF(F1242="","",IFERROR(VLOOKUP(F1242,Master_Data!$E$24:$G$33,2,FALSE),"9999"))</x:f>
      </x:c>
      <x:c r="H1242" s="12" t="n"/>
      <x:c r="I1242" s="12" t="n"/>
      <x:c r="J1242" s="12" t="n"/>
      <x:c r="K1242" s="12" t="n"/>
      <x:c r="L1242" s="11" t="n"/>
      <x:c r="M1242" s="9" t="n"/>
      <x:c r="N1242" s="12" t="n"/>
      <x:c r="O1242" s="6">
        <x:f>IF(N1242="","",IFERROR(VLOOKUP(N1242,Master_Data!$A$5:$C$8,3,FALSE),0))</x:f>
      </x:c>
      <x:c r="P1242" s="7">
        <x:f>IF(M1242="","",M1242*O1242)</x:f>
      </x:c>
      <x:c r="Q1242" s="7">
        <x:f>IF(M1242="","",M1242+P1242)</x:f>
      </x:c>
      <x:c r="R1242" s="7">
        <x:f>IF(K1242&lt;&gt;"Paid",0,IF(C1242="Income",Q1242,-Q1242))</x:f>
      </x:c>
      <x:c r="S1242" s="14">
        <x:f>IF(A1242="","",DATE(YEAR(A1242),MONTH(A1242),1))</x:f>
      </x:c>
      <x:c r="T1242" s="14">
        <x:f>IF(L1242="","",DATE(YEAR(L1242),MONTH(L1242),1))</x:f>
      </x:c>
    </x:row>
    <x:row r="1243">
      <x:c r="A1243" s="11" t="n"/>
      <x:c r="B1243" s="5" t="n"/>
      <x:c r="C1243" s="12" t="n"/>
      <x:c r="D1243" s="12" t="n"/>
      <x:c r="E1243" s="12" t="n"/>
      <x:c r="F1243" s="12" t="n"/>
      <x:c r="G1243" s="13">
        <x:f>IF(F1243="","",IFERROR(VLOOKUP(F1243,Master_Data!$E$24:$G$33,2,FALSE),"9999"))</x:f>
      </x:c>
      <x:c r="H1243" s="12" t="n"/>
      <x:c r="I1243" s="12" t="n"/>
      <x:c r="J1243" s="12" t="n"/>
      <x:c r="K1243" s="12" t="n"/>
      <x:c r="L1243" s="11" t="n"/>
      <x:c r="M1243" s="9" t="n"/>
      <x:c r="N1243" s="12" t="n"/>
      <x:c r="O1243" s="6">
        <x:f>IF(N1243="","",IFERROR(VLOOKUP(N1243,Master_Data!$A$5:$C$8,3,FALSE),0))</x:f>
      </x:c>
      <x:c r="P1243" s="7">
        <x:f>IF(M1243="","",M1243*O1243)</x:f>
      </x:c>
      <x:c r="Q1243" s="7">
        <x:f>IF(M1243="","",M1243+P1243)</x:f>
      </x:c>
      <x:c r="R1243" s="7">
        <x:f>IF(K1243&lt;&gt;"Paid",0,IF(C1243="Income",Q1243,-Q1243))</x:f>
      </x:c>
      <x:c r="S1243" s="14">
        <x:f>IF(A1243="","",DATE(YEAR(A1243),MONTH(A1243),1))</x:f>
      </x:c>
      <x:c r="T1243" s="14">
        <x:f>IF(L1243="","",DATE(YEAR(L1243),MONTH(L1243),1))</x:f>
      </x:c>
    </x:row>
    <x:row r="1244">
      <x:c r="A1244" s="11" t="n"/>
      <x:c r="B1244" s="5" t="n"/>
      <x:c r="C1244" s="12" t="n"/>
      <x:c r="D1244" s="12" t="n"/>
      <x:c r="E1244" s="12" t="n"/>
      <x:c r="F1244" s="12" t="n"/>
      <x:c r="G1244" s="13">
        <x:f>IF(F1244="","",IFERROR(VLOOKUP(F1244,Master_Data!$E$24:$G$33,2,FALSE),"9999"))</x:f>
      </x:c>
      <x:c r="H1244" s="12" t="n"/>
      <x:c r="I1244" s="12" t="n"/>
      <x:c r="J1244" s="12" t="n"/>
      <x:c r="K1244" s="12" t="n"/>
      <x:c r="L1244" s="11" t="n"/>
      <x:c r="M1244" s="9" t="n"/>
      <x:c r="N1244" s="12" t="n"/>
      <x:c r="O1244" s="6">
        <x:f>IF(N1244="","",IFERROR(VLOOKUP(N1244,Master_Data!$A$5:$C$8,3,FALSE),0))</x:f>
      </x:c>
      <x:c r="P1244" s="7">
        <x:f>IF(M1244="","",M1244*O1244)</x:f>
      </x:c>
      <x:c r="Q1244" s="7">
        <x:f>IF(M1244="","",M1244+P1244)</x:f>
      </x:c>
      <x:c r="R1244" s="7">
        <x:f>IF(K1244&lt;&gt;"Paid",0,IF(C1244="Income",Q1244,-Q1244))</x:f>
      </x:c>
      <x:c r="S1244" s="14">
        <x:f>IF(A1244="","",DATE(YEAR(A1244),MONTH(A1244),1))</x:f>
      </x:c>
      <x:c r="T1244" s="14">
        <x:f>IF(L1244="","",DATE(YEAR(L1244),MONTH(L1244),1))</x:f>
      </x:c>
    </x:row>
    <x:row r="1245">
      <x:c r="A1245" s="11" t="n"/>
      <x:c r="B1245" s="5" t="n"/>
      <x:c r="C1245" s="12" t="n"/>
      <x:c r="D1245" s="12" t="n"/>
      <x:c r="E1245" s="12" t="n"/>
      <x:c r="F1245" s="12" t="n"/>
      <x:c r="G1245" s="13">
        <x:f>IF(F1245="","",IFERROR(VLOOKUP(F1245,Master_Data!$E$24:$G$33,2,FALSE),"9999"))</x:f>
      </x:c>
      <x:c r="H1245" s="12" t="n"/>
      <x:c r="I1245" s="12" t="n"/>
      <x:c r="J1245" s="12" t="n"/>
      <x:c r="K1245" s="12" t="n"/>
      <x:c r="L1245" s="11" t="n"/>
      <x:c r="M1245" s="9" t="n"/>
      <x:c r="N1245" s="12" t="n"/>
      <x:c r="O1245" s="6">
        <x:f>IF(N1245="","",IFERROR(VLOOKUP(N1245,Master_Data!$A$5:$C$8,3,FALSE),0))</x:f>
      </x:c>
      <x:c r="P1245" s="7">
        <x:f>IF(M1245="","",M1245*O1245)</x:f>
      </x:c>
      <x:c r="Q1245" s="7">
        <x:f>IF(M1245="","",M1245+P1245)</x:f>
      </x:c>
      <x:c r="R1245" s="7">
        <x:f>IF(K1245&lt;&gt;"Paid",0,IF(C1245="Income",Q1245,-Q1245))</x:f>
      </x:c>
      <x:c r="S1245" s="14">
        <x:f>IF(A1245="","",DATE(YEAR(A1245),MONTH(A1245),1))</x:f>
      </x:c>
      <x:c r="T1245" s="14">
        <x:f>IF(L1245="","",DATE(YEAR(L1245),MONTH(L1245),1))</x:f>
      </x:c>
    </x:row>
    <x:row r="1246">
      <x:c r="A1246" s="11" t="n"/>
      <x:c r="B1246" s="5" t="n"/>
      <x:c r="C1246" s="12" t="n"/>
      <x:c r="D1246" s="12" t="n"/>
      <x:c r="E1246" s="12" t="n"/>
      <x:c r="F1246" s="12" t="n"/>
      <x:c r="G1246" s="13">
        <x:f>IF(F1246="","",IFERROR(VLOOKUP(F1246,Master_Data!$E$24:$G$33,2,FALSE),"9999"))</x:f>
      </x:c>
      <x:c r="H1246" s="12" t="n"/>
      <x:c r="I1246" s="12" t="n"/>
      <x:c r="J1246" s="12" t="n"/>
      <x:c r="K1246" s="12" t="n"/>
      <x:c r="L1246" s="11" t="n"/>
      <x:c r="M1246" s="9" t="n"/>
      <x:c r="N1246" s="12" t="n"/>
      <x:c r="O1246" s="6">
        <x:f>IF(N1246="","",IFERROR(VLOOKUP(N1246,Master_Data!$A$5:$C$8,3,FALSE),0))</x:f>
      </x:c>
      <x:c r="P1246" s="7">
        <x:f>IF(M1246="","",M1246*O1246)</x:f>
      </x:c>
      <x:c r="Q1246" s="7">
        <x:f>IF(M1246="","",M1246+P1246)</x:f>
      </x:c>
      <x:c r="R1246" s="7">
        <x:f>IF(K1246&lt;&gt;"Paid",0,IF(C1246="Income",Q1246,-Q1246))</x:f>
      </x:c>
      <x:c r="S1246" s="14">
        <x:f>IF(A1246="","",DATE(YEAR(A1246),MONTH(A1246),1))</x:f>
      </x:c>
      <x:c r="T1246" s="14">
        <x:f>IF(L1246="","",DATE(YEAR(L1246),MONTH(L1246),1))</x:f>
      </x:c>
    </x:row>
    <x:row r="1247">
      <x:c r="A1247" s="11" t="n"/>
      <x:c r="B1247" s="5" t="n"/>
      <x:c r="C1247" s="12" t="n"/>
      <x:c r="D1247" s="12" t="n"/>
      <x:c r="E1247" s="12" t="n"/>
      <x:c r="F1247" s="12" t="n"/>
      <x:c r="G1247" s="13">
        <x:f>IF(F1247="","",IFERROR(VLOOKUP(F1247,Master_Data!$E$24:$G$33,2,FALSE),"9999"))</x:f>
      </x:c>
      <x:c r="H1247" s="12" t="n"/>
      <x:c r="I1247" s="12" t="n"/>
      <x:c r="J1247" s="12" t="n"/>
      <x:c r="K1247" s="12" t="n"/>
      <x:c r="L1247" s="11" t="n"/>
      <x:c r="M1247" s="9" t="n"/>
      <x:c r="N1247" s="12" t="n"/>
      <x:c r="O1247" s="6">
        <x:f>IF(N1247="","",IFERROR(VLOOKUP(N1247,Master_Data!$A$5:$C$8,3,FALSE),0))</x:f>
      </x:c>
      <x:c r="P1247" s="7">
        <x:f>IF(M1247="","",M1247*O1247)</x:f>
      </x:c>
      <x:c r="Q1247" s="7">
        <x:f>IF(M1247="","",M1247+P1247)</x:f>
      </x:c>
      <x:c r="R1247" s="7">
        <x:f>IF(K1247&lt;&gt;"Paid",0,IF(C1247="Income",Q1247,-Q1247))</x:f>
      </x:c>
      <x:c r="S1247" s="14">
        <x:f>IF(A1247="","",DATE(YEAR(A1247),MONTH(A1247),1))</x:f>
      </x:c>
      <x:c r="T1247" s="14">
        <x:f>IF(L1247="","",DATE(YEAR(L1247),MONTH(L1247),1))</x:f>
      </x:c>
    </x:row>
    <x:row r="1248">
      <x:c r="A1248" s="11" t="n"/>
      <x:c r="B1248" s="5" t="n"/>
      <x:c r="C1248" s="12" t="n"/>
      <x:c r="D1248" s="12" t="n"/>
      <x:c r="E1248" s="12" t="n"/>
      <x:c r="F1248" s="12" t="n"/>
      <x:c r="G1248" s="13">
        <x:f>IF(F1248="","",IFERROR(VLOOKUP(F1248,Master_Data!$E$24:$G$33,2,FALSE),"9999"))</x:f>
      </x:c>
      <x:c r="H1248" s="12" t="n"/>
      <x:c r="I1248" s="12" t="n"/>
      <x:c r="J1248" s="12" t="n"/>
      <x:c r="K1248" s="12" t="n"/>
      <x:c r="L1248" s="11" t="n"/>
      <x:c r="M1248" s="9" t="n"/>
      <x:c r="N1248" s="12" t="n"/>
      <x:c r="O1248" s="6">
        <x:f>IF(N1248="","",IFERROR(VLOOKUP(N1248,Master_Data!$A$5:$C$8,3,FALSE),0))</x:f>
      </x:c>
      <x:c r="P1248" s="7">
        <x:f>IF(M1248="","",M1248*O1248)</x:f>
      </x:c>
      <x:c r="Q1248" s="7">
        <x:f>IF(M1248="","",M1248+P1248)</x:f>
      </x:c>
      <x:c r="R1248" s="7">
        <x:f>IF(K1248&lt;&gt;"Paid",0,IF(C1248="Income",Q1248,-Q1248))</x:f>
      </x:c>
      <x:c r="S1248" s="14">
        <x:f>IF(A1248="","",DATE(YEAR(A1248),MONTH(A1248),1))</x:f>
      </x:c>
      <x:c r="T1248" s="14">
        <x:f>IF(L1248="","",DATE(YEAR(L1248),MONTH(L1248),1))</x:f>
      </x:c>
    </x:row>
    <x:row r="1249">
      <x:c r="A1249" s="11" t="n"/>
      <x:c r="B1249" s="5" t="n"/>
      <x:c r="C1249" s="12" t="n"/>
      <x:c r="D1249" s="12" t="n"/>
      <x:c r="E1249" s="12" t="n"/>
      <x:c r="F1249" s="12" t="n"/>
      <x:c r="G1249" s="13">
        <x:f>IF(F1249="","",IFERROR(VLOOKUP(F1249,Master_Data!$E$24:$G$33,2,FALSE),"9999"))</x:f>
      </x:c>
      <x:c r="H1249" s="12" t="n"/>
      <x:c r="I1249" s="12" t="n"/>
      <x:c r="J1249" s="12" t="n"/>
      <x:c r="K1249" s="12" t="n"/>
      <x:c r="L1249" s="11" t="n"/>
      <x:c r="M1249" s="9" t="n"/>
      <x:c r="N1249" s="12" t="n"/>
      <x:c r="O1249" s="6">
        <x:f>IF(N1249="","",IFERROR(VLOOKUP(N1249,Master_Data!$A$5:$C$8,3,FALSE),0))</x:f>
      </x:c>
      <x:c r="P1249" s="7">
        <x:f>IF(M1249="","",M1249*O1249)</x:f>
      </x:c>
      <x:c r="Q1249" s="7">
        <x:f>IF(M1249="","",M1249+P1249)</x:f>
      </x:c>
      <x:c r="R1249" s="7">
        <x:f>IF(K1249&lt;&gt;"Paid",0,IF(C1249="Income",Q1249,-Q1249))</x:f>
      </x:c>
      <x:c r="S1249" s="14">
        <x:f>IF(A1249="","",DATE(YEAR(A1249),MONTH(A1249),1))</x:f>
      </x:c>
      <x:c r="T1249" s="14">
        <x:f>IF(L1249="","",DATE(YEAR(L1249),MONTH(L1249),1))</x:f>
      </x:c>
    </x:row>
    <x:row r="1250">
      <x:c r="A1250" s="11" t="n"/>
      <x:c r="B1250" s="5" t="n"/>
      <x:c r="C1250" s="12" t="n"/>
      <x:c r="D1250" s="12" t="n"/>
      <x:c r="E1250" s="12" t="n"/>
      <x:c r="F1250" s="12" t="n"/>
      <x:c r="G1250" s="13">
        <x:f>IF(F1250="","",IFERROR(VLOOKUP(F1250,Master_Data!$E$24:$G$33,2,FALSE),"9999"))</x:f>
      </x:c>
      <x:c r="H1250" s="12" t="n"/>
      <x:c r="I1250" s="12" t="n"/>
      <x:c r="J1250" s="12" t="n"/>
      <x:c r="K1250" s="12" t="n"/>
      <x:c r="L1250" s="11" t="n"/>
      <x:c r="M1250" s="9" t="n"/>
      <x:c r="N1250" s="12" t="n"/>
      <x:c r="O1250" s="6">
        <x:f>IF(N1250="","",IFERROR(VLOOKUP(N1250,Master_Data!$A$5:$C$8,3,FALSE),0))</x:f>
      </x:c>
      <x:c r="P1250" s="7">
        <x:f>IF(M1250="","",M1250*O1250)</x:f>
      </x:c>
      <x:c r="Q1250" s="7">
        <x:f>IF(M1250="","",M1250+P1250)</x:f>
      </x:c>
      <x:c r="R1250" s="7">
        <x:f>IF(K1250&lt;&gt;"Paid",0,IF(C1250="Income",Q1250,-Q1250))</x:f>
      </x:c>
      <x:c r="S1250" s="14">
        <x:f>IF(A1250="","",DATE(YEAR(A1250),MONTH(A1250),1))</x:f>
      </x:c>
      <x:c r="T1250" s="14">
        <x:f>IF(L1250="","",DATE(YEAR(L1250),MONTH(L1250),1))</x:f>
      </x:c>
    </x:row>
    <x:row r="1251">
      <x:c r="A1251" s="11" t="n"/>
      <x:c r="B1251" s="5" t="n"/>
      <x:c r="C1251" s="12" t="n"/>
      <x:c r="D1251" s="12" t="n"/>
      <x:c r="E1251" s="12" t="n"/>
      <x:c r="F1251" s="12" t="n"/>
      <x:c r="G1251" s="13">
        <x:f>IF(F1251="","",IFERROR(VLOOKUP(F1251,Master_Data!$E$24:$G$33,2,FALSE),"9999"))</x:f>
      </x:c>
      <x:c r="H1251" s="12" t="n"/>
      <x:c r="I1251" s="12" t="n"/>
      <x:c r="J1251" s="12" t="n"/>
      <x:c r="K1251" s="12" t="n"/>
      <x:c r="L1251" s="11" t="n"/>
      <x:c r="M1251" s="9" t="n"/>
      <x:c r="N1251" s="12" t="n"/>
      <x:c r="O1251" s="6">
        <x:f>IF(N1251="","",IFERROR(VLOOKUP(N1251,Master_Data!$A$5:$C$8,3,FALSE),0))</x:f>
      </x:c>
      <x:c r="P1251" s="7">
        <x:f>IF(M1251="","",M1251*O1251)</x:f>
      </x:c>
      <x:c r="Q1251" s="7">
        <x:f>IF(M1251="","",M1251+P1251)</x:f>
      </x:c>
      <x:c r="R1251" s="7">
        <x:f>IF(K1251&lt;&gt;"Paid",0,IF(C1251="Income",Q1251,-Q1251))</x:f>
      </x:c>
      <x:c r="S1251" s="14">
        <x:f>IF(A1251="","",DATE(YEAR(A1251),MONTH(A1251),1))</x:f>
      </x:c>
      <x:c r="T1251" s="14">
        <x:f>IF(L1251="","",DATE(YEAR(L1251),MONTH(L1251),1))</x:f>
      </x:c>
    </x:row>
    <x:row r="1252">
      <x:c r="A1252" s="11" t="n"/>
      <x:c r="B1252" s="5" t="n"/>
      <x:c r="C1252" s="12" t="n"/>
      <x:c r="D1252" s="12" t="n"/>
      <x:c r="E1252" s="12" t="n"/>
      <x:c r="F1252" s="12" t="n"/>
      <x:c r="G1252" s="13">
        <x:f>IF(F1252="","",IFERROR(VLOOKUP(F1252,Master_Data!$E$24:$G$33,2,FALSE),"9999"))</x:f>
      </x:c>
      <x:c r="H1252" s="12" t="n"/>
      <x:c r="I1252" s="12" t="n"/>
      <x:c r="J1252" s="12" t="n"/>
      <x:c r="K1252" s="12" t="n"/>
      <x:c r="L1252" s="11" t="n"/>
      <x:c r="M1252" s="9" t="n"/>
      <x:c r="N1252" s="12" t="n"/>
      <x:c r="O1252" s="6">
        <x:f>IF(N1252="","",IFERROR(VLOOKUP(N1252,Master_Data!$A$5:$C$8,3,FALSE),0))</x:f>
      </x:c>
      <x:c r="P1252" s="7">
        <x:f>IF(M1252="","",M1252*O1252)</x:f>
      </x:c>
      <x:c r="Q1252" s="7">
        <x:f>IF(M1252="","",M1252+P1252)</x:f>
      </x:c>
      <x:c r="R1252" s="7">
        <x:f>IF(K1252&lt;&gt;"Paid",0,IF(C1252="Income",Q1252,-Q1252))</x:f>
      </x:c>
      <x:c r="S1252" s="14">
        <x:f>IF(A1252="","",DATE(YEAR(A1252),MONTH(A1252),1))</x:f>
      </x:c>
      <x:c r="T1252" s="14">
        <x:f>IF(L1252="","",DATE(YEAR(L1252),MONTH(L1252),1))</x:f>
      </x:c>
    </x:row>
    <x:row r="1253">
      <x:c r="A1253" s="11" t="n"/>
      <x:c r="B1253" s="5" t="n"/>
      <x:c r="C1253" s="12" t="n"/>
      <x:c r="D1253" s="12" t="n"/>
      <x:c r="E1253" s="12" t="n"/>
      <x:c r="F1253" s="12" t="n"/>
      <x:c r="G1253" s="13">
        <x:f>IF(F1253="","",IFERROR(VLOOKUP(F1253,Master_Data!$E$24:$G$33,2,FALSE),"9999"))</x:f>
      </x:c>
      <x:c r="H1253" s="12" t="n"/>
      <x:c r="I1253" s="12" t="n"/>
      <x:c r="J1253" s="12" t="n"/>
      <x:c r="K1253" s="12" t="n"/>
      <x:c r="L1253" s="11" t="n"/>
      <x:c r="M1253" s="9" t="n"/>
      <x:c r="N1253" s="12" t="n"/>
      <x:c r="O1253" s="6">
        <x:f>IF(N1253="","",IFERROR(VLOOKUP(N1253,Master_Data!$A$5:$C$8,3,FALSE),0))</x:f>
      </x:c>
      <x:c r="P1253" s="7">
        <x:f>IF(M1253="","",M1253*O1253)</x:f>
      </x:c>
      <x:c r="Q1253" s="7">
        <x:f>IF(M1253="","",M1253+P1253)</x:f>
      </x:c>
      <x:c r="R1253" s="7">
        <x:f>IF(K1253&lt;&gt;"Paid",0,IF(C1253="Income",Q1253,-Q1253))</x:f>
      </x:c>
      <x:c r="S1253" s="14">
        <x:f>IF(A1253="","",DATE(YEAR(A1253),MONTH(A1253),1))</x:f>
      </x:c>
      <x:c r="T1253" s="14">
        <x:f>IF(L1253="","",DATE(YEAR(L1253),MONTH(L1253),1))</x:f>
      </x:c>
    </x:row>
    <x:row r="1254">
      <x:c r="A1254" s="11" t="n"/>
      <x:c r="B1254" s="5" t="n"/>
      <x:c r="C1254" s="12" t="n"/>
      <x:c r="D1254" s="12" t="n"/>
      <x:c r="E1254" s="12" t="n"/>
      <x:c r="F1254" s="12" t="n"/>
      <x:c r="G1254" s="13">
        <x:f>IF(F1254="","",IFERROR(VLOOKUP(F1254,Master_Data!$E$24:$G$33,2,FALSE),"9999"))</x:f>
      </x:c>
      <x:c r="H1254" s="12" t="n"/>
      <x:c r="I1254" s="12" t="n"/>
      <x:c r="J1254" s="12" t="n"/>
      <x:c r="K1254" s="12" t="n"/>
      <x:c r="L1254" s="11" t="n"/>
      <x:c r="M1254" s="9" t="n"/>
      <x:c r="N1254" s="12" t="n"/>
      <x:c r="O1254" s="6">
        <x:f>IF(N1254="","",IFERROR(VLOOKUP(N1254,Master_Data!$A$5:$C$8,3,FALSE),0))</x:f>
      </x:c>
      <x:c r="P1254" s="7">
        <x:f>IF(M1254="","",M1254*O1254)</x:f>
      </x:c>
      <x:c r="Q1254" s="7">
        <x:f>IF(M1254="","",M1254+P1254)</x:f>
      </x:c>
      <x:c r="R1254" s="7">
        <x:f>IF(K1254&lt;&gt;"Paid",0,IF(C1254="Income",Q1254,-Q1254))</x:f>
      </x:c>
      <x:c r="S1254" s="14">
        <x:f>IF(A1254="","",DATE(YEAR(A1254),MONTH(A1254),1))</x:f>
      </x:c>
      <x:c r="T1254" s="14">
        <x:f>IF(L1254="","",DATE(YEAR(L1254),MONTH(L1254),1))</x:f>
      </x:c>
    </x:row>
    <x:row r="1255">
      <x:c r="A1255" s="11" t="n"/>
      <x:c r="B1255" s="5" t="n"/>
      <x:c r="C1255" s="12" t="n"/>
      <x:c r="D1255" s="12" t="n"/>
      <x:c r="E1255" s="12" t="n"/>
      <x:c r="F1255" s="12" t="n"/>
      <x:c r="G1255" s="13">
        <x:f>IF(F1255="","",IFERROR(VLOOKUP(F1255,Master_Data!$E$24:$G$33,2,FALSE),"9999"))</x:f>
      </x:c>
      <x:c r="H1255" s="12" t="n"/>
      <x:c r="I1255" s="12" t="n"/>
      <x:c r="J1255" s="12" t="n"/>
      <x:c r="K1255" s="12" t="n"/>
      <x:c r="L1255" s="11" t="n"/>
      <x:c r="M1255" s="9" t="n"/>
      <x:c r="N1255" s="12" t="n"/>
      <x:c r="O1255" s="6">
        <x:f>IF(N1255="","",IFERROR(VLOOKUP(N1255,Master_Data!$A$5:$C$8,3,FALSE),0))</x:f>
      </x:c>
      <x:c r="P1255" s="7">
        <x:f>IF(M1255="","",M1255*O1255)</x:f>
      </x:c>
      <x:c r="Q1255" s="7">
        <x:f>IF(M1255="","",M1255+P1255)</x:f>
      </x:c>
      <x:c r="R1255" s="7">
        <x:f>IF(K1255&lt;&gt;"Paid",0,IF(C1255="Income",Q1255,-Q1255))</x:f>
      </x:c>
      <x:c r="S1255" s="14">
        <x:f>IF(A1255="","",DATE(YEAR(A1255),MONTH(A1255),1))</x:f>
      </x:c>
      <x:c r="T1255" s="14">
        <x:f>IF(L1255="","",DATE(YEAR(L1255),MONTH(L1255),1))</x:f>
      </x:c>
    </x:row>
    <x:row r="1256">
      <x:c r="A1256" s="11" t="n"/>
      <x:c r="B1256" s="5" t="n"/>
      <x:c r="C1256" s="12" t="n"/>
      <x:c r="D1256" s="12" t="n"/>
      <x:c r="E1256" s="12" t="n"/>
      <x:c r="F1256" s="12" t="n"/>
      <x:c r="G1256" s="13">
        <x:f>IF(F1256="","",IFERROR(VLOOKUP(F1256,Master_Data!$E$24:$G$33,2,FALSE),"9999"))</x:f>
      </x:c>
      <x:c r="H1256" s="12" t="n"/>
      <x:c r="I1256" s="12" t="n"/>
      <x:c r="J1256" s="12" t="n"/>
      <x:c r="K1256" s="12" t="n"/>
      <x:c r="L1256" s="11" t="n"/>
      <x:c r="M1256" s="9" t="n"/>
      <x:c r="N1256" s="12" t="n"/>
      <x:c r="O1256" s="6">
        <x:f>IF(N1256="","",IFERROR(VLOOKUP(N1256,Master_Data!$A$5:$C$8,3,FALSE),0))</x:f>
      </x:c>
      <x:c r="P1256" s="7">
        <x:f>IF(M1256="","",M1256*O1256)</x:f>
      </x:c>
      <x:c r="Q1256" s="7">
        <x:f>IF(M1256="","",M1256+P1256)</x:f>
      </x:c>
      <x:c r="R1256" s="7">
        <x:f>IF(K1256&lt;&gt;"Paid",0,IF(C1256="Income",Q1256,-Q1256))</x:f>
      </x:c>
      <x:c r="S1256" s="14">
        <x:f>IF(A1256="","",DATE(YEAR(A1256),MONTH(A1256),1))</x:f>
      </x:c>
      <x:c r="T1256" s="14">
        <x:f>IF(L1256="","",DATE(YEAR(L1256),MONTH(L1256),1))</x:f>
      </x:c>
    </x:row>
    <x:row r="1257">
      <x:c r="A1257" s="11" t="n"/>
      <x:c r="B1257" s="5" t="n"/>
      <x:c r="C1257" s="12" t="n"/>
      <x:c r="D1257" s="12" t="n"/>
      <x:c r="E1257" s="12" t="n"/>
      <x:c r="F1257" s="12" t="n"/>
      <x:c r="G1257" s="13">
        <x:f>IF(F1257="","",IFERROR(VLOOKUP(F1257,Master_Data!$E$24:$G$33,2,FALSE),"9999"))</x:f>
      </x:c>
      <x:c r="H1257" s="12" t="n"/>
      <x:c r="I1257" s="12" t="n"/>
      <x:c r="J1257" s="12" t="n"/>
      <x:c r="K1257" s="12" t="n"/>
      <x:c r="L1257" s="11" t="n"/>
      <x:c r="M1257" s="9" t="n"/>
      <x:c r="N1257" s="12" t="n"/>
      <x:c r="O1257" s="6">
        <x:f>IF(N1257="","",IFERROR(VLOOKUP(N1257,Master_Data!$A$5:$C$8,3,FALSE),0))</x:f>
      </x:c>
      <x:c r="P1257" s="7">
        <x:f>IF(M1257="","",M1257*O1257)</x:f>
      </x:c>
      <x:c r="Q1257" s="7">
        <x:f>IF(M1257="","",M1257+P1257)</x:f>
      </x:c>
      <x:c r="R1257" s="7">
        <x:f>IF(K1257&lt;&gt;"Paid",0,IF(C1257="Income",Q1257,-Q1257))</x:f>
      </x:c>
      <x:c r="S1257" s="14">
        <x:f>IF(A1257="","",DATE(YEAR(A1257),MONTH(A1257),1))</x:f>
      </x:c>
      <x:c r="T1257" s="14">
        <x:f>IF(L1257="","",DATE(YEAR(L1257),MONTH(L1257),1))</x:f>
      </x:c>
    </x:row>
    <x:row r="1258">
      <x:c r="A1258" s="11" t="n"/>
      <x:c r="B1258" s="5" t="n"/>
      <x:c r="C1258" s="12" t="n"/>
      <x:c r="D1258" s="12" t="n"/>
      <x:c r="E1258" s="12" t="n"/>
      <x:c r="F1258" s="12" t="n"/>
      <x:c r="G1258" s="13">
        <x:f>IF(F1258="","",IFERROR(VLOOKUP(F1258,Master_Data!$E$24:$G$33,2,FALSE),"9999"))</x:f>
      </x:c>
      <x:c r="H1258" s="12" t="n"/>
      <x:c r="I1258" s="12" t="n"/>
      <x:c r="J1258" s="12" t="n"/>
      <x:c r="K1258" s="12" t="n"/>
      <x:c r="L1258" s="11" t="n"/>
      <x:c r="M1258" s="9" t="n"/>
      <x:c r="N1258" s="12" t="n"/>
      <x:c r="O1258" s="6">
        <x:f>IF(N1258="","",IFERROR(VLOOKUP(N1258,Master_Data!$A$5:$C$8,3,FALSE),0))</x:f>
      </x:c>
      <x:c r="P1258" s="7">
        <x:f>IF(M1258="","",M1258*O1258)</x:f>
      </x:c>
      <x:c r="Q1258" s="7">
        <x:f>IF(M1258="","",M1258+P1258)</x:f>
      </x:c>
      <x:c r="R1258" s="7">
        <x:f>IF(K1258&lt;&gt;"Paid",0,IF(C1258="Income",Q1258,-Q1258))</x:f>
      </x:c>
      <x:c r="S1258" s="14">
        <x:f>IF(A1258="","",DATE(YEAR(A1258),MONTH(A1258),1))</x:f>
      </x:c>
      <x:c r="T1258" s="14">
        <x:f>IF(L1258="","",DATE(YEAR(L1258),MONTH(L1258),1))</x:f>
      </x:c>
    </x:row>
    <x:row r="1259">
      <x:c r="A1259" s="11" t="n"/>
      <x:c r="B1259" s="5" t="n"/>
      <x:c r="C1259" s="12" t="n"/>
      <x:c r="D1259" s="12" t="n"/>
      <x:c r="E1259" s="12" t="n"/>
      <x:c r="F1259" s="12" t="n"/>
      <x:c r="G1259" s="13">
        <x:f>IF(F1259="","",IFERROR(VLOOKUP(F1259,Master_Data!$E$24:$G$33,2,FALSE),"9999"))</x:f>
      </x:c>
      <x:c r="H1259" s="12" t="n"/>
      <x:c r="I1259" s="12" t="n"/>
      <x:c r="J1259" s="12" t="n"/>
      <x:c r="K1259" s="12" t="n"/>
      <x:c r="L1259" s="11" t="n"/>
      <x:c r="M1259" s="9" t="n"/>
      <x:c r="N1259" s="12" t="n"/>
      <x:c r="O1259" s="6">
        <x:f>IF(N1259="","",IFERROR(VLOOKUP(N1259,Master_Data!$A$5:$C$8,3,FALSE),0))</x:f>
      </x:c>
      <x:c r="P1259" s="7">
        <x:f>IF(M1259="","",M1259*O1259)</x:f>
      </x:c>
      <x:c r="Q1259" s="7">
        <x:f>IF(M1259="","",M1259+P1259)</x:f>
      </x:c>
      <x:c r="R1259" s="7">
        <x:f>IF(K1259&lt;&gt;"Paid",0,IF(C1259="Income",Q1259,-Q1259))</x:f>
      </x:c>
      <x:c r="S1259" s="14">
        <x:f>IF(A1259="","",DATE(YEAR(A1259),MONTH(A1259),1))</x:f>
      </x:c>
      <x:c r="T1259" s="14">
        <x:f>IF(L1259="","",DATE(YEAR(L1259),MONTH(L1259),1))</x:f>
      </x:c>
    </x:row>
    <x:row r="1260">
      <x:c r="A1260" s="11" t="n"/>
      <x:c r="B1260" s="5" t="n"/>
      <x:c r="C1260" s="12" t="n"/>
      <x:c r="D1260" s="12" t="n"/>
      <x:c r="E1260" s="12" t="n"/>
      <x:c r="F1260" s="12" t="n"/>
      <x:c r="G1260" s="13">
        <x:f>IF(F1260="","",IFERROR(VLOOKUP(F1260,Master_Data!$E$24:$G$33,2,FALSE),"9999"))</x:f>
      </x:c>
      <x:c r="H1260" s="12" t="n"/>
      <x:c r="I1260" s="12" t="n"/>
      <x:c r="J1260" s="12" t="n"/>
      <x:c r="K1260" s="12" t="n"/>
      <x:c r="L1260" s="11" t="n"/>
      <x:c r="M1260" s="9" t="n"/>
      <x:c r="N1260" s="12" t="n"/>
      <x:c r="O1260" s="6">
        <x:f>IF(N1260="","",IFERROR(VLOOKUP(N1260,Master_Data!$A$5:$C$8,3,FALSE),0))</x:f>
      </x:c>
      <x:c r="P1260" s="7">
        <x:f>IF(M1260="","",M1260*O1260)</x:f>
      </x:c>
      <x:c r="Q1260" s="7">
        <x:f>IF(M1260="","",M1260+P1260)</x:f>
      </x:c>
      <x:c r="R1260" s="7">
        <x:f>IF(K1260&lt;&gt;"Paid",0,IF(C1260="Income",Q1260,-Q1260))</x:f>
      </x:c>
      <x:c r="S1260" s="14">
        <x:f>IF(A1260="","",DATE(YEAR(A1260),MONTH(A1260),1))</x:f>
      </x:c>
      <x:c r="T1260" s="14">
        <x:f>IF(L1260="","",DATE(YEAR(L1260),MONTH(L1260),1))</x:f>
      </x:c>
    </x:row>
    <x:row r="1261">
      <x:c r="A1261" s="11" t="n"/>
      <x:c r="B1261" s="5" t="n"/>
      <x:c r="C1261" s="12" t="n"/>
      <x:c r="D1261" s="12" t="n"/>
      <x:c r="E1261" s="12" t="n"/>
      <x:c r="F1261" s="12" t="n"/>
      <x:c r="G1261" s="13">
        <x:f>IF(F1261="","",IFERROR(VLOOKUP(F1261,Master_Data!$E$24:$G$33,2,FALSE),"9999"))</x:f>
      </x:c>
      <x:c r="H1261" s="12" t="n"/>
      <x:c r="I1261" s="12" t="n"/>
      <x:c r="J1261" s="12" t="n"/>
      <x:c r="K1261" s="12" t="n"/>
      <x:c r="L1261" s="11" t="n"/>
      <x:c r="M1261" s="9" t="n"/>
      <x:c r="N1261" s="12" t="n"/>
      <x:c r="O1261" s="6">
        <x:f>IF(N1261="","",IFERROR(VLOOKUP(N1261,Master_Data!$A$5:$C$8,3,FALSE),0))</x:f>
      </x:c>
      <x:c r="P1261" s="7">
        <x:f>IF(M1261="","",M1261*O1261)</x:f>
      </x:c>
      <x:c r="Q1261" s="7">
        <x:f>IF(M1261="","",M1261+P1261)</x:f>
      </x:c>
      <x:c r="R1261" s="7">
        <x:f>IF(K1261&lt;&gt;"Paid",0,IF(C1261="Income",Q1261,-Q1261))</x:f>
      </x:c>
      <x:c r="S1261" s="14">
        <x:f>IF(A1261="","",DATE(YEAR(A1261),MONTH(A1261),1))</x:f>
      </x:c>
      <x:c r="T1261" s="14">
        <x:f>IF(L1261="","",DATE(YEAR(L1261),MONTH(L1261),1))</x:f>
      </x:c>
    </x:row>
    <x:row r="1262">
      <x:c r="A1262" s="11" t="n"/>
      <x:c r="B1262" s="5" t="n"/>
      <x:c r="C1262" s="12" t="n"/>
      <x:c r="D1262" s="12" t="n"/>
      <x:c r="E1262" s="12" t="n"/>
      <x:c r="F1262" s="12" t="n"/>
      <x:c r="G1262" s="13">
        <x:f>IF(F1262="","",IFERROR(VLOOKUP(F1262,Master_Data!$E$24:$G$33,2,FALSE),"9999"))</x:f>
      </x:c>
      <x:c r="H1262" s="12" t="n"/>
      <x:c r="I1262" s="12" t="n"/>
      <x:c r="J1262" s="12" t="n"/>
      <x:c r="K1262" s="12" t="n"/>
      <x:c r="L1262" s="11" t="n"/>
      <x:c r="M1262" s="9" t="n"/>
      <x:c r="N1262" s="12" t="n"/>
      <x:c r="O1262" s="6">
        <x:f>IF(N1262="","",IFERROR(VLOOKUP(N1262,Master_Data!$A$5:$C$8,3,FALSE),0))</x:f>
      </x:c>
      <x:c r="P1262" s="7">
        <x:f>IF(M1262="","",M1262*O1262)</x:f>
      </x:c>
      <x:c r="Q1262" s="7">
        <x:f>IF(M1262="","",M1262+P1262)</x:f>
      </x:c>
      <x:c r="R1262" s="7">
        <x:f>IF(K1262&lt;&gt;"Paid",0,IF(C1262="Income",Q1262,-Q1262))</x:f>
      </x:c>
      <x:c r="S1262" s="14">
        <x:f>IF(A1262="","",DATE(YEAR(A1262),MONTH(A1262),1))</x:f>
      </x:c>
      <x:c r="T1262" s="14">
        <x:f>IF(L1262="","",DATE(YEAR(L1262),MONTH(L1262),1))</x:f>
      </x:c>
    </x:row>
    <x:row r="1263">
      <x:c r="A1263" s="11" t="n"/>
      <x:c r="B1263" s="5" t="n"/>
      <x:c r="C1263" s="12" t="n"/>
      <x:c r="D1263" s="12" t="n"/>
      <x:c r="E1263" s="12" t="n"/>
      <x:c r="F1263" s="12" t="n"/>
      <x:c r="G1263" s="13">
        <x:f>IF(F1263="","",IFERROR(VLOOKUP(F1263,Master_Data!$E$24:$G$33,2,FALSE),"9999"))</x:f>
      </x:c>
      <x:c r="H1263" s="12" t="n"/>
      <x:c r="I1263" s="12" t="n"/>
      <x:c r="J1263" s="12" t="n"/>
      <x:c r="K1263" s="12" t="n"/>
      <x:c r="L1263" s="11" t="n"/>
      <x:c r="M1263" s="9" t="n"/>
      <x:c r="N1263" s="12" t="n"/>
      <x:c r="O1263" s="6">
        <x:f>IF(N1263="","",IFERROR(VLOOKUP(N1263,Master_Data!$A$5:$C$8,3,FALSE),0))</x:f>
      </x:c>
      <x:c r="P1263" s="7">
        <x:f>IF(M1263="","",M1263*O1263)</x:f>
      </x:c>
      <x:c r="Q1263" s="7">
        <x:f>IF(M1263="","",M1263+P1263)</x:f>
      </x:c>
      <x:c r="R1263" s="7">
        <x:f>IF(K1263&lt;&gt;"Paid",0,IF(C1263="Income",Q1263,-Q1263))</x:f>
      </x:c>
      <x:c r="S1263" s="14">
        <x:f>IF(A1263="","",DATE(YEAR(A1263),MONTH(A1263),1))</x:f>
      </x:c>
      <x:c r="T1263" s="14">
        <x:f>IF(L1263="","",DATE(YEAR(L1263),MONTH(L1263),1))</x:f>
      </x:c>
    </x:row>
    <x:row r="1264">
      <x:c r="A1264" s="11" t="n"/>
      <x:c r="B1264" s="5" t="n"/>
      <x:c r="C1264" s="12" t="n"/>
      <x:c r="D1264" s="12" t="n"/>
      <x:c r="E1264" s="12" t="n"/>
      <x:c r="F1264" s="12" t="n"/>
      <x:c r="G1264" s="13">
        <x:f>IF(F1264="","",IFERROR(VLOOKUP(F1264,Master_Data!$E$24:$G$33,2,FALSE),"9999"))</x:f>
      </x:c>
      <x:c r="H1264" s="12" t="n"/>
      <x:c r="I1264" s="12" t="n"/>
      <x:c r="J1264" s="12" t="n"/>
      <x:c r="K1264" s="12" t="n"/>
      <x:c r="L1264" s="11" t="n"/>
      <x:c r="M1264" s="9" t="n"/>
      <x:c r="N1264" s="12" t="n"/>
      <x:c r="O1264" s="6">
        <x:f>IF(N1264="","",IFERROR(VLOOKUP(N1264,Master_Data!$A$5:$C$8,3,FALSE),0))</x:f>
      </x:c>
      <x:c r="P1264" s="7">
        <x:f>IF(M1264="","",M1264*O1264)</x:f>
      </x:c>
      <x:c r="Q1264" s="7">
        <x:f>IF(M1264="","",M1264+P1264)</x:f>
      </x:c>
      <x:c r="R1264" s="7">
        <x:f>IF(K1264&lt;&gt;"Paid",0,IF(C1264="Income",Q1264,-Q1264))</x:f>
      </x:c>
      <x:c r="S1264" s="14">
        <x:f>IF(A1264="","",DATE(YEAR(A1264),MONTH(A1264),1))</x:f>
      </x:c>
      <x:c r="T1264" s="14">
        <x:f>IF(L1264="","",DATE(YEAR(L1264),MONTH(L1264),1))</x:f>
      </x:c>
    </x:row>
    <x:row r="1265">
      <x:c r="A1265" s="11" t="n"/>
      <x:c r="B1265" s="5" t="n"/>
      <x:c r="C1265" s="12" t="n"/>
      <x:c r="D1265" s="12" t="n"/>
      <x:c r="E1265" s="12" t="n"/>
      <x:c r="F1265" s="12" t="n"/>
      <x:c r="G1265" s="13">
        <x:f>IF(F1265="","",IFERROR(VLOOKUP(F1265,Master_Data!$E$24:$G$33,2,FALSE),"9999"))</x:f>
      </x:c>
      <x:c r="H1265" s="12" t="n"/>
      <x:c r="I1265" s="12" t="n"/>
      <x:c r="J1265" s="12" t="n"/>
      <x:c r="K1265" s="12" t="n"/>
      <x:c r="L1265" s="11" t="n"/>
      <x:c r="M1265" s="9" t="n"/>
      <x:c r="N1265" s="12" t="n"/>
      <x:c r="O1265" s="6">
        <x:f>IF(N1265="","",IFERROR(VLOOKUP(N1265,Master_Data!$A$5:$C$8,3,FALSE),0))</x:f>
      </x:c>
      <x:c r="P1265" s="7">
        <x:f>IF(M1265="","",M1265*O1265)</x:f>
      </x:c>
      <x:c r="Q1265" s="7">
        <x:f>IF(M1265="","",M1265+P1265)</x:f>
      </x:c>
      <x:c r="R1265" s="7">
        <x:f>IF(K1265&lt;&gt;"Paid",0,IF(C1265="Income",Q1265,-Q1265))</x:f>
      </x:c>
      <x:c r="S1265" s="14">
        <x:f>IF(A1265="","",DATE(YEAR(A1265),MONTH(A1265),1))</x:f>
      </x:c>
      <x:c r="T1265" s="14">
        <x:f>IF(L1265="","",DATE(YEAR(L1265),MONTH(L1265),1))</x:f>
      </x:c>
    </x:row>
    <x:row r="1266">
      <x:c r="A1266" s="11" t="n"/>
      <x:c r="B1266" s="5" t="n"/>
      <x:c r="C1266" s="12" t="n"/>
      <x:c r="D1266" s="12" t="n"/>
      <x:c r="E1266" s="12" t="n"/>
      <x:c r="F1266" s="12" t="n"/>
      <x:c r="G1266" s="13">
        <x:f>IF(F1266="","",IFERROR(VLOOKUP(F1266,Master_Data!$E$24:$G$33,2,FALSE),"9999"))</x:f>
      </x:c>
      <x:c r="H1266" s="12" t="n"/>
      <x:c r="I1266" s="12" t="n"/>
      <x:c r="J1266" s="12" t="n"/>
      <x:c r="K1266" s="12" t="n"/>
      <x:c r="L1266" s="11" t="n"/>
      <x:c r="M1266" s="9" t="n"/>
      <x:c r="N1266" s="12" t="n"/>
      <x:c r="O1266" s="6">
        <x:f>IF(N1266="","",IFERROR(VLOOKUP(N1266,Master_Data!$A$5:$C$8,3,FALSE),0))</x:f>
      </x:c>
      <x:c r="P1266" s="7">
        <x:f>IF(M1266="","",M1266*O1266)</x:f>
      </x:c>
      <x:c r="Q1266" s="7">
        <x:f>IF(M1266="","",M1266+P1266)</x:f>
      </x:c>
      <x:c r="R1266" s="7">
        <x:f>IF(K1266&lt;&gt;"Paid",0,IF(C1266="Income",Q1266,-Q1266))</x:f>
      </x:c>
      <x:c r="S1266" s="14">
        <x:f>IF(A1266="","",DATE(YEAR(A1266),MONTH(A1266),1))</x:f>
      </x:c>
      <x:c r="T1266" s="14">
        <x:f>IF(L1266="","",DATE(YEAR(L1266),MONTH(L1266),1))</x:f>
      </x:c>
    </x:row>
    <x:row r="1267">
      <x:c r="A1267" s="11" t="n"/>
      <x:c r="B1267" s="5" t="n"/>
      <x:c r="C1267" s="12" t="n"/>
      <x:c r="D1267" s="12" t="n"/>
      <x:c r="E1267" s="12" t="n"/>
      <x:c r="F1267" s="12" t="n"/>
      <x:c r="G1267" s="13">
        <x:f>IF(F1267="","",IFERROR(VLOOKUP(F1267,Master_Data!$E$24:$G$33,2,FALSE),"9999"))</x:f>
      </x:c>
      <x:c r="H1267" s="12" t="n"/>
      <x:c r="I1267" s="12" t="n"/>
      <x:c r="J1267" s="12" t="n"/>
      <x:c r="K1267" s="12" t="n"/>
      <x:c r="L1267" s="11" t="n"/>
      <x:c r="M1267" s="9" t="n"/>
      <x:c r="N1267" s="12" t="n"/>
      <x:c r="O1267" s="6">
        <x:f>IF(N1267="","",IFERROR(VLOOKUP(N1267,Master_Data!$A$5:$C$8,3,FALSE),0))</x:f>
      </x:c>
      <x:c r="P1267" s="7">
        <x:f>IF(M1267="","",M1267*O1267)</x:f>
      </x:c>
      <x:c r="Q1267" s="7">
        <x:f>IF(M1267="","",M1267+P1267)</x:f>
      </x:c>
      <x:c r="R1267" s="7">
        <x:f>IF(K1267&lt;&gt;"Paid",0,IF(C1267="Income",Q1267,-Q1267))</x:f>
      </x:c>
      <x:c r="S1267" s="14">
        <x:f>IF(A1267="","",DATE(YEAR(A1267),MONTH(A1267),1))</x:f>
      </x:c>
      <x:c r="T1267" s="14">
        <x:f>IF(L1267="","",DATE(YEAR(L1267),MONTH(L1267),1))</x:f>
      </x:c>
    </x:row>
    <x:row r="1268">
      <x:c r="A1268" s="11" t="n"/>
      <x:c r="B1268" s="5" t="n"/>
      <x:c r="C1268" s="12" t="n"/>
      <x:c r="D1268" s="12" t="n"/>
      <x:c r="E1268" s="12" t="n"/>
      <x:c r="F1268" s="12" t="n"/>
      <x:c r="G1268" s="13">
        <x:f>IF(F1268="","",IFERROR(VLOOKUP(F1268,Master_Data!$E$24:$G$33,2,FALSE),"9999"))</x:f>
      </x:c>
      <x:c r="H1268" s="12" t="n"/>
      <x:c r="I1268" s="12" t="n"/>
      <x:c r="J1268" s="12" t="n"/>
      <x:c r="K1268" s="12" t="n"/>
      <x:c r="L1268" s="11" t="n"/>
      <x:c r="M1268" s="9" t="n"/>
      <x:c r="N1268" s="12" t="n"/>
      <x:c r="O1268" s="6">
        <x:f>IF(N1268="","",IFERROR(VLOOKUP(N1268,Master_Data!$A$5:$C$8,3,FALSE),0))</x:f>
      </x:c>
      <x:c r="P1268" s="7">
        <x:f>IF(M1268="","",M1268*O1268)</x:f>
      </x:c>
      <x:c r="Q1268" s="7">
        <x:f>IF(M1268="","",M1268+P1268)</x:f>
      </x:c>
      <x:c r="R1268" s="7">
        <x:f>IF(K1268&lt;&gt;"Paid",0,IF(C1268="Income",Q1268,-Q1268))</x:f>
      </x:c>
      <x:c r="S1268" s="14">
        <x:f>IF(A1268="","",DATE(YEAR(A1268),MONTH(A1268),1))</x:f>
      </x:c>
      <x:c r="T1268" s="14">
        <x:f>IF(L1268="","",DATE(YEAR(L1268),MONTH(L1268),1))</x:f>
      </x:c>
    </x:row>
    <x:row r="1269">
      <x:c r="A1269" s="11" t="n"/>
      <x:c r="B1269" s="5" t="n"/>
      <x:c r="C1269" s="12" t="n"/>
      <x:c r="D1269" s="12" t="n"/>
      <x:c r="E1269" s="12" t="n"/>
      <x:c r="F1269" s="12" t="n"/>
      <x:c r="G1269" s="13">
        <x:f>IF(F1269="","",IFERROR(VLOOKUP(F1269,Master_Data!$E$24:$G$33,2,FALSE),"9999"))</x:f>
      </x:c>
      <x:c r="H1269" s="12" t="n"/>
      <x:c r="I1269" s="12" t="n"/>
      <x:c r="J1269" s="12" t="n"/>
      <x:c r="K1269" s="12" t="n"/>
      <x:c r="L1269" s="11" t="n"/>
      <x:c r="M1269" s="9" t="n"/>
      <x:c r="N1269" s="12" t="n"/>
      <x:c r="O1269" s="6">
        <x:f>IF(N1269="","",IFERROR(VLOOKUP(N1269,Master_Data!$A$5:$C$8,3,FALSE),0))</x:f>
      </x:c>
      <x:c r="P1269" s="7">
        <x:f>IF(M1269="","",M1269*O1269)</x:f>
      </x:c>
      <x:c r="Q1269" s="7">
        <x:f>IF(M1269="","",M1269+P1269)</x:f>
      </x:c>
      <x:c r="R1269" s="7">
        <x:f>IF(K1269&lt;&gt;"Paid",0,IF(C1269="Income",Q1269,-Q1269))</x:f>
      </x:c>
      <x:c r="S1269" s="14">
        <x:f>IF(A1269="","",DATE(YEAR(A1269),MONTH(A1269),1))</x:f>
      </x:c>
      <x:c r="T1269" s="14">
        <x:f>IF(L1269="","",DATE(YEAR(L1269),MONTH(L1269),1))</x:f>
      </x:c>
    </x:row>
    <x:row r="1270">
      <x:c r="A1270" s="11" t="n"/>
      <x:c r="B1270" s="5" t="n"/>
      <x:c r="C1270" s="12" t="n"/>
      <x:c r="D1270" s="12" t="n"/>
      <x:c r="E1270" s="12" t="n"/>
      <x:c r="F1270" s="12" t="n"/>
      <x:c r="G1270" s="13">
        <x:f>IF(F1270="","",IFERROR(VLOOKUP(F1270,Master_Data!$E$24:$G$33,2,FALSE),"9999"))</x:f>
      </x:c>
      <x:c r="H1270" s="12" t="n"/>
      <x:c r="I1270" s="12" t="n"/>
      <x:c r="J1270" s="12" t="n"/>
      <x:c r="K1270" s="12" t="n"/>
      <x:c r="L1270" s="11" t="n"/>
      <x:c r="M1270" s="9" t="n"/>
      <x:c r="N1270" s="12" t="n"/>
      <x:c r="O1270" s="6">
        <x:f>IF(N1270="","",IFERROR(VLOOKUP(N1270,Master_Data!$A$5:$C$8,3,FALSE),0))</x:f>
      </x:c>
      <x:c r="P1270" s="7">
        <x:f>IF(M1270="","",M1270*O1270)</x:f>
      </x:c>
      <x:c r="Q1270" s="7">
        <x:f>IF(M1270="","",M1270+P1270)</x:f>
      </x:c>
      <x:c r="R1270" s="7">
        <x:f>IF(K1270&lt;&gt;"Paid",0,IF(C1270="Income",Q1270,-Q1270))</x:f>
      </x:c>
      <x:c r="S1270" s="14">
        <x:f>IF(A1270="","",DATE(YEAR(A1270),MONTH(A1270),1))</x:f>
      </x:c>
      <x:c r="T1270" s="14">
        <x:f>IF(L1270="","",DATE(YEAR(L1270),MONTH(L1270),1))</x:f>
      </x:c>
    </x:row>
    <x:row r="1271">
      <x:c r="A1271" s="11" t="n"/>
      <x:c r="B1271" s="5" t="n"/>
      <x:c r="C1271" s="12" t="n"/>
      <x:c r="D1271" s="12" t="n"/>
      <x:c r="E1271" s="12" t="n"/>
      <x:c r="F1271" s="12" t="n"/>
      <x:c r="G1271" s="13">
        <x:f>IF(F1271="","",IFERROR(VLOOKUP(F1271,Master_Data!$E$24:$G$33,2,FALSE),"9999"))</x:f>
      </x:c>
      <x:c r="H1271" s="12" t="n"/>
      <x:c r="I1271" s="12" t="n"/>
      <x:c r="J1271" s="12" t="n"/>
      <x:c r="K1271" s="12" t="n"/>
      <x:c r="L1271" s="11" t="n"/>
      <x:c r="M1271" s="9" t="n"/>
      <x:c r="N1271" s="12" t="n"/>
      <x:c r="O1271" s="6">
        <x:f>IF(N1271="","",IFERROR(VLOOKUP(N1271,Master_Data!$A$5:$C$8,3,FALSE),0))</x:f>
      </x:c>
      <x:c r="P1271" s="7">
        <x:f>IF(M1271="","",M1271*O1271)</x:f>
      </x:c>
      <x:c r="Q1271" s="7">
        <x:f>IF(M1271="","",M1271+P1271)</x:f>
      </x:c>
      <x:c r="R1271" s="7">
        <x:f>IF(K1271&lt;&gt;"Paid",0,IF(C1271="Income",Q1271,-Q1271))</x:f>
      </x:c>
      <x:c r="S1271" s="14">
        <x:f>IF(A1271="","",DATE(YEAR(A1271),MONTH(A1271),1))</x:f>
      </x:c>
      <x:c r="T1271" s="14">
        <x:f>IF(L1271="","",DATE(YEAR(L1271),MONTH(L1271),1))</x:f>
      </x:c>
    </x:row>
    <x:row r="1272">
      <x:c r="A1272" s="11" t="n"/>
      <x:c r="B1272" s="5" t="n"/>
      <x:c r="C1272" s="12" t="n"/>
      <x:c r="D1272" s="12" t="n"/>
      <x:c r="E1272" s="12" t="n"/>
      <x:c r="F1272" s="12" t="n"/>
      <x:c r="G1272" s="13">
        <x:f>IF(F1272="","",IFERROR(VLOOKUP(F1272,Master_Data!$E$24:$G$33,2,FALSE),"9999"))</x:f>
      </x:c>
      <x:c r="H1272" s="12" t="n"/>
      <x:c r="I1272" s="12" t="n"/>
      <x:c r="J1272" s="12" t="n"/>
      <x:c r="K1272" s="12" t="n"/>
      <x:c r="L1272" s="11" t="n"/>
      <x:c r="M1272" s="9" t="n"/>
      <x:c r="N1272" s="12" t="n"/>
      <x:c r="O1272" s="6">
        <x:f>IF(N1272="","",IFERROR(VLOOKUP(N1272,Master_Data!$A$5:$C$8,3,FALSE),0))</x:f>
      </x:c>
      <x:c r="P1272" s="7">
        <x:f>IF(M1272="","",M1272*O1272)</x:f>
      </x:c>
      <x:c r="Q1272" s="7">
        <x:f>IF(M1272="","",M1272+P1272)</x:f>
      </x:c>
      <x:c r="R1272" s="7">
        <x:f>IF(K1272&lt;&gt;"Paid",0,IF(C1272="Income",Q1272,-Q1272))</x:f>
      </x:c>
      <x:c r="S1272" s="14">
        <x:f>IF(A1272="","",DATE(YEAR(A1272),MONTH(A1272),1))</x:f>
      </x:c>
      <x:c r="T1272" s="14">
        <x:f>IF(L1272="","",DATE(YEAR(L1272),MONTH(L1272),1))</x:f>
      </x:c>
    </x:row>
    <x:row r="1273">
      <x:c r="A1273" s="11" t="n"/>
      <x:c r="B1273" s="5" t="n"/>
      <x:c r="C1273" s="12" t="n"/>
      <x:c r="D1273" s="12" t="n"/>
      <x:c r="E1273" s="12" t="n"/>
      <x:c r="F1273" s="12" t="n"/>
      <x:c r="G1273" s="13">
        <x:f>IF(F1273="","",IFERROR(VLOOKUP(F1273,Master_Data!$E$24:$G$33,2,FALSE),"9999"))</x:f>
      </x:c>
      <x:c r="H1273" s="12" t="n"/>
      <x:c r="I1273" s="12" t="n"/>
      <x:c r="J1273" s="12" t="n"/>
      <x:c r="K1273" s="12" t="n"/>
      <x:c r="L1273" s="11" t="n"/>
      <x:c r="M1273" s="9" t="n"/>
      <x:c r="N1273" s="12" t="n"/>
      <x:c r="O1273" s="6">
        <x:f>IF(N1273="","",IFERROR(VLOOKUP(N1273,Master_Data!$A$5:$C$8,3,FALSE),0))</x:f>
      </x:c>
      <x:c r="P1273" s="7">
        <x:f>IF(M1273="","",M1273*O1273)</x:f>
      </x:c>
      <x:c r="Q1273" s="7">
        <x:f>IF(M1273="","",M1273+P1273)</x:f>
      </x:c>
      <x:c r="R1273" s="7">
        <x:f>IF(K1273&lt;&gt;"Paid",0,IF(C1273="Income",Q1273,-Q1273))</x:f>
      </x:c>
      <x:c r="S1273" s="14">
        <x:f>IF(A1273="","",DATE(YEAR(A1273),MONTH(A1273),1))</x:f>
      </x:c>
      <x:c r="T1273" s="14">
        <x:f>IF(L1273="","",DATE(YEAR(L1273),MONTH(L1273),1))</x:f>
      </x:c>
    </x:row>
    <x:row r="1274">
      <x:c r="A1274" s="11" t="n"/>
      <x:c r="B1274" s="5" t="n"/>
      <x:c r="C1274" s="12" t="n"/>
      <x:c r="D1274" s="12" t="n"/>
      <x:c r="E1274" s="12" t="n"/>
      <x:c r="F1274" s="12" t="n"/>
      <x:c r="G1274" s="13">
        <x:f>IF(F1274="","",IFERROR(VLOOKUP(F1274,Master_Data!$E$24:$G$33,2,FALSE),"9999"))</x:f>
      </x:c>
      <x:c r="H1274" s="12" t="n"/>
      <x:c r="I1274" s="12" t="n"/>
      <x:c r="J1274" s="12" t="n"/>
      <x:c r="K1274" s="12" t="n"/>
      <x:c r="L1274" s="11" t="n"/>
      <x:c r="M1274" s="9" t="n"/>
      <x:c r="N1274" s="12" t="n"/>
      <x:c r="O1274" s="6">
        <x:f>IF(N1274="","",IFERROR(VLOOKUP(N1274,Master_Data!$A$5:$C$8,3,FALSE),0))</x:f>
      </x:c>
      <x:c r="P1274" s="7">
        <x:f>IF(M1274="","",M1274*O1274)</x:f>
      </x:c>
      <x:c r="Q1274" s="7">
        <x:f>IF(M1274="","",M1274+P1274)</x:f>
      </x:c>
      <x:c r="R1274" s="7">
        <x:f>IF(K1274&lt;&gt;"Paid",0,IF(C1274="Income",Q1274,-Q1274))</x:f>
      </x:c>
      <x:c r="S1274" s="14">
        <x:f>IF(A1274="","",DATE(YEAR(A1274),MONTH(A1274),1))</x:f>
      </x:c>
      <x:c r="T1274" s="14">
        <x:f>IF(L1274="","",DATE(YEAR(L1274),MONTH(L1274),1))</x:f>
      </x:c>
    </x:row>
    <x:row r="1275">
      <x:c r="A1275" s="11" t="n"/>
      <x:c r="B1275" s="5" t="n"/>
      <x:c r="C1275" s="12" t="n"/>
      <x:c r="D1275" s="12" t="n"/>
      <x:c r="E1275" s="12" t="n"/>
      <x:c r="F1275" s="12" t="n"/>
      <x:c r="G1275" s="13">
        <x:f>IF(F1275="","",IFERROR(VLOOKUP(F1275,Master_Data!$E$24:$G$33,2,FALSE),"9999"))</x:f>
      </x:c>
      <x:c r="H1275" s="12" t="n"/>
      <x:c r="I1275" s="12" t="n"/>
      <x:c r="J1275" s="12" t="n"/>
      <x:c r="K1275" s="12" t="n"/>
      <x:c r="L1275" s="11" t="n"/>
      <x:c r="M1275" s="9" t="n"/>
      <x:c r="N1275" s="12" t="n"/>
      <x:c r="O1275" s="6">
        <x:f>IF(N1275="","",IFERROR(VLOOKUP(N1275,Master_Data!$A$5:$C$8,3,FALSE),0))</x:f>
      </x:c>
      <x:c r="P1275" s="7">
        <x:f>IF(M1275="","",M1275*O1275)</x:f>
      </x:c>
      <x:c r="Q1275" s="7">
        <x:f>IF(M1275="","",M1275+P1275)</x:f>
      </x:c>
      <x:c r="R1275" s="7">
        <x:f>IF(K1275&lt;&gt;"Paid",0,IF(C1275="Income",Q1275,-Q1275))</x:f>
      </x:c>
      <x:c r="S1275" s="14">
        <x:f>IF(A1275="","",DATE(YEAR(A1275),MONTH(A1275),1))</x:f>
      </x:c>
      <x:c r="T1275" s="14">
        <x:f>IF(L1275="","",DATE(YEAR(L1275),MONTH(L1275),1))</x:f>
      </x:c>
    </x:row>
    <x:row r="1276">
      <x:c r="A1276" s="11" t="n"/>
      <x:c r="B1276" s="5" t="n"/>
      <x:c r="C1276" s="12" t="n"/>
      <x:c r="D1276" s="12" t="n"/>
      <x:c r="E1276" s="12" t="n"/>
      <x:c r="F1276" s="12" t="n"/>
      <x:c r="G1276" s="13">
        <x:f>IF(F1276="","",IFERROR(VLOOKUP(F1276,Master_Data!$E$24:$G$33,2,FALSE),"9999"))</x:f>
      </x:c>
      <x:c r="H1276" s="12" t="n"/>
      <x:c r="I1276" s="12" t="n"/>
      <x:c r="J1276" s="12" t="n"/>
      <x:c r="K1276" s="12" t="n"/>
      <x:c r="L1276" s="11" t="n"/>
      <x:c r="M1276" s="9" t="n"/>
      <x:c r="N1276" s="12" t="n"/>
      <x:c r="O1276" s="6">
        <x:f>IF(N1276="","",IFERROR(VLOOKUP(N1276,Master_Data!$A$5:$C$8,3,FALSE),0))</x:f>
      </x:c>
      <x:c r="P1276" s="7">
        <x:f>IF(M1276="","",M1276*O1276)</x:f>
      </x:c>
      <x:c r="Q1276" s="7">
        <x:f>IF(M1276="","",M1276+P1276)</x:f>
      </x:c>
      <x:c r="R1276" s="7">
        <x:f>IF(K1276&lt;&gt;"Paid",0,IF(C1276="Income",Q1276,-Q1276))</x:f>
      </x:c>
      <x:c r="S1276" s="14">
        <x:f>IF(A1276="","",DATE(YEAR(A1276),MONTH(A1276),1))</x:f>
      </x:c>
      <x:c r="T1276" s="14">
        <x:f>IF(L1276="","",DATE(YEAR(L1276),MONTH(L1276),1))</x:f>
      </x:c>
    </x:row>
    <x:row r="1277">
      <x:c r="A1277" s="11" t="n"/>
      <x:c r="B1277" s="5" t="n"/>
      <x:c r="C1277" s="12" t="n"/>
      <x:c r="D1277" s="12" t="n"/>
      <x:c r="E1277" s="12" t="n"/>
      <x:c r="F1277" s="12" t="n"/>
      <x:c r="G1277" s="13">
        <x:f>IF(F1277="","",IFERROR(VLOOKUP(F1277,Master_Data!$E$24:$G$33,2,FALSE),"9999"))</x:f>
      </x:c>
      <x:c r="H1277" s="12" t="n"/>
      <x:c r="I1277" s="12" t="n"/>
      <x:c r="J1277" s="12" t="n"/>
      <x:c r="K1277" s="12" t="n"/>
      <x:c r="L1277" s="11" t="n"/>
      <x:c r="M1277" s="9" t="n"/>
      <x:c r="N1277" s="12" t="n"/>
      <x:c r="O1277" s="6">
        <x:f>IF(N1277="","",IFERROR(VLOOKUP(N1277,Master_Data!$A$5:$C$8,3,FALSE),0))</x:f>
      </x:c>
      <x:c r="P1277" s="7">
        <x:f>IF(M1277="","",M1277*O1277)</x:f>
      </x:c>
      <x:c r="Q1277" s="7">
        <x:f>IF(M1277="","",M1277+P1277)</x:f>
      </x:c>
      <x:c r="R1277" s="7">
        <x:f>IF(K1277&lt;&gt;"Paid",0,IF(C1277="Income",Q1277,-Q1277))</x:f>
      </x:c>
      <x:c r="S1277" s="14">
        <x:f>IF(A1277="","",DATE(YEAR(A1277),MONTH(A1277),1))</x:f>
      </x:c>
      <x:c r="T1277" s="14">
        <x:f>IF(L1277="","",DATE(YEAR(L1277),MONTH(L1277),1))</x:f>
      </x:c>
    </x:row>
    <x:row r="1278">
      <x:c r="A1278" s="11" t="n"/>
      <x:c r="B1278" s="5" t="n"/>
      <x:c r="C1278" s="12" t="n"/>
      <x:c r="D1278" s="12" t="n"/>
      <x:c r="E1278" s="12" t="n"/>
      <x:c r="F1278" s="12" t="n"/>
      <x:c r="G1278" s="13">
        <x:f>IF(F1278="","",IFERROR(VLOOKUP(F1278,Master_Data!$E$24:$G$33,2,FALSE),"9999"))</x:f>
      </x:c>
      <x:c r="H1278" s="12" t="n"/>
      <x:c r="I1278" s="12" t="n"/>
      <x:c r="J1278" s="12" t="n"/>
      <x:c r="K1278" s="12" t="n"/>
      <x:c r="L1278" s="11" t="n"/>
      <x:c r="M1278" s="9" t="n"/>
      <x:c r="N1278" s="12" t="n"/>
      <x:c r="O1278" s="6">
        <x:f>IF(N1278="","",IFERROR(VLOOKUP(N1278,Master_Data!$A$5:$C$8,3,FALSE),0))</x:f>
      </x:c>
      <x:c r="P1278" s="7">
        <x:f>IF(M1278="","",M1278*O1278)</x:f>
      </x:c>
      <x:c r="Q1278" s="7">
        <x:f>IF(M1278="","",M1278+P1278)</x:f>
      </x:c>
      <x:c r="R1278" s="7">
        <x:f>IF(K1278&lt;&gt;"Paid",0,IF(C1278="Income",Q1278,-Q1278))</x:f>
      </x:c>
      <x:c r="S1278" s="14">
        <x:f>IF(A1278="","",DATE(YEAR(A1278),MONTH(A1278),1))</x:f>
      </x:c>
      <x:c r="T1278" s="14">
        <x:f>IF(L1278="","",DATE(YEAR(L1278),MONTH(L1278),1))</x:f>
      </x:c>
    </x:row>
    <x:row r="1279">
      <x:c r="A1279" s="11" t="n"/>
      <x:c r="B1279" s="5" t="n"/>
      <x:c r="C1279" s="12" t="n"/>
      <x:c r="D1279" s="12" t="n"/>
      <x:c r="E1279" s="12" t="n"/>
      <x:c r="F1279" s="12" t="n"/>
      <x:c r="G1279" s="13">
        <x:f>IF(F1279="","",IFERROR(VLOOKUP(F1279,Master_Data!$E$24:$G$33,2,FALSE),"9999"))</x:f>
      </x:c>
      <x:c r="H1279" s="12" t="n"/>
      <x:c r="I1279" s="12" t="n"/>
      <x:c r="J1279" s="12" t="n"/>
      <x:c r="K1279" s="12" t="n"/>
      <x:c r="L1279" s="11" t="n"/>
      <x:c r="M1279" s="9" t="n"/>
      <x:c r="N1279" s="12" t="n"/>
      <x:c r="O1279" s="6">
        <x:f>IF(N1279="","",IFERROR(VLOOKUP(N1279,Master_Data!$A$5:$C$8,3,FALSE),0))</x:f>
      </x:c>
      <x:c r="P1279" s="7">
        <x:f>IF(M1279="","",M1279*O1279)</x:f>
      </x:c>
      <x:c r="Q1279" s="7">
        <x:f>IF(M1279="","",M1279+P1279)</x:f>
      </x:c>
      <x:c r="R1279" s="7">
        <x:f>IF(K1279&lt;&gt;"Paid",0,IF(C1279="Income",Q1279,-Q1279))</x:f>
      </x:c>
      <x:c r="S1279" s="14">
        <x:f>IF(A1279="","",DATE(YEAR(A1279),MONTH(A1279),1))</x:f>
      </x:c>
      <x:c r="T1279" s="14">
        <x:f>IF(L1279="","",DATE(YEAR(L1279),MONTH(L1279),1))</x:f>
      </x:c>
    </x:row>
    <x:row r="1280">
      <x:c r="A1280" s="11" t="n"/>
      <x:c r="B1280" s="5" t="n"/>
      <x:c r="C1280" s="12" t="n"/>
      <x:c r="D1280" s="12" t="n"/>
      <x:c r="E1280" s="12" t="n"/>
      <x:c r="F1280" s="12" t="n"/>
      <x:c r="G1280" s="13">
        <x:f>IF(F1280="","",IFERROR(VLOOKUP(F1280,Master_Data!$E$24:$G$33,2,FALSE),"9999"))</x:f>
      </x:c>
      <x:c r="H1280" s="12" t="n"/>
      <x:c r="I1280" s="12" t="n"/>
      <x:c r="J1280" s="12" t="n"/>
      <x:c r="K1280" s="12" t="n"/>
      <x:c r="L1280" s="11" t="n"/>
      <x:c r="M1280" s="9" t="n"/>
      <x:c r="N1280" s="12" t="n"/>
      <x:c r="O1280" s="6">
        <x:f>IF(N1280="","",IFERROR(VLOOKUP(N1280,Master_Data!$A$5:$C$8,3,FALSE),0))</x:f>
      </x:c>
      <x:c r="P1280" s="7">
        <x:f>IF(M1280="","",M1280*O1280)</x:f>
      </x:c>
      <x:c r="Q1280" s="7">
        <x:f>IF(M1280="","",M1280+P1280)</x:f>
      </x:c>
      <x:c r="R1280" s="7">
        <x:f>IF(K1280&lt;&gt;"Paid",0,IF(C1280="Income",Q1280,-Q1280))</x:f>
      </x:c>
      <x:c r="S1280" s="14">
        <x:f>IF(A1280="","",DATE(YEAR(A1280),MONTH(A1280),1))</x:f>
      </x:c>
      <x:c r="T1280" s="14">
        <x:f>IF(L1280="","",DATE(YEAR(L1280),MONTH(L1280),1))</x:f>
      </x:c>
    </x:row>
    <x:row r="1281">
      <x:c r="A1281" s="11" t="n"/>
      <x:c r="B1281" s="5" t="n"/>
      <x:c r="C1281" s="12" t="n"/>
      <x:c r="D1281" s="12" t="n"/>
      <x:c r="E1281" s="12" t="n"/>
      <x:c r="F1281" s="12" t="n"/>
      <x:c r="G1281" s="13">
        <x:f>IF(F1281="","",IFERROR(VLOOKUP(F1281,Master_Data!$E$24:$G$33,2,FALSE),"9999"))</x:f>
      </x:c>
      <x:c r="H1281" s="12" t="n"/>
      <x:c r="I1281" s="12" t="n"/>
      <x:c r="J1281" s="12" t="n"/>
      <x:c r="K1281" s="12" t="n"/>
      <x:c r="L1281" s="11" t="n"/>
      <x:c r="M1281" s="9" t="n"/>
      <x:c r="N1281" s="12" t="n"/>
      <x:c r="O1281" s="6">
        <x:f>IF(N1281="","",IFERROR(VLOOKUP(N1281,Master_Data!$A$5:$C$8,3,FALSE),0))</x:f>
      </x:c>
      <x:c r="P1281" s="7">
        <x:f>IF(M1281="","",M1281*O1281)</x:f>
      </x:c>
      <x:c r="Q1281" s="7">
        <x:f>IF(M1281="","",M1281+P1281)</x:f>
      </x:c>
      <x:c r="R1281" s="7">
        <x:f>IF(K1281&lt;&gt;"Paid",0,IF(C1281="Income",Q1281,-Q1281))</x:f>
      </x:c>
      <x:c r="S1281" s="14">
        <x:f>IF(A1281="","",DATE(YEAR(A1281),MONTH(A1281),1))</x:f>
      </x:c>
      <x:c r="T1281" s="14">
        <x:f>IF(L1281="","",DATE(YEAR(L1281),MONTH(L1281),1))</x:f>
      </x:c>
    </x:row>
    <x:row r="1282">
      <x:c r="A1282" s="11" t="n"/>
      <x:c r="B1282" s="5" t="n"/>
      <x:c r="C1282" s="12" t="n"/>
      <x:c r="D1282" s="12" t="n"/>
      <x:c r="E1282" s="12" t="n"/>
      <x:c r="F1282" s="12" t="n"/>
      <x:c r="G1282" s="13">
        <x:f>IF(F1282="","",IFERROR(VLOOKUP(F1282,Master_Data!$E$24:$G$33,2,FALSE),"9999"))</x:f>
      </x:c>
      <x:c r="H1282" s="12" t="n"/>
      <x:c r="I1282" s="12" t="n"/>
      <x:c r="J1282" s="12" t="n"/>
      <x:c r="K1282" s="12" t="n"/>
      <x:c r="L1282" s="11" t="n"/>
      <x:c r="M1282" s="9" t="n"/>
      <x:c r="N1282" s="12" t="n"/>
      <x:c r="O1282" s="6">
        <x:f>IF(N1282="","",IFERROR(VLOOKUP(N1282,Master_Data!$A$5:$C$8,3,FALSE),0))</x:f>
      </x:c>
      <x:c r="P1282" s="7">
        <x:f>IF(M1282="","",M1282*O1282)</x:f>
      </x:c>
      <x:c r="Q1282" s="7">
        <x:f>IF(M1282="","",M1282+P1282)</x:f>
      </x:c>
      <x:c r="R1282" s="7">
        <x:f>IF(K1282&lt;&gt;"Paid",0,IF(C1282="Income",Q1282,-Q1282))</x:f>
      </x:c>
      <x:c r="S1282" s="14">
        <x:f>IF(A1282="","",DATE(YEAR(A1282),MONTH(A1282),1))</x:f>
      </x:c>
      <x:c r="T1282" s="14">
        <x:f>IF(L1282="","",DATE(YEAR(L1282),MONTH(L1282),1))</x:f>
      </x:c>
    </x:row>
    <x:row r="1283">
      <x:c r="A1283" s="11" t="n"/>
      <x:c r="B1283" s="5" t="n"/>
      <x:c r="C1283" s="12" t="n"/>
      <x:c r="D1283" s="12" t="n"/>
      <x:c r="E1283" s="12" t="n"/>
      <x:c r="F1283" s="12" t="n"/>
      <x:c r="G1283" s="13">
        <x:f>IF(F1283="","",IFERROR(VLOOKUP(F1283,Master_Data!$E$24:$G$33,2,FALSE),"9999"))</x:f>
      </x:c>
      <x:c r="H1283" s="12" t="n"/>
      <x:c r="I1283" s="12" t="n"/>
      <x:c r="J1283" s="12" t="n"/>
      <x:c r="K1283" s="12" t="n"/>
      <x:c r="L1283" s="11" t="n"/>
      <x:c r="M1283" s="9" t="n"/>
      <x:c r="N1283" s="12" t="n"/>
      <x:c r="O1283" s="6">
        <x:f>IF(N1283="","",IFERROR(VLOOKUP(N1283,Master_Data!$A$5:$C$8,3,FALSE),0))</x:f>
      </x:c>
      <x:c r="P1283" s="7">
        <x:f>IF(M1283="","",M1283*O1283)</x:f>
      </x:c>
      <x:c r="Q1283" s="7">
        <x:f>IF(M1283="","",M1283+P1283)</x:f>
      </x:c>
      <x:c r="R1283" s="7">
        <x:f>IF(K1283&lt;&gt;"Paid",0,IF(C1283="Income",Q1283,-Q1283))</x:f>
      </x:c>
      <x:c r="S1283" s="14">
        <x:f>IF(A1283="","",DATE(YEAR(A1283),MONTH(A1283),1))</x:f>
      </x:c>
      <x:c r="T1283" s="14">
        <x:f>IF(L1283="","",DATE(YEAR(L1283),MONTH(L1283),1))</x:f>
      </x:c>
    </x:row>
    <x:row r="1284">
      <x:c r="A1284" s="11" t="n"/>
      <x:c r="B1284" s="5" t="n"/>
      <x:c r="C1284" s="12" t="n"/>
      <x:c r="D1284" s="12" t="n"/>
      <x:c r="E1284" s="12" t="n"/>
      <x:c r="F1284" s="12" t="n"/>
      <x:c r="G1284" s="13">
        <x:f>IF(F1284="","",IFERROR(VLOOKUP(F1284,Master_Data!$E$24:$G$33,2,FALSE),"9999"))</x:f>
      </x:c>
      <x:c r="H1284" s="12" t="n"/>
      <x:c r="I1284" s="12" t="n"/>
      <x:c r="J1284" s="12" t="n"/>
      <x:c r="K1284" s="12" t="n"/>
      <x:c r="L1284" s="11" t="n"/>
      <x:c r="M1284" s="9" t="n"/>
      <x:c r="N1284" s="12" t="n"/>
      <x:c r="O1284" s="6">
        <x:f>IF(N1284="","",IFERROR(VLOOKUP(N1284,Master_Data!$A$5:$C$8,3,FALSE),0))</x:f>
      </x:c>
      <x:c r="P1284" s="7">
        <x:f>IF(M1284="","",M1284*O1284)</x:f>
      </x:c>
      <x:c r="Q1284" s="7">
        <x:f>IF(M1284="","",M1284+P1284)</x:f>
      </x:c>
      <x:c r="R1284" s="7">
        <x:f>IF(K1284&lt;&gt;"Paid",0,IF(C1284="Income",Q1284,-Q1284))</x:f>
      </x:c>
      <x:c r="S1284" s="14">
        <x:f>IF(A1284="","",DATE(YEAR(A1284),MONTH(A1284),1))</x:f>
      </x:c>
      <x:c r="T1284" s="14">
        <x:f>IF(L1284="","",DATE(YEAR(L1284),MONTH(L1284),1))</x:f>
      </x:c>
    </x:row>
    <x:row r="1285">
      <x:c r="A1285" s="11" t="n"/>
      <x:c r="B1285" s="5" t="n"/>
      <x:c r="C1285" s="12" t="n"/>
      <x:c r="D1285" s="12" t="n"/>
      <x:c r="E1285" s="12" t="n"/>
      <x:c r="F1285" s="12" t="n"/>
      <x:c r="G1285" s="13">
        <x:f>IF(F1285="","",IFERROR(VLOOKUP(F1285,Master_Data!$E$24:$G$33,2,FALSE),"9999"))</x:f>
      </x:c>
      <x:c r="H1285" s="12" t="n"/>
      <x:c r="I1285" s="12" t="n"/>
      <x:c r="J1285" s="12" t="n"/>
      <x:c r="K1285" s="12" t="n"/>
      <x:c r="L1285" s="11" t="n"/>
      <x:c r="M1285" s="9" t="n"/>
      <x:c r="N1285" s="12" t="n"/>
      <x:c r="O1285" s="6">
        <x:f>IF(N1285="","",IFERROR(VLOOKUP(N1285,Master_Data!$A$5:$C$8,3,FALSE),0))</x:f>
      </x:c>
      <x:c r="P1285" s="7">
        <x:f>IF(M1285="","",M1285*O1285)</x:f>
      </x:c>
      <x:c r="Q1285" s="7">
        <x:f>IF(M1285="","",M1285+P1285)</x:f>
      </x:c>
      <x:c r="R1285" s="7">
        <x:f>IF(K1285&lt;&gt;"Paid",0,IF(C1285="Income",Q1285,-Q1285))</x:f>
      </x:c>
      <x:c r="S1285" s="14">
        <x:f>IF(A1285="","",DATE(YEAR(A1285),MONTH(A1285),1))</x:f>
      </x:c>
      <x:c r="T1285" s="14">
        <x:f>IF(L1285="","",DATE(YEAR(L1285),MONTH(L1285),1))</x:f>
      </x:c>
    </x:row>
    <x:row r="1286">
      <x:c r="A1286" s="11" t="n"/>
      <x:c r="B1286" s="5" t="n"/>
      <x:c r="C1286" s="12" t="n"/>
      <x:c r="D1286" s="12" t="n"/>
      <x:c r="E1286" s="12" t="n"/>
      <x:c r="F1286" s="12" t="n"/>
      <x:c r="G1286" s="13">
        <x:f>IF(F1286="","",IFERROR(VLOOKUP(F1286,Master_Data!$E$24:$G$33,2,FALSE),"9999"))</x:f>
      </x:c>
      <x:c r="H1286" s="12" t="n"/>
      <x:c r="I1286" s="12" t="n"/>
      <x:c r="J1286" s="12" t="n"/>
      <x:c r="K1286" s="12" t="n"/>
      <x:c r="L1286" s="11" t="n"/>
      <x:c r="M1286" s="9" t="n"/>
      <x:c r="N1286" s="12" t="n"/>
      <x:c r="O1286" s="6">
        <x:f>IF(N1286="","",IFERROR(VLOOKUP(N1286,Master_Data!$A$5:$C$8,3,FALSE),0))</x:f>
      </x:c>
      <x:c r="P1286" s="7">
        <x:f>IF(M1286="","",M1286*O1286)</x:f>
      </x:c>
      <x:c r="Q1286" s="7">
        <x:f>IF(M1286="","",M1286+P1286)</x:f>
      </x:c>
      <x:c r="R1286" s="7">
        <x:f>IF(K1286&lt;&gt;"Paid",0,IF(C1286="Income",Q1286,-Q1286))</x:f>
      </x:c>
      <x:c r="S1286" s="14">
        <x:f>IF(A1286="","",DATE(YEAR(A1286),MONTH(A1286),1))</x:f>
      </x:c>
      <x:c r="T1286" s="14">
        <x:f>IF(L1286="","",DATE(YEAR(L1286),MONTH(L1286),1))</x:f>
      </x:c>
    </x:row>
    <x:row r="1287">
      <x:c r="A1287" s="11" t="n"/>
      <x:c r="B1287" s="5" t="n"/>
      <x:c r="C1287" s="12" t="n"/>
      <x:c r="D1287" s="12" t="n"/>
      <x:c r="E1287" s="12" t="n"/>
      <x:c r="F1287" s="12" t="n"/>
      <x:c r="G1287" s="13">
        <x:f>IF(F1287="","",IFERROR(VLOOKUP(F1287,Master_Data!$E$24:$G$33,2,FALSE),"9999"))</x:f>
      </x:c>
      <x:c r="H1287" s="12" t="n"/>
      <x:c r="I1287" s="12" t="n"/>
      <x:c r="J1287" s="12" t="n"/>
      <x:c r="K1287" s="12" t="n"/>
      <x:c r="L1287" s="11" t="n"/>
      <x:c r="M1287" s="9" t="n"/>
      <x:c r="N1287" s="12" t="n"/>
      <x:c r="O1287" s="6">
        <x:f>IF(N1287="","",IFERROR(VLOOKUP(N1287,Master_Data!$A$5:$C$8,3,FALSE),0))</x:f>
      </x:c>
      <x:c r="P1287" s="7">
        <x:f>IF(M1287="","",M1287*O1287)</x:f>
      </x:c>
      <x:c r="Q1287" s="7">
        <x:f>IF(M1287="","",M1287+P1287)</x:f>
      </x:c>
      <x:c r="R1287" s="7">
        <x:f>IF(K1287&lt;&gt;"Paid",0,IF(C1287="Income",Q1287,-Q1287))</x:f>
      </x:c>
      <x:c r="S1287" s="14">
        <x:f>IF(A1287="","",DATE(YEAR(A1287),MONTH(A1287),1))</x:f>
      </x:c>
      <x:c r="T1287" s="14">
        <x:f>IF(L1287="","",DATE(YEAR(L1287),MONTH(L1287),1))</x:f>
      </x:c>
    </x:row>
    <x:row r="1288">
      <x:c r="A1288" s="11" t="n"/>
      <x:c r="B1288" s="5" t="n"/>
      <x:c r="C1288" s="12" t="n"/>
      <x:c r="D1288" s="12" t="n"/>
      <x:c r="E1288" s="12" t="n"/>
      <x:c r="F1288" s="12" t="n"/>
      <x:c r="G1288" s="13">
        <x:f>IF(F1288="","",IFERROR(VLOOKUP(F1288,Master_Data!$E$24:$G$33,2,FALSE),"9999"))</x:f>
      </x:c>
      <x:c r="H1288" s="12" t="n"/>
      <x:c r="I1288" s="12" t="n"/>
      <x:c r="J1288" s="12" t="n"/>
      <x:c r="K1288" s="12" t="n"/>
      <x:c r="L1288" s="11" t="n"/>
      <x:c r="M1288" s="9" t="n"/>
      <x:c r="N1288" s="12" t="n"/>
      <x:c r="O1288" s="6">
        <x:f>IF(N1288="","",IFERROR(VLOOKUP(N1288,Master_Data!$A$5:$C$8,3,FALSE),0))</x:f>
      </x:c>
      <x:c r="P1288" s="7">
        <x:f>IF(M1288="","",M1288*O1288)</x:f>
      </x:c>
      <x:c r="Q1288" s="7">
        <x:f>IF(M1288="","",M1288+P1288)</x:f>
      </x:c>
      <x:c r="R1288" s="7">
        <x:f>IF(K1288&lt;&gt;"Paid",0,IF(C1288="Income",Q1288,-Q1288))</x:f>
      </x:c>
      <x:c r="S1288" s="14">
        <x:f>IF(A1288="","",DATE(YEAR(A1288),MONTH(A1288),1))</x:f>
      </x:c>
      <x:c r="T1288" s="14">
        <x:f>IF(L1288="","",DATE(YEAR(L1288),MONTH(L1288),1))</x:f>
      </x:c>
    </x:row>
    <x:row r="1289">
      <x:c r="A1289" s="11" t="n"/>
      <x:c r="B1289" s="5" t="n"/>
      <x:c r="C1289" s="12" t="n"/>
      <x:c r="D1289" s="12" t="n"/>
      <x:c r="E1289" s="12" t="n"/>
      <x:c r="F1289" s="12" t="n"/>
      <x:c r="G1289" s="13">
        <x:f>IF(F1289="","",IFERROR(VLOOKUP(F1289,Master_Data!$E$24:$G$33,2,FALSE),"9999"))</x:f>
      </x:c>
      <x:c r="H1289" s="12" t="n"/>
      <x:c r="I1289" s="12" t="n"/>
      <x:c r="J1289" s="12" t="n"/>
      <x:c r="K1289" s="12" t="n"/>
      <x:c r="L1289" s="11" t="n"/>
      <x:c r="M1289" s="9" t="n"/>
      <x:c r="N1289" s="12" t="n"/>
      <x:c r="O1289" s="6">
        <x:f>IF(N1289="","",IFERROR(VLOOKUP(N1289,Master_Data!$A$5:$C$8,3,FALSE),0))</x:f>
      </x:c>
      <x:c r="P1289" s="7">
        <x:f>IF(M1289="","",M1289*O1289)</x:f>
      </x:c>
      <x:c r="Q1289" s="7">
        <x:f>IF(M1289="","",M1289+P1289)</x:f>
      </x:c>
      <x:c r="R1289" s="7">
        <x:f>IF(K1289&lt;&gt;"Paid",0,IF(C1289="Income",Q1289,-Q1289))</x:f>
      </x:c>
      <x:c r="S1289" s="14">
        <x:f>IF(A1289="","",DATE(YEAR(A1289),MONTH(A1289),1))</x:f>
      </x:c>
      <x:c r="T1289" s="14">
        <x:f>IF(L1289="","",DATE(YEAR(L1289),MONTH(L1289),1))</x:f>
      </x:c>
    </x:row>
    <x:row r="1290">
      <x:c r="A1290" s="11" t="n"/>
      <x:c r="B1290" s="5" t="n"/>
      <x:c r="C1290" s="12" t="n"/>
      <x:c r="D1290" s="12" t="n"/>
      <x:c r="E1290" s="12" t="n"/>
      <x:c r="F1290" s="12" t="n"/>
      <x:c r="G1290" s="13">
        <x:f>IF(F1290="","",IFERROR(VLOOKUP(F1290,Master_Data!$E$24:$G$33,2,FALSE),"9999"))</x:f>
      </x:c>
      <x:c r="H1290" s="12" t="n"/>
      <x:c r="I1290" s="12" t="n"/>
      <x:c r="J1290" s="12" t="n"/>
      <x:c r="K1290" s="12" t="n"/>
      <x:c r="L1290" s="11" t="n"/>
      <x:c r="M1290" s="9" t="n"/>
      <x:c r="N1290" s="12" t="n"/>
      <x:c r="O1290" s="6">
        <x:f>IF(N1290="","",IFERROR(VLOOKUP(N1290,Master_Data!$A$5:$C$8,3,FALSE),0))</x:f>
      </x:c>
      <x:c r="P1290" s="7">
        <x:f>IF(M1290="","",M1290*O1290)</x:f>
      </x:c>
      <x:c r="Q1290" s="7">
        <x:f>IF(M1290="","",M1290+P1290)</x:f>
      </x:c>
      <x:c r="R1290" s="7">
        <x:f>IF(K1290&lt;&gt;"Paid",0,IF(C1290="Income",Q1290,-Q1290))</x:f>
      </x:c>
      <x:c r="S1290" s="14">
        <x:f>IF(A1290="","",DATE(YEAR(A1290),MONTH(A1290),1))</x:f>
      </x:c>
      <x:c r="T1290" s="14">
        <x:f>IF(L1290="","",DATE(YEAR(L1290),MONTH(L1290),1))</x:f>
      </x:c>
    </x:row>
    <x:row r="1291">
      <x:c r="A1291" s="11" t="n"/>
      <x:c r="B1291" s="5" t="n"/>
      <x:c r="C1291" s="12" t="n"/>
      <x:c r="D1291" s="12" t="n"/>
      <x:c r="E1291" s="12" t="n"/>
      <x:c r="F1291" s="12" t="n"/>
      <x:c r="G1291" s="13">
        <x:f>IF(F1291="","",IFERROR(VLOOKUP(F1291,Master_Data!$E$24:$G$33,2,FALSE),"9999"))</x:f>
      </x:c>
      <x:c r="H1291" s="12" t="n"/>
      <x:c r="I1291" s="12" t="n"/>
      <x:c r="J1291" s="12" t="n"/>
      <x:c r="K1291" s="12" t="n"/>
      <x:c r="L1291" s="11" t="n"/>
      <x:c r="M1291" s="9" t="n"/>
      <x:c r="N1291" s="12" t="n"/>
      <x:c r="O1291" s="6">
        <x:f>IF(N1291="","",IFERROR(VLOOKUP(N1291,Master_Data!$A$5:$C$8,3,FALSE),0))</x:f>
      </x:c>
      <x:c r="P1291" s="7">
        <x:f>IF(M1291="","",M1291*O1291)</x:f>
      </x:c>
      <x:c r="Q1291" s="7">
        <x:f>IF(M1291="","",M1291+P1291)</x:f>
      </x:c>
      <x:c r="R1291" s="7">
        <x:f>IF(K1291&lt;&gt;"Paid",0,IF(C1291="Income",Q1291,-Q1291))</x:f>
      </x:c>
      <x:c r="S1291" s="14">
        <x:f>IF(A1291="","",DATE(YEAR(A1291),MONTH(A1291),1))</x:f>
      </x:c>
      <x:c r="T1291" s="14">
        <x:f>IF(L1291="","",DATE(YEAR(L1291),MONTH(L1291),1))</x:f>
      </x:c>
    </x:row>
    <x:row r="1292">
      <x:c r="A1292" s="11" t="n"/>
      <x:c r="B1292" s="5" t="n"/>
      <x:c r="C1292" s="12" t="n"/>
      <x:c r="D1292" s="12" t="n"/>
      <x:c r="E1292" s="12" t="n"/>
      <x:c r="F1292" s="12" t="n"/>
      <x:c r="G1292" s="13">
        <x:f>IF(F1292="","",IFERROR(VLOOKUP(F1292,Master_Data!$E$24:$G$33,2,FALSE),"9999"))</x:f>
      </x:c>
      <x:c r="H1292" s="12" t="n"/>
      <x:c r="I1292" s="12" t="n"/>
      <x:c r="J1292" s="12" t="n"/>
      <x:c r="K1292" s="12" t="n"/>
      <x:c r="L1292" s="11" t="n"/>
      <x:c r="M1292" s="9" t="n"/>
      <x:c r="N1292" s="12" t="n"/>
      <x:c r="O1292" s="6">
        <x:f>IF(N1292="","",IFERROR(VLOOKUP(N1292,Master_Data!$A$5:$C$8,3,FALSE),0))</x:f>
      </x:c>
      <x:c r="P1292" s="7">
        <x:f>IF(M1292="","",M1292*O1292)</x:f>
      </x:c>
      <x:c r="Q1292" s="7">
        <x:f>IF(M1292="","",M1292+P1292)</x:f>
      </x:c>
      <x:c r="R1292" s="7">
        <x:f>IF(K1292&lt;&gt;"Paid",0,IF(C1292="Income",Q1292,-Q1292))</x:f>
      </x:c>
      <x:c r="S1292" s="14">
        <x:f>IF(A1292="","",DATE(YEAR(A1292),MONTH(A1292),1))</x:f>
      </x:c>
      <x:c r="T1292" s="14">
        <x:f>IF(L1292="","",DATE(YEAR(L1292),MONTH(L1292),1))</x:f>
      </x:c>
    </x:row>
    <x:row r="1293">
      <x:c r="A1293" s="11" t="n"/>
      <x:c r="B1293" s="5" t="n"/>
      <x:c r="C1293" s="12" t="n"/>
      <x:c r="D1293" s="12" t="n"/>
      <x:c r="E1293" s="12" t="n"/>
      <x:c r="F1293" s="12" t="n"/>
      <x:c r="G1293" s="13">
        <x:f>IF(F1293="","",IFERROR(VLOOKUP(F1293,Master_Data!$E$24:$G$33,2,FALSE),"9999"))</x:f>
      </x:c>
      <x:c r="H1293" s="12" t="n"/>
      <x:c r="I1293" s="12" t="n"/>
      <x:c r="J1293" s="12" t="n"/>
      <x:c r="K1293" s="12" t="n"/>
      <x:c r="L1293" s="11" t="n"/>
      <x:c r="M1293" s="9" t="n"/>
      <x:c r="N1293" s="12" t="n"/>
      <x:c r="O1293" s="6">
        <x:f>IF(N1293="","",IFERROR(VLOOKUP(N1293,Master_Data!$A$5:$C$8,3,FALSE),0))</x:f>
      </x:c>
      <x:c r="P1293" s="7">
        <x:f>IF(M1293="","",M1293*O1293)</x:f>
      </x:c>
      <x:c r="Q1293" s="7">
        <x:f>IF(M1293="","",M1293+P1293)</x:f>
      </x:c>
      <x:c r="R1293" s="7">
        <x:f>IF(K1293&lt;&gt;"Paid",0,IF(C1293="Income",Q1293,-Q1293))</x:f>
      </x:c>
      <x:c r="S1293" s="14">
        <x:f>IF(A1293="","",DATE(YEAR(A1293),MONTH(A1293),1))</x:f>
      </x:c>
      <x:c r="T1293" s="14">
        <x:f>IF(L1293="","",DATE(YEAR(L1293),MONTH(L1293),1))</x:f>
      </x:c>
    </x:row>
    <x:row r="1294">
      <x:c r="A1294" s="11" t="n"/>
      <x:c r="B1294" s="5" t="n"/>
      <x:c r="C1294" s="12" t="n"/>
      <x:c r="D1294" s="12" t="n"/>
      <x:c r="E1294" s="12" t="n"/>
      <x:c r="F1294" s="12" t="n"/>
      <x:c r="G1294" s="13">
        <x:f>IF(F1294="","",IFERROR(VLOOKUP(F1294,Master_Data!$E$24:$G$33,2,FALSE),"9999"))</x:f>
      </x:c>
      <x:c r="H1294" s="12" t="n"/>
      <x:c r="I1294" s="12" t="n"/>
      <x:c r="J1294" s="12" t="n"/>
      <x:c r="K1294" s="12" t="n"/>
      <x:c r="L1294" s="11" t="n"/>
      <x:c r="M1294" s="9" t="n"/>
      <x:c r="N1294" s="12" t="n"/>
      <x:c r="O1294" s="6">
        <x:f>IF(N1294="","",IFERROR(VLOOKUP(N1294,Master_Data!$A$5:$C$8,3,FALSE),0))</x:f>
      </x:c>
      <x:c r="P1294" s="7">
        <x:f>IF(M1294="","",M1294*O1294)</x:f>
      </x:c>
      <x:c r="Q1294" s="7">
        <x:f>IF(M1294="","",M1294+P1294)</x:f>
      </x:c>
      <x:c r="R1294" s="7">
        <x:f>IF(K1294&lt;&gt;"Paid",0,IF(C1294="Income",Q1294,-Q1294))</x:f>
      </x:c>
      <x:c r="S1294" s="14">
        <x:f>IF(A1294="","",DATE(YEAR(A1294),MONTH(A1294),1))</x:f>
      </x:c>
      <x:c r="T1294" s="14">
        <x:f>IF(L1294="","",DATE(YEAR(L1294),MONTH(L1294),1))</x:f>
      </x:c>
    </x:row>
    <x:row r="1295">
      <x:c r="A1295" s="11" t="n"/>
      <x:c r="B1295" s="5" t="n"/>
      <x:c r="C1295" s="12" t="n"/>
      <x:c r="D1295" s="12" t="n"/>
      <x:c r="E1295" s="12" t="n"/>
      <x:c r="F1295" s="12" t="n"/>
      <x:c r="G1295" s="13">
        <x:f>IF(F1295="","",IFERROR(VLOOKUP(F1295,Master_Data!$E$24:$G$33,2,FALSE),"9999"))</x:f>
      </x:c>
      <x:c r="H1295" s="12" t="n"/>
      <x:c r="I1295" s="12" t="n"/>
      <x:c r="J1295" s="12" t="n"/>
      <x:c r="K1295" s="12" t="n"/>
      <x:c r="L1295" s="11" t="n"/>
      <x:c r="M1295" s="9" t="n"/>
      <x:c r="N1295" s="12" t="n"/>
      <x:c r="O1295" s="6">
        <x:f>IF(N1295="","",IFERROR(VLOOKUP(N1295,Master_Data!$A$5:$C$8,3,FALSE),0))</x:f>
      </x:c>
      <x:c r="P1295" s="7">
        <x:f>IF(M1295="","",M1295*O1295)</x:f>
      </x:c>
      <x:c r="Q1295" s="7">
        <x:f>IF(M1295="","",M1295+P1295)</x:f>
      </x:c>
      <x:c r="R1295" s="7">
        <x:f>IF(K1295&lt;&gt;"Paid",0,IF(C1295="Income",Q1295,-Q1295))</x:f>
      </x:c>
      <x:c r="S1295" s="14">
        <x:f>IF(A1295="","",DATE(YEAR(A1295),MONTH(A1295),1))</x:f>
      </x:c>
      <x:c r="T1295" s="14">
        <x:f>IF(L1295="","",DATE(YEAR(L1295),MONTH(L1295),1))</x:f>
      </x:c>
    </x:row>
    <x:row r="1296">
      <x:c r="A1296" s="11" t="n"/>
      <x:c r="B1296" s="5" t="n"/>
      <x:c r="C1296" s="12" t="n"/>
      <x:c r="D1296" s="12" t="n"/>
      <x:c r="E1296" s="12" t="n"/>
      <x:c r="F1296" s="12" t="n"/>
      <x:c r="G1296" s="13">
        <x:f>IF(F1296="","",IFERROR(VLOOKUP(F1296,Master_Data!$E$24:$G$33,2,FALSE),"9999"))</x:f>
      </x:c>
      <x:c r="H1296" s="12" t="n"/>
      <x:c r="I1296" s="12" t="n"/>
      <x:c r="J1296" s="12" t="n"/>
      <x:c r="K1296" s="12" t="n"/>
      <x:c r="L1296" s="11" t="n"/>
      <x:c r="M1296" s="9" t="n"/>
      <x:c r="N1296" s="12" t="n"/>
      <x:c r="O1296" s="6">
        <x:f>IF(N1296="","",IFERROR(VLOOKUP(N1296,Master_Data!$A$5:$C$8,3,FALSE),0))</x:f>
      </x:c>
      <x:c r="P1296" s="7">
        <x:f>IF(M1296="","",M1296*O1296)</x:f>
      </x:c>
      <x:c r="Q1296" s="7">
        <x:f>IF(M1296="","",M1296+P1296)</x:f>
      </x:c>
      <x:c r="R1296" s="7">
        <x:f>IF(K1296&lt;&gt;"Paid",0,IF(C1296="Income",Q1296,-Q1296))</x:f>
      </x:c>
      <x:c r="S1296" s="14">
        <x:f>IF(A1296="","",DATE(YEAR(A1296),MONTH(A1296),1))</x:f>
      </x:c>
      <x:c r="T1296" s="14">
        <x:f>IF(L1296="","",DATE(YEAR(L1296),MONTH(L1296),1))</x:f>
      </x:c>
    </x:row>
    <x:row r="1297">
      <x:c r="A1297" s="11" t="n"/>
      <x:c r="B1297" s="5" t="n"/>
      <x:c r="C1297" s="12" t="n"/>
      <x:c r="D1297" s="12" t="n"/>
      <x:c r="E1297" s="12" t="n"/>
      <x:c r="F1297" s="12" t="n"/>
      <x:c r="G1297" s="13">
        <x:f>IF(F1297="","",IFERROR(VLOOKUP(F1297,Master_Data!$E$24:$G$33,2,FALSE),"9999"))</x:f>
      </x:c>
      <x:c r="H1297" s="12" t="n"/>
      <x:c r="I1297" s="12" t="n"/>
      <x:c r="J1297" s="12" t="n"/>
      <x:c r="K1297" s="12" t="n"/>
      <x:c r="L1297" s="11" t="n"/>
      <x:c r="M1297" s="9" t="n"/>
      <x:c r="N1297" s="12" t="n"/>
      <x:c r="O1297" s="6">
        <x:f>IF(N1297="","",IFERROR(VLOOKUP(N1297,Master_Data!$A$5:$C$8,3,FALSE),0))</x:f>
      </x:c>
      <x:c r="P1297" s="7">
        <x:f>IF(M1297="","",M1297*O1297)</x:f>
      </x:c>
      <x:c r="Q1297" s="7">
        <x:f>IF(M1297="","",M1297+P1297)</x:f>
      </x:c>
      <x:c r="R1297" s="7">
        <x:f>IF(K1297&lt;&gt;"Paid",0,IF(C1297="Income",Q1297,-Q1297))</x:f>
      </x:c>
      <x:c r="S1297" s="14">
        <x:f>IF(A1297="","",DATE(YEAR(A1297),MONTH(A1297),1))</x:f>
      </x:c>
      <x:c r="T1297" s="14">
        <x:f>IF(L1297="","",DATE(YEAR(L1297),MONTH(L1297),1))</x:f>
      </x:c>
    </x:row>
    <x:row r="1298">
      <x:c r="A1298" s="11" t="n"/>
      <x:c r="B1298" s="5" t="n"/>
      <x:c r="C1298" s="12" t="n"/>
      <x:c r="D1298" s="12" t="n"/>
      <x:c r="E1298" s="12" t="n"/>
      <x:c r="F1298" s="12" t="n"/>
      <x:c r="G1298" s="13">
        <x:f>IF(F1298="","",IFERROR(VLOOKUP(F1298,Master_Data!$E$24:$G$33,2,FALSE),"9999"))</x:f>
      </x:c>
      <x:c r="H1298" s="12" t="n"/>
      <x:c r="I1298" s="12" t="n"/>
      <x:c r="J1298" s="12" t="n"/>
      <x:c r="K1298" s="12" t="n"/>
      <x:c r="L1298" s="11" t="n"/>
      <x:c r="M1298" s="9" t="n"/>
      <x:c r="N1298" s="12" t="n"/>
      <x:c r="O1298" s="6">
        <x:f>IF(N1298="","",IFERROR(VLOOKUP(N1298,Master_Data!$A$5:$C$8,3,FALSE),0))</x:f>
      </x:c>
      <x:c r="P1298" s="7">
        <x:f>IF(M1298="","",M1298*O1298)</x:f>
      </x:c>
      <x:c r="Q1298" s="7">
        <x:f>IF(M1298="","",M1298+P1298)</x:f>
      </x:c>
      <x:c r="R1298" s="7">
        <x:f>IF(K1298&lt;&gt;"Paid",0,IF(C1298="Income",Q1298,-Q1298))</x:f>
      </x:c>
      <x:c r="S1298" s="14">
        <x:f>IF(A1298="","",DATE(YEAR(A1298),MONTH(A1298),1))</x:f>
      </x:c>
      <x:c r="T1298" s="14">
        <x:f>IF(L1298="","",DATE(YEAR(L1298),MONTH(L1298),1))</x:f>
      </x:c>
    </x:row>
    <x:row r="1299">
      <x:c r="A1299" s="11" t="n"/>
      <x:c r="B1299" s="5" t="n"/>
      <x:c r="C1299" s="12" t="n"/>
      <x:c r="D1299" s="12" t="n"/>
      <x:c r="E1299" s="12" t="n"/>
      <x:c r="F1299" s="12" t="n"/>
      <x:c r="G1299" s="13">
        <x:f>IF(F1299="","",IFERROR(VLOOKUP(F1299,Master_Data!$E$24:$G$33,2,FALSE),"9999"))</x:f>
      </x:c>
      <x:c r="H1299" s="12" t="n"/>
      <x:c r="I1299" s="12" t="n"/>
      <x:c r="J1299" s="12" t="n"/>
      <x:c r="K1299" s="12" t="n"/>
      <x:c r="L1299" s="11" t="n"/>
      <x:c r="M1299" s="9" t="n"/>
      <x:c r="N1299" s="12" t="n"/>
      <x:c r="O1299" s="6">
        <x:f>IF(N1299="","",IFERROR(VLOOKUP(N1299,Master_Data!$A$5:$C$8,3,FALSE),0))</x:f>
      </x:c>
      <x:c r="P1299" s="7">
        <x:f>IF(M1299="","",M1299*O1299)</x:f>
      </x:c>
      <x:c r="Q1299" s="7">
        <x:f>IF(M1299="","",M1299+P1299)</x:f>
      </x:c>
      <x:c r="R1299" s="7">
        <x:f>IF(K1299&lt;&gt;"Paid",0,IF(C1299="Income",Q1299,-Q1299))</x:f>
      </x:c>
      <x:c r="S1299" s="14">
        <x:f>IF(A1299="","",DATE(YEAR(A1299),MONTH(A1299),1))</x:f>
      </x:c>
      <x:c r="T1299" s="14">
        <x:f>IF(L1299="","",DATE(YEAR(L1299),MONTH(L1299),1))</x:f>
      </x:c>
    </x:row>
    <x:row r="1300">
      <x:c r="A1300" s="11" t="n"/>
      <x:c r="B1300" s="5" t="n"/>
      <x:c r="C1300" s="12" t="n"/>
      <x:c r="D1300" s="12" t="n"/>
      <x:c r="E1300" s="12" t="n"/>
      <x:c r="F1300" s="12" t="n"/>
      <x:c r="G1300" s="13">
        <x:f>IF(F1300="","",IFERROR(VLOOKUP(F1300,Master_Data!$E$24:$G$33,2,FALSE),"9999"))</x:f>
      </x:c>
      <x:c r="H1300" s="12" t="n"/>
      <x:c r="I1300" s="12" t="n"/>
      <x:c r="J1300" s="12" t="n"/>
      <x:c r="K1300" s="12" t="n"/>
      <x:c r="L1300" s="11" t="n"/>
      <x:c r="M1300" s="9" t="n"/>
      <x:c r="N1300" s="12" t="n"/>
      <x:c r="O1300" s="6">
        <x:f>IF(N1300="","",IFERROR(VLOOKUP(N1300,Master_Data!$A$5:$C$8,3,FALSE),0))</x:f>
      </x:c>
      <x:c r="P1300" s="7">
        <x:f>IF(M1300="","",M1300*O1300)</x:f>
      </x:c>
      <x:c r="Q1300" s="7">
        <x:f>IF(M1300="","",M1300+P1300)</x:f>
      </x:c>
      <x:c r="R1300" s="7">
        <x:f>IF(K1300&lt;&gt;"Paid",0,IF(C1300="Income",Q1300,-Q1300))</x:f>
      </x:c>
      <x:c r="S1300" s="14">
        <x:f>IF(A1300="","",DATE(YEAR(A1300),MONTH(A1300),1))</x:f>
      </x:c>
      <x:c r="T1300" s="14">
        <x:f>IF(L1300="","",DATE(YEAR(L1300),MONTH(L1300),1))</x:f>
      </x:c>
    </x:row>
    <x:row r="1301">
      <x:c r="A1301" s="11" t="n"/>
      <x:c r="B1301" s="5" t="n"/>
      <x:c r="C1301" s="12" t="n"/>
      <x:c r="D1301" s="12" t="n"/>
      <x:c r="E1301" s="12" t="n"/>
      <x:c r="F1301" s="12" t="n"/>
      <x:c r="G1301" s="13">
        <x:f>IF(F1301="","",IFERROR(VLOOKUP(F1301,Master_Data!$E$24:$G$33,2,FALSE),"9999"))</x:f>
      </x:c>
      <x:c r="H1301" s="12" t="n"/>
      <x:c r="I1301" s="12" t="n"/>
      <x:c r="J1301" s="12" t="n"/>
      <x:c r="K1301" s="12" t="n"/>
      <x:c r="L1301" s="11" t="n"/>
      <x:c r="M1301" s="9" t="n"/>
      <x:c r="N1301" s="12" t="n"/>
      <x:c r="O1301" s="6">
        <x:f>IF(N1301="","",IFERROR(VLOOKUP(N1301,Master_Data!$A$5:$C$8,3,FALSE),0))</x:f>
      </x:c>
      <x:c r="P1301" s="7">
        <x:f>IF(M1301="","",M1301*O1301)</x:f>
      </x:c>
      <x:c r="Q1301" s="7">
        <x:f>IF(M1301="","",M1301+P1301)</x:f>
      </x:c>
      <x:c r="R1301" s="7">
        <x:f>IF(K1301&lt;&gt;"Paid",0,IF(C1301="Income",Q1301,-Q1301))</x:f>
      </x:c>
      <x:c r="S1301" s="14">
        <x:f>IF(A1301="","",DATE(YEAR(A1301),MONTH(A1301),1))</x:f>
      </x:c>
      <x:c r="T1301" s="14">
        <x:f>IF(L1301="","",DATE(YEAR(L1301),MONTH(L1301),1))</x:f>
      </x:c>
    </x:row>
    <x:row r="1302">
      <x:c r="A1302" s="11" t="n"/>
      <x:c r="B1302" s="5" t="n"/>
      <x:c r="C1302" s="12" t="n"/>
      <x:c r="D1302" s="12" t="n"/>
      <x:c r="E1302" s="12" t="n"/>
      <x:c r="F1302" s="12" t="n"/>
      <x:c r="G1302" s="13">
        <x:f>IF(F1302="","",IFERROR(VLOOKUP(F1302,Master_Data!$E$24:$G$33,2,FALSE),"9999"))</x:f>
      </x:c>
      <x:c r="H1302" s="12" t="n"/>
      <x:c r="I1302" s="12" t="n"/>
      <x:c r="J1302" s="12" t="n"/>
      <x:c r="K1302" s="12" t="n"/>
      <x:c r="L1302" s="11" t="n"/>
      <x:c r="M1302" s="9" t="n"/>
      <x:c r="N1302" s="12" t="n"/>
      <x:c r="O1302" s="6">
        <x:f>IF(N1302="","",IFERROR(VLOOKUP(N1302,Master_Data!$A$5:$C$8,3,FALSE),0))</x:f>
      </x:c>
      <x:c r="P1302" s="7">
        <x:f>IF(M1302="","",M1302*O1302)</x:f>
      </x:c>
      <x:c r="Q1302" s="7">
        <x:f>IF(M1302="","",M1302+P1302)</x:f>
      </x:c>
      <x:c r="R1302" s="7">
        <x:f>IF(K1302&lt;&gt;"Paid",0,IF(C1302="Income",Q1302,-Q1302))</x:f>
      </x:c>
      <x:c r="S1302" s="14">
        <x:f>IF(A1302="","",DATE(YEAR(A1302),MONTH(A1302),1))</x:f>
      </x:c>
      <x:c r="T1302" s="14">
        <x:f>IF(L1302="","",DATE(YEAR(L1302),MONTH(L1302),1))</x:f>
      </x:c>
    </x:row>
    <x:row r="1303">
      <x:c r="A1303" s="11" t="n"/>
      <x:c r="B1303" s="5" t="n"/>
      <x:c r="C1303" s="12" t="n"/>
      <x:c r="D1303" s="12" t="n"/>
      <x:c r="E1303" s="12" t="n"/>
      <x:c r="F1303" s="12" t="n"/>
      <x:c r="G1303" s="13">
        <x:f>IF(F1303="","",IFERROR(VLOOKUP(F1303,Master_Data!$E$24:$G$33,2,FALSE),"9999"))</x:f>
      </x:c>
      <x:c r="H1303" s="12" t="n"/>
      <x:c r="I1303" s="12" t="n"/>
      <x:c r="J1303" s="12" t="n"/>
      <x:c r="K1303" s="12" t="n"/>
      <x:c r="L1303" s="11" t="n"/>
      <x:c r="M1303" s="9" t="n"/>
      <x:c r="N1303" s="12" t="n"/>
      <x:c r="O1303" s="6">
        <x:f>IF(N1303="","",IFERROR(VLOOKUP(N1303,Master_Data!$A$5:$C$8,3,FALSE),0))</x:f>
      </x:c>
      <x:c r="P1303" s="7">
        <x:f>IF(M1303="","",M1303*O1303)</x:f>
      </x:c>
      <x:c r="Q1303" s="7">
        <x:f>IF(M1303="","",M1303+P1303)</x:f>
      </x:c>
      <x:c r="R1303" s="7">
        <x:f>IF(K1303&lt;&gt;"Paid",0,IF(C1303="Income",Q1303,-Q1303))</x:f>
      </x:c>
      <x:c r="S1303" s="14">
        <x:f>IF(A1303="","",DATE(YEAR(A1303),MONTH(A1303),1))</x:f>
      </x:c>
      <x:c r="T1303" s="14">
        <x:f>IF(L1303="","",DATE(YEAR(L1303),MONTH(L1303),1))</x:f>
      </x:c>
    </x:row>
    <x:row r="1304">
      <x:c r="A1304" s="11" t="n"/>
      <x:c r="B1304" s="5" t="n"/>
      <x:c r="C1304" s="12" t="n"/>
      <x:c r="D1304" s="12" t="n"/>
      <x:c r="E1304" s="12" t="n"/>
      <x:c r="F1304" s="12" t="n"/>
      <x:c r="G1304" s="13">
        <x:f>IF(F1304="","",IFERROR(VLOOKUP(F1304,Master_Data!$E$24:$G$33,2,FALSE),"9999"))</x:f>
      </x:c>
      <x:c r="H1304" s="12" t="n"/>
      <x:c r="I1304" s="12" t="n"/>
      <x:c r="J1304" s="12" t="n"/>
      <x:c r="K1304" s="12" t="n"/>
      <x:c r="L1304" s="11" t="n"/>
      <x:c r="M1304" s="9" t="n"/>
      <x:c r="N1304" s="12" t="n"/>
      <x:c r="O1304" s="6">
        <x:f>IF(N1304="","",IFERROR(VLOOKUP(N1304,Master_Data!$A$5:$C$8,3,FALSE),0))</x:f>
      </x:c>
      <x:c r="P1304" s="7">
        <x:f>IF(M1304="","",M1304*O1304)</x:f>
      </x:c>
      <x:c r="Q1304" s="7">
        <x:f>IF(M1304="","",M1304+P1304)</x:f>
      </x:c>
      <x:c r="R1304" s="7">
        <x:f>IF(K1304&lt;&gt;"Paid",0,IF(C1304="Income",Q1304,-Q1304))</x:f>
      </x:c>
      <x:c r="S1304" s="14">
        <x:f>IF(A1304="","",DATE(YEAR(A1304),MONTH(A1304),1))</x:f>
      </x:c>
      <x:c r="T1304" s="14">
        <x:f>IF(L1304="","",DATE(YEAR(L1304),MONTH(L1304),1))</x:f>
      </x:c>
    </x:row>
    <x:row r="1305">
      <x:c r="A1305" s="11" t="n"/>
      <x:c r="B1305" s="5" t="n"/>
      <x:c r="C1305" s="12" t="n"/>
      <x:c r="D1305" s="12" t="n"/>
      <x:c r="E1305" s="12" t="n"/>
      <x:c r="F1305" s="12" t="n"/>
      <x:c r="G1305" s="13">
        <x:f>IF(F1305="","",IFERROR(VLOOKUP(F1305,Master_Data!$E$24:$G$33,2,FALSE),"9999"))</x:f>
      </x:c>
      <x:c r="H1305" s="12" t="n"/>
      <x:c r="I1305" s="12" t="n"/>
      <x:c r="J1305" s="12" t="n"/>
      <x:c r="K1305" s="12" t="n"/>
      <x:c r="L1305" s="11" t="n"/>
      <x:c r="M1305" s="9" t="n"/>
      <x:c r="N1305" s="12" t="n"/>
      <x:c r="O1305" s="6">
        <x:f>IF(N1305="","",IFERROR(VLOOKUP(N1305,Master_Data!$A$5:$C$8,3,FALSE),0))</x:f>
      </x:c>
      <x:c r="P1305" s="7">
        <x:f>IF(M1305="","",M1305*O1305)</x:f>
      </x:c>
      <x:c r="Q1305" s="7">
        <x:f>IF(M1305="","",M1305+P1305)</x:f>
      </x:c>
      <x:c r="R1305" s="7">
        <x:f>IF(K1305&lt;&gt;"Paid",0,IF(C1305="Income",Q1305,-Q1305))</x:f>
      </x:c>
      <x:c r="S1305" s="14">
        <x:f>IF(A1305="","",DATE(YEAR(A1305),MONTH(A1305),1))</x:f>
      </x:c>
      <x:c r="T1305" s="14">
        <x:f>IF(L1305="","",DATE(YEAR(L1305),MONTH(L1305),1))</x:f>
      </x:c>
    </x:row>
    <x:row r="1306">
      <x:c r="A1306" s="11" t="n"/>
      <x:c r="B1306" s="5" t="n"/>
      <x:c r="C1306" s="12" t="n"/>
      <x:c r="D1306" s="12" t="n"/>
      <x:c r="E1306" s="12" t="n"/>
      <x:c r="F1306" s="12" t="n"/>
      <x:c r="G1306" s="13">
        <x:f>IF(F1306="","",IFERROR(VLOOKUP(F1306,Master_Data!$E$24:$G$33,2,FALSE),"9999"))</x:f>
      </x:c>
      <x:c r="H1306" s="12" t="n"/>
      <x:c r="I1306" s="12" t="n"/>
      <x:c r="J1306" s="12" t="n"/>
      <x:c r="K1306" s="12" t="n"/>
      <x:c r="L1306" s="11" t="n"/>
      <x:c r="M1306" s="9" t="n"/>
      <x:c r="N1306" s="12" t="n"/>
      <x:c r="O1306" s="6">
        <x:f>IF(N1306="","",IFERROR(VLOOKUP(N1306,Master_Data!$A$5:$C$8,3,FALSE),0))</x:f>
      </x:c>
      <x:c r="P1306" s="7">
        <x:f>IF(M1306="","",M1306*O1306)</x:f>
      </x:c>
      <x:c r="Q1306" s="7">
        <x:f>IF(M1306="","",M1306+P1306)</x:f>
      </x:c>
      <x:c r="R1306" s="7">
        <x:f>IF(K1306&lt;&gt;"Paid",0,IF(C1306="Income",Q1306,-Q1306))</x:f>
      </x:c>
      <x:c r="S1306" s="14">
        <x:f>IF(A1306="","",DATE(YEAR(A1306),MONTH(A1306),1))</x:f>
      </x:c>
      <x:c r="T1306" s="14">
        <x:f>IF(L1306="","",DATE(YEAR(L1306),MONTH(L1306),1))</x:f>
      </x:c>
    </x:row>
    <x:row r="1307">
      <x:c r="A1307" s="11" t="n"/>
      <x:c r="B1307" s="5" t="n"/>
      <x:c r="C1307" s="12" t="n"/>
      <x:c r="D1307" s="12" t="n"/>
      <x:c r="E1307" s="12" t="n"/>
      <x:c r="F1307" s="12" t="n"/>
      <x:c r="G1307" s="13">
        <x:f>IF(F1307="","",IFERROR(VLOOKUP(F1307,Master_Data!$E$24:$G$33,2,FALSE),"9999"))</x:f>
      </x:c>
      <x:c r="H1307" s="12" t="n"/>
      <x:c r="I1307" s="12" t="n"/>
      <x:c r="J1307" s="12" t="n"/>
      <x:c r="K1307" s="12" t="n"/>
      <x:c r="L1307" s="11" t="n"/>
      <x:c r="M1307" s="9" t="n"/>
      <x:c r="N1307" s="12" t="n"/>
      <x:c r="O1307" s="6">
        <x:f>IF(N1307="","",IFERROR(VLOOKUP(N1307,Master_Data!$A$5:$C$8,3,FALSE),0))</x:f>
      </x:c>
      <x:c r="P1307" s="7">
        <x:f>IF(M1307="","",M1307*O1307)</x:f>
      </x:c>
      <x:c r="Q1307" s="7">
        <x:f>IF(M1307="","",M1307+P1307)</x:f>
      </x:c>
      <x:c r="R1307" s="7">
        <x:f>IF(K1307&lt;&gt;"Paid",0,IF(C1307="Income",Q1307,-Q1307))</x:f>
      </x:c>
      <x:c r="S1307" s="14">
        <x:f>IF(A1307="","",DATE(YEAR(A1307),MONTH(A1307),1))</x:f>
      </x:c>
      <x:c r="T1307" s="14">
        <x:f>IF(L1307="","",DATE(YEAR(L1307),MONTH(L1307),1))</x:f>
      </x:c>
    </x:row>
    <x:row r="1308">
      <x:c r="A1308" s="11" t="n"/>
      <x:c r="B1308" s="5" t="n"/>
      <x:c r="C1308" s="12" t="n"/>
      <x:c r="D1308" s="12" t="n"/>
      <x:c r="E1308" s="12" t="n"/>
      <x:c r="F1308" s="12" t="n"/>
      <x:c r="G1308" s="13">
        <x:f>IF(F1308="","",IFERROR(VLOOKUP(F1308,Master_Data!$E$24:$G$33,2,FALSE),"9999"))</x:f>
      </x:c>
      <x:c r="H1308" s="12" t="n"/>
      <x:c r="I1308" s="12" t="n"/>
      <x:c r="J1308" s="12" t="n"/>
      <x:c r="K1308" s="12" t="n"/>
      <x:c r="L1308" s="11" t="n"/>
      <x:c r="M1308" s="9" t="n"/>
      <x:c r="N1308" s="12" t="n"/>
      <x:c r="O1308" s="6">
        <x:f>IF(N1308="","",IFERROR(VLOOKUP(N1308,Master_Data!$A$5:$C$8,3,FALSE),0))</x:f>
      </x:c>
      <x:c r="P1308" s="7">
        <x:f>IF(M1308="","",M1308*O1308)</x:f>
      </x:c>
      <x:c r="Q1308" s="7">
        <x:f>IF(M1308="","",M1308+P1308)</x:f>
      </x:c>
      <x:c r="R1308" s="7">
        <x:f>IF(K1308&lt;&gt;"Paid",0,IF(C1308="Income",Q1308,-Q1308))</x:f>
      </x:c>
      <x:c r="S1308" s="14">
        <x:f>IF(A1308="","",DATE(YEAR(A1308),MONTH(A1308),1))</x:f>
      </x:c>
      <x:c r="T1308" s="14">
        <x:f>IF(L1308="","",DATE(YEAR(L1308),MONTH(L1308),1))</x:f>
      </x:c>
    </x:row>
    <x:row r="1309">
      <x:c r="A1309" s="11" t="n"/>
      <x:c r="B1309" s="5" t="n"/>
      <x:c r="C1309" s="12" t="n"/>
      <x:c r="D1309" s="12" t="n"/>
      <x:c r="E1309" s="12" t="n"/>
      <x:c r="F1309" s="12" t="n"/>
      <x:c r="G1309" s="13">
        <x:f>IF(F1309="","",IFERROR(VLOOKUP(F1309,Master_Data!$E$24:$G$33,2,FALSE),"9999"))</x:f>
      </x:c>
      <x:c r="H1309" s="12" t="n"/>
      <x:c r="I1309" s="12" t="n"/>
      <x:c r="J1309" s="12" t="n"/>
      <x:c r="K1309" s="12" t="n"/>
      <x:c r="L1309" s="11" t="n"/>
      <x:c r="M1309" s="9" t="n"/>
      <x:c r="N1309" s="12" t="n"/>
      <x:c r="O1309" s="6">
        <x:f>IF(N1309="","",IFERROR(VLOOKUP(N1309,Master_Data!$A$5:$C$8,3,FALSE),0))</x:f>
      </x:c>
      <x:c r="P1309" s="7">
        <x:f>IF(M1309="","",M1309*O1309)</x:f>
      </x:c>
      <x:c r="Q1309" s="7">
        <x:f>IF(M1309="","",M1309+P1309)</x:f>
      </x:c>
      <x:c r="R1309" s="7">
        <x:f>IF(K1309&lt;&gt;"Paid",0,IF(C1309="Income",Q1309,-Q1309))</x:f>
      </x:c>
      <x:c r="S1309" s="14">
        <x:f>IF(A1309="","",DATE(YEAR(A1309),MONTH(A1309),1))</x:f>
      </x:c>
      <x:c r="T1309" s="14">
        <x:f>IF(L1309="","",DATE(YEAR(L1309),MONTH(L1309),1))</x:f>
      </x:c>
    </x:row>
    <x:row r="1310">
      <x:c r="A1310" s="11" t="n"/>
      <x:c r="B1310" s="5" t="n"/>
      <x:c r="C1310" s="12" t="n"/>
      <x:c r="D1310" s="12" t="n"/>
      <x:c r="E1310" s="12" t="n"/>
      <x:c r="F1310" s="12" t="n"/>
      <x:c r="G1310" s="13">
        <x:f>IF(F1310="","",IFERROR(VLOOKUP(F1310,Master_Data!$E$24:$G$33,2,FALSE),"9999"))</x:f>
      </x:c>
      <x:c r="H1310" s="12" t="n"/>
      <x:c r="I1310" s="12" t="n"/>
      <x:c r="J1310" s="12" t="n"/>
      <x:c r="K1310" s="12" t="n"/>
      <x:c r="L1310" s="11" t="n"/>
      <x:c r="M1310" s="9" t="n"/>
      <x:c r="N1310" s="12" t="n"/>
      <x:c r="O1310" s="6">
        <x:f>IF(N1310="","",IFERROR(VLOOKUP(N1310,Master_Data!$A$5:$C$8,3,FALSE),0))</x:f>
      </x:c>
      <x:c r="P1310" s="7">
        <x:f>IF(M1310="","",M1310*O1310)</x:f>
      </x:c>
      <x:c r="Q1310" s="7">
        <x:f>IF(M1310="","",M1310+P1310)</x:f>
      </x:c>
      <x:c r="R1310" s="7">
        <x:f>IF(K1310&lt;&gt;"Paid",0,IF(C1310="Income",Q1310,-Q1310))</x:f>
      </x:c>
      <x:c r="S1310" s="14">
        <x:f>IF(A1310="","",DATE(YEAR(A1310),MONTH(A1310),1))</x:f>
      </x:c>
      <x:c r="T1310" s="14">
        <x:f>IF(L1310="","",DATE(YEAR(L1310),MONTH(L1310),1))</x:f>
      </x:c>
    </x:row>
    <x:row r="1311">
      <x:c r="A1311" s="11" t="n"/>
      <x:c r="B1311" s="5" t="n"/>
      <x:c r="C1311" s="12" t="n"/>
      <x:c r="D1311" s="12" t="n"/>
      <x:c r="E1311" s="12" t="n"/>
      <x:c r="F1311" s="12" t="n"/>
      <x:c r="G1311" s="13">
        <x:f>IF(F1311="","",IFERROR(VLOOKUP(F1311,Master_Data!$E$24:$G$33,2,FALSE),"9999"))</x:f>
      </x:c>
      <x:c r="H1311" s="12" t="n"/>
      <x:c r="I1311" s="12" t="n"/>
      <x:c r="J1311" s="12" t="n"/>
      <x:c r="K1311" s="12" t="n"/>
      <x:c r="L1311" s="11" t="n"/>
      <x:c r="M1311" s="9" t="n"/>
      <x:c r="N1311" s="12" t="n"/>
      <x:c r="O1311" s="6">
        <x:f>IF(N1311="","",IFERROR(VLOOKUP(N1311,Master_Data!$A$5:$C$8,3,FALSE),0))</x:f>
      </x:c>
      <x:c r="P1311" s="7">
        <x:f>IF(M1311="","",M1311*O1311)</x:f>
      </x:c>
      <x:c r="Q1311" s="7">
        <x:f>IF(M1311="","",M1311+P1311)</x:f>
      </x:c>
      <x:c r="R1311" s="7">
        <x:f>IF(K1311&lt;&gt;"Paid",0,IF(C1311="Income",Q1311,-Q1311))</x:f>
      </x:c>
      <x:c r="S1311" s="14">
        <x:f>IF(A1311="","",DATE(YEAR(A1311),MONTH(A1311),1))</x:f>
      </x:c>
      <x:c r="T1311" s="14">
        <x:f>IF(L1311="","",DATE(YEAR(L1311),MONTH(L1311),1))</x:f>
      </x:c>
    </x:row>
    <x:row r="1312">
      <x:c r="A1312" s="11" t="n"/>
      <x:c r="B1312" s="5" t="n"/>
      <x:c r="C1312" s="12" t="n"/>
      <x:c r="D1312" s="12" t="n"/>
      <x:c r="E1312" s="12" t="n"/>
      <x:c r="F1312" s="12" t="n"/>
      <x:c r="G1312" s="13">
        <x:f>IF(F1312="","",IFERROR(VLOOKUP(F1312,Master_Data!$E$24:$G$33,2,FALSE),"9999"))</x:f>
      </x:c>
      <x:c r="H1312" s="12" t="n"/>
      <x:c r="I1312" s="12" t="n"/>
      <x:c r="J1312" s="12" t="n"/>
      <x:c r="K1312" s="12" t="n"/>
      <x:c r="L1312" s="11" t="n"/>
      <x:c r="M1312" s="9" t="n"/>
      <x:c r="N1312" s="12" t="n"/>
      <x:c r="O1312" s="6">
        <x:f>IF(N1312="","",IFERROR(VLOOKUP(N1312,Master_Data!$A$5:$C$8,3,FALSE),0))</x:f>
      </x:c>
      <x:c r="P1312" s="7">
        <x:f>IF(M1312="","",M1312*O1312)</x:f>
      </x:c>
      <x:c r="Q1312" s="7">
        <x:f>IF(M1312="","",M1312+P1312)</x:f>
      </x:c>
      <x:c r="R1312" s="7">
        <x:f>IF(K1312&lt;&gt;"Paid",0,IF(C1312="Income",Q1312,-Q1312))</x:f>
      </x:c>
      <x:c r="S1312" s="14">
        <x:f>IF(A1312="","",DATE(YEAR(A1312),MONTH(A1312),1))</x:f>
      </x:c>
      <x:c r="T1312" s="14">
        <x:f>IF(L1312="","",DATE(YEAR(L1312),MONTH(L1312),1))</x:f>
      </x:c>
    </x:row>
    <x:row r="1313">
      <x:c r="A1313" s="11" t="n"/>
      <x:c r="B1313" s="5" t="n"/>
      <x:c r="C1313" s="12" t="n"/>
      <x:c r="D1313" s="12" t="n"/>
      <x:c r="E1313" s="12" t="n"/>
      <x:c r="F1313" s="12" t="n"/>
      <x:c r="G1313" s="13">
        <x:f>IF(F1313="","",IFERROR(VLOOKUP(F1313,Master_Data!$E$24:$G$33,2,FALSE),"9999"))</x:f>
      </x:c>
      <x:c r="H1313" s="12" t="n"/>
      <x:c r="I1313" s="12" t="n"/>
      <x:c r="J1313" s="12" t="n"/>
      <x:c r="K1313" s="12" t="n"/>
      <x:c r="L1313" s="11" t="n"/>
      <x:c r="M1313" s="9" t="n"/>
      <x:c r="N1313" s="12" t="n"/>
      <x:c r="O1313" s="6">
        <x:f>IF(N1313="","",IFERROR(VLOOKUP(N1313,Master_Data!$A$5:$C$8,3,FALSE),0))</x:f>
      </x:c>
      <x:c r="P1313" s="7">
        <x:f>IF(M1313="","",M1313*O1313)</x:f>
      </x:c>
      <x:c r="Q1313" s="7">
        <x:f>IF(M1313="","",M1313+P1313)</x:f>
      </x:c>
      <x:c r="R1313" s="7">
        <x:f>IF(K1313&lt;&gt;"Paid",0,IF(C1313="Income",Q1313,-Q1313))</x:f>
      </x:c>
      <x:c r="S1313" s="14">
        <x:f>IF(A1313="","",DATE(YEAR(A1313),MONTH(A1313),1))</x:f>
      </x:c>
      <x:c r="T1313" s="14">
        <x:f>IF(L1313="","",DATE(YEAR(L1313),MONTH(L1313),1))</x:f>
      </x:c>
    </x:row>
    <x:row r="1314">
      <x:c r="A1314" s="11" t="n"/>
      <x:c r="B1314" s="5" t="n"/>
      <x:c r="C1314" s="12" t="n"/>
      <x:c r="D1314" s="12" t="n"/>
      <x:c r="E1314" s="12" t="n"/>
      <x:c r="F1314" s="12" t="n"/>
      <x:c r="G1314" s="13">
        <x:f>IF(F1314="","",IFERROR(VLOOKUP(F1314,Master_Data!$E$24:$G$33,2,FALSE),"9999"))</x:f>
      </x:c>
      <x:c r="H1314" s="12" t="n"/>
      <x:c r="I1314" s="12" t="n"/>
      <x:c r="J1314" s="12" t="n"/>
      <x:c r="K1314" s="12" t="n"/>
      <x:c r="L1314" s="11" t="n"/>
      <x:c r="M1314" s="9" t="n"/>
      <x:c r="N1314" s="12" t="n"/>
      <x:c r="O1314" s="6">
        <x:f>IF(N1314="","",IFERROR(VLOOKUP(N1314,Master_Data!$A$5:$C$8,3,FALSE),0))</x:f>
      </x:c>
      <x:c r="P1314" s="7">
        <x:f>IF(M1314="","",M1314*O1314)</x:f>
      </x:c>
      <x:c r="Q1314" s="7">
        <x:f>IF(M1314="","",M1314+P1314)</x:f>
      </x:c>
      <x:c r="R1314" s="7">
        <x:f>IF(K1314&lt;&gt;"Paid",0,IF(C1314="Income",Q1314,-Q1314))</x:f>
      </x:c>
      <x:c r="S1314" s="14">
        <x:f>IF(A1314="","",DATE(YEAR(A1314),MONTH(A1314),1))</x:f>
      </x:c>
      <x:c r="T1314" s="14">
        <x:f>IF(L1314="","",DATE(YEAR(L1314),MONTH(L1314),1))</x:f>
      </x:c>
    </x:row>
    <x:row r="1315">
      <x:c r="A1315" s="11" t="n"/>
      <x:c r="B1315" s="5" t="n"/>
      <x:c r="C1315" s="12" t="n"/>
      <x:c r="D1315" s="12" t="n"/>
      <x:c r="E1315" s="12" t="n"/>
      <x:c r="F1315" s="12" t="n"/>
      <x:c r="G1315" s="13">
        <x:f>IF(F1315="","",IFERROR(VLOOKUP(F1315,Master_Data!$E$24:$G$33,2,FALSE),"9999"))</x:f>
      </x:c>
      <x:c r="H1315" s="12" t="n"/>
      <x:c r="I1315" s="12" t="n"/>
      <x:c r="J1315" s="12" t="n"/>
      <x:c r="K1315" s="12" t="n"/>
      <x:c r="L1315" s="11" t="n"/>
      <x:c r="M1315" s="9" t="n"/>
      <x:c r="N1315" s="12" t="n"/>
      <x:c r="O1315" s="6">
        <x:f>IF(N1315="","",IFERROR(VLOOKUP(N1315,Master_Data!$A$5:$C$8,3,FALSE),0))</x:f>
      </x:c>
      <x:c r="P1315" s="7">
        <x:f>IF(M1315="","",M1315*O1315)</x:f>
      </x:c>
      <x:c r="Q1315" s="7">
        <x:f>IF(M1315="","",M1315+P1315)</x:f>
      </x:c>
      <x:c r="R1315" s="7">
        <x:f>IF(K1315&lt;&gt;"Paid",0,IF(C1315="Income",Q1315,-Q1315))</x:f>
      </x:c>
      <x:c r="S1315" s="14">
        <x:f>IF(A1315="","",DATE(YEAR(A1315),MONTH(A1315),1))</x:f>
      </x:c>
      <x:c r="T1315" s="14">
        <x:f>IF(L1315="","",DATE(YEAR(L1315),MONTH(L1315),1))</x:f>
      </x:c>
    </x:row>
    <x:row r="1316">
      <x:c r="A1316" s="11" t="n"/>
      <x:c r="B1316" s="5" t="n"/>
      <x:c r="C1316" s="12" t="n"/>
      <x:c r="D1316" s="12" t="n"/>
      <x:c r="E1316" s="12" t="n"/>
      <x:c r="F1316" s="12" t="n"/>
      <x:c r="G1316" s="13">
        <x:f>IF(F1316="","",IFERROR(VLOOKUP(F1316,Master_Data!$E$24:$G$33,2,FALSE),"9999"))</x:f>
      </x:c>
      <x:c r="H1316" s="12" t="n"/>
      <x:c r="I1316" s="12" t="n"/>
      <x:c r="J1316" s="12" t="n"/>
      <x:c r="K1316" s="12" t="n"/>
      <x:c r="L1316" s="11" t="n"/>
      <x:c r="M1316" s="9" t="n"/>
      <x:c r="N1316" s="12" t="n"/>
      <x:c r="O1316" s="6">
        <x:f>IF(N1316="","",IFERROR(VLOOKUP(N1316,Master_Data!$A$5:$C$8,3,FALSE),0))</x:f>
      </x:c>
      <x:c r="P1316" s="7">
        <x:f>IF(M1316="","",M1316*O1316)</x:f>
      </x:c>
      <x:c r="Q1316" s="7">
        <x:f>IF(M1316="","",M1316+P1316)</x:f>
      </x:c>
      <x:c r="R1316" s="7">
        <x:f>IF(K1316&lt;&gt;"Paid",0,IF(C1316="Income",Q1316,-Q1316))</x:f>
      </x:c>
      <x:c r="S1316" s="14">
        <x:f>IF(A1316="","",DATE(YEAR(A1316),MONTH(A1316),1))</x:f>
      </x:c>
      <x:c r="T1316" s="14">
        <x:f>IF(L1316="","",DATE(YEAR(L1316),MONTH(L1316),1))</x:f>
      </x:c>
    </x:row>
    <x:row r="1317">
      <x:c r="A1317" s="11" t="n"/>
      <x:c r="B1317" s="5" t="n"/>
      <x:c r="C1317" s="12" t="n"/>
      <x:c r="D1317" s="12" t="n"/>
      <x:c r="E1317" s="12" t="n"/>
      <x:c r="F1317" s="12" t="n"/>
      <x:c r="G1317" s="13">
        <x:f>IF(F1317="","",IFERROR(VLOOKUP(F1317,Master_Data!$E$24:$G$33,2,FALSE),"9999"))</x:f>
      </x:c>
      <x:c r="H1317" s="12" t="n"/>
      <x:c r="I1317" s="12" t="n"/>
      <x:c r="J1317" s="12" t="n"/>
      <x:c r="K1317" s="12" t="n"/>
      <x:c r="L1317" s="11" t="n"/>
      <x:c r="M1317" s="9" t="n"/>
      <x:c r="N1317" s="12" t="n"/>
      <x:c r="O1317" s="6">
        <x:f>IF(N1317="","",IFERROR(VLOOKUP(N1317,Master_Data!$A$5:$C$8,3,FALSE),0))</x:f>
      </x:c>
      <x:c r="P1317" s="7">
        <x:f>IF(M1317="","",M1317*O1317)</x:f>
      </x:c>
      <x:c r="Q1317" s="7">
        <x:f>IF(M1317="","",M1317+P1317)</x:f>
      </x:c>
      <x:c r="R1317" s="7">
        <x:f>IF(K1317&lt;&gt;"Paid",0,IF(C1317="Income",Q1317,-Q1317))</x:f>
      </x:c>
      <x:c r="S1317" s="14">
        <x:f>IF(A1317="","",DATE(YEAR(A1317),MONTH(A1317),1))</x:f>
      </x:c>
      <x:c r="T1317" s="14">
        <x:f>IF(L1317="","",DATE(YEAR(L1317),MONTH(L1317),1))</x:f>
      </x:c>
    </x:row>
    <x:row r="1318">
      <x:c r="A1318" s="11" t="n"/>
      <x:c r="B1318" s="5" t="n"/>
      <x:c r="C1318" s="12" t="n"/>
      <x:c r="D1318" s="12" t="n"/>
      <x:c r="E1318" s="12" t="n"/>
      <x:c r="F1318" s="12" t="n"/>
      <x:c r="G1318" s="13">
        <x:f>IF(F1318="","",IFERROR(VLOOKUP(F1318,Master_Data!$E$24:$G$33,2,FALSE),"9999"))</x:f>
      </x:c>
      <x:c r="H1318" s="12" t="n"/>
      <x:c r="I1318" s="12" t="n"/>
      <x:c r="J1318" s="12" t="n"/>
      <x:c r="K1318" s="12" t="n"/>
      <x:c r="L1318" s="11" t="n"/>
      <x:c r="M1318" s="9" t="n"/>
      <x:c r="N1318" s="12" t="n"/>
      <x:c r="O1318" s="6">
        <x:f>IF(N1318="","",IFERROR(VLOOKUP(N1318,Master_Data!$A$5:$C$8,3,FALSE),0))</x:f>
      </x:c>
      <x:c r="P1318" s="7">
        <x:f>IF(M1318="","",M1318*O1318)</x:f>
      </x:c>
      <x:c r="Q1318" s="7">
        <x:f>IF(M1318="","",M1318+P1318)</x:f>
      </x:c>
      <x:c r="R1318" s="7">
        <x:f>IF(K1318&lt;&gt;"Paid",0,IF(C1318="Income",Q1318,-Q1318))</x:f>
      </x:c>
      <x:c r="S1318" s="14">
        <x:f>IF(A1318="","",DATE(YEAR(A1318),MONTH(A1318),1))</x:f>
      </x:c>
      <x:c r="T1318" s="14">
        <x:f>IF(L1318="","",DATE(YEAR(L1318),MONTH(L1318),1))</x:f>
      </x:c>
    </x:row>
    <x:row r="1319">
      <x:c r="A1319" s="11" t="n"/>
      <x:c r="B1319" s="5" t="n"/>
      <x:c r="C1319" s="12" t="n"/>
      <x:c r="D1319" s="12" t="n"/>
      <x:c r="E1319" s="12" t="n"/>
      <x:c r="F1319" s="12" t="n"/>
      <x:c r="G1319" s="13">
        <x:f>IF(F1319="","",IFERROR(VLOOKUP(F1319,Master_Data!$E$24:$G$33,2,FALSE),"9999"))</x:f>
      </x:c>
      <x:c r="H1319" s="12" t="n"/>
      <x:c r="I1319" s="12" t="n"/>
      <x:c r="J1319" s="12" t="n"/>
      <x:c r="K1319" s="12" t="n"/>
      <x:c r="L1319" s="11" t="n"/>
      <x:c r="M1319" s="9" t="n"/>
      <x:c r="N1319" s="12" t="n"/>
      <x:c r="O1319" s="6">
        <x:f>IF(N1319="","",IFERROR(VLOOKUP(N1319,Master_Data!$A$5:$C$8,3,FALSE),0))</x:f>
      </x:c>
      <x:c r="P1319" s="7">
        <x:f>IF(M1319="","",M1319*O1319)</x:f>
      </x:c>
      <x:c r="Q1319" s="7">
        <x:f>IF(M1319="","",M1319+P1319)</x:f>
      </x:c>
      <x:c r="R1319" s="7">
        <x:f>IF(K1319&lt;&gt;"Paid",0,IF(C1319="Income",Q1319,-Q1319))</x:f>
      </x:c>
      <x:c r="S1319" s="14">
        <x:f>IF(A1319="","",DATE(YEAR(A1319),MONTH(A1319),1))</x:f>
      </x:c>
      <x:c r="T1319" s="14">
        <x:f>IF(L1319="","",DATE(YEAR(L1319),MONTH(L1319),1))</x:f>
      </x:c>
    </x:row>
    <x:row r="1320">
      <x:c r="A1320" s="11" t="n"/>
      <x:c r="B1320" s="5" t="n"/>
      <x:c r="C1320" s="12" t="n"/>
      <x:c r="D1320" s="12" t="n"/>
      <x:c r="E1320" s="12" t="n"/>
      <x:c r="F1320" s="12" t="n"/>
      <x:c r="G1320" s="13">
        <x:f>IF(F1320="","",IFERROR(VLOOKUP(F1320,Master_Data!$E$24:$G$33,2,FALSE),"9999"))</x:f>
      </x:c>
      <x:c r="H1320" s="12" t="n"/>
      <x:c r="I1320" s="12" t="n"/>
      <x:c r="J1320" s="12" t="n"/>
      <x:c r="K1320" s="12" t="n"/>
      <x:c r="L1320" s="11" t="n"/>
      <x:c r="M1320" s="9" t="n"/>
      <x:c r="N1320" s="12" t="n"/>
      <x:c r="O1320" s="6">
        <x:f>IF(N1320="","",IFERROR(VLOOKUP(N1320,Master_Data!$A$5:$C$8,3,FALSE),0))</x:f>
      </x:c>
      <x:c r="P1320" s="7">
        <x:f>IF(M1320="","",M1320*O1320)</x:f>
      </x:c>
      <x:c r="Q1320" s="7">
        <x:f>IF(M1320="","",M1320+P1320)</x:f>
      </x:c>
      <x:c r="R1320" s="7">
        <x:f>IF(K1320&lt;&gt;"Paid",0,IF(C1320="Income",Q1320,-Q1320))</x:f>
      </x:c>
      <x:c r="S1320" s="14">
        <x:f>IF(A1320="","",DATE(YEAR(A1320),MONTH(A1320),1))</x:f>
      </x:c>
      <x:c r="T1320" s="14">
        <x:f>IF(L1320="","",DATE(YEAR(L1320),MONTH(L1320),1))</x:f>
      </x:c>
    </x:row>
    <x:row r="1321">
      <x:c r="A1321" s="11" t="n"/>
      <x:c r="B1321" s="5" t="n"/>
      <x:c r="C1321" s="12" t="n"/>
      <x:c r="D1321" s="12" t="n"/>
      <x:c r="E1321" s="12" t="n"/>
      <x:c r="F1321" s="12" t="n"/>
      <x:c r="G1321" s="13">
        <x:f>IF(F1321="","",IFERROR(VLOOKUP(F1321,Master_Data!$E$24:$G$33,2,FALSE),"9999"))</x:f>
      </x:c>
      <x:c r="H1321" s="12" t="n"/>
      <x:c r="I1321" s="12" t="n"/>
      <x:c r="J1321" s="12" t="n"/>
      <x:c r="K1321" s="12" t="n"/>
      <x:c r="L1321" s="11" t="n"/>
      <x:c r="M1321" s="9" t="n"/>
      <x:c r="N1321" s="12" t="n"/>
      <x:c r="O1321" s="6">
        <x:f>IF(N1321="","",IFERROR(VLOOKUP(N1321,Master_Data!$A$5:$C$8,3,FALSE),0))</x:f>
      </x:c>
      <x:c r="P1321" s="7">
        <x:f>IF(M1321="","",M1321*O1321)</x:f>
      </x:c>
      <x:c r="Q1321" s="7">
        <x:f>IF(M1321="","",M1321+P1321)</x:f>
      </x:c>
      <x:c r="R1321" s="7">
        <x:f>IF(K1321&lt;&gt;"Paid",0,IF(C1321="Income",Q1321,-Q1321))</x:f>
      </x:c>
      <x:c r="S1321" s="14">
        <x:f>IF(A1321="","",DATE(YEAR(A1321),MONTH(A1321),1))</x:f>
      </x:c>
      <x:c r="T1321" s="14">
        <x:f>IF(L1321="","",DATE(YEAR(L1321),MONTH(L1321),1))</x:f>
      </x:c>
    </x:row>
    <x:row r="1322">
      <x:c r="A1322" s="11" t="n"/>
      <x:c r="B1322" s="5" t="n"/>
      <x:c r="C1322" s="12" t="n"/>
      <x:c r="D1322" s="12" t="n"/>
      <x:c r="E1322" s="12" t="n"/>
      <x:c r="F1322" s="12" t="n"/>
      <x:c r="G1322" s="13">
        <x:f>IF(F1322="","",IFERROR(VLOOKUP(F1322,Master_Data!$E$24:$G$33,2,FALSE),"9999"))</x:f>
      </x:c>
      <x:c r="H1322" s="12" t="n"/>
      <x:c r="I1322" s="12" t="n"/>
      <x:c r="J1322" s="12" t="n"/>
      <x:c r="K1322" s="12" t="n"/>
      <x:c r="L1322" s="11" t="n"/>
      <x:c r="M1322" s="9" t="n"/>
      <x:c r="N1322" s="12" t="n"/>
      <x:c r="O1322" s="6">
        <x:f>IF(N1322="","",IFERROR(VLOOKUP(N1322,Master_Data!$A$5:$C$8,3,FALSE),0))</x:f>
      </x:c>
      <x:c r="P1322" s="7">
        <x:f>IF(M1322="","",M1322*O1322)</x:f>
      </x:c>
      <x:c r="Q1322" s="7">
        <x:f>IF(M1322="","",M1322+P1322)</x:f>
      </x:c>
      <x:c r="R1322" s="7">
        <x:f>IF(K1322&lt;&gt;"Paid",0,IF(C1322="Income",Q1322,-Q1322))</x:f>
      </x:c>
      <x:c r="S1322" s="14">
        <x:f>IF(A1322="","",DATE(YEAR(A1322),MONTH(A1322),1))</x:f>
      </x:c>
      <x:c r="T1322" s="14">
        <x:f>IF(L1322="","",DATE(YEAR(L1322),MONTH(L1322),1))</x:f>
      </x:c>
    </x:row>
    <x:row r="1323">
      <x:c r="A1323" s="11" t="n"/>
      <x:c r="B1323" s="5" t="n"/>
      <x:c r="C1323" s="12" t="n"/>
      <x:c r="D1323" s="12" t="n"/>
      <x:c r="E1323" s="12" t="n"/>
      <x:c r="F1323" s="12" t="n"/>
      <x:c r="G1323" s="13">
        <x:f>IF(F1323="","",IFERROR(VLOOKUP(F1323,Master_Data!$E$24:$G$33,2,FALSE),"9999"))</x:f>
      </x:c>
      <x:c r="H1323" s="12" t="n"/>
      <x:c r="I1323" s="12" t="n"/>
      <x:c r="J1323" s="12" t="n"/>
      <x:c r="K1323" s="12" t="n"/>
      <x:c r="L1323" s="11" t="n"/>
      <x:c r="M1323" s="9" t="n"/>
      <x:c r="N1323" s="12" t="n"/>
      <x:c r="O1323" s="6">
        <x:f>IF(N1323="","",IFERROR(VLOOKUP(N1323,Master_Data!$A$5:$C$8,3,FALSE),0))</x:f>
      </x:c>
      <x:c r="P1323" s="7">
        <x:f>IF(M1323="","",M1323*O1323)</x:f>
      </x:c>
      <x:c r="Q1323" s="7">
        <x:f>IF(M1323="","",M1323+P1323)</x:f>
      </x:c>
      <x:c r="R1323" s="7">
        <x:f>IF(K1323&lt;&gt;"Paid",0,IF(C1323="Income",Q1323,-Q1323))</x:f>
      </x:c>
      <x:c r="S1323" s="14">
        <x:f>IF(A1323="","",DATE(YEAR(A1323),MONTH(A1323),1))</x:f>
      </x:c>
      <x:c r="T1323" s="14">
        <x:f>IF(L1323="","",DATE(YEAR(L1323),MONTH(L1323),1))</x:f>
      </x:c>
    </x:row>
    <x:row r="1324">
      <x:c r="A1324" s="11" t="n"/>
      <x:c r="B1324" s="5" t="n"/>
      <x:c r="C1324" s="12" t="n"/>
      <x:c r="D1324" s="12" t="n"/>
      <x:c r="E1324" s="12" t="n"/>
      <x:c r="F1324" s="12" t="n"/>
      <x:c r="G1324" s="13">
        <x:f>IF(F1324="","",IFERROR(VLOOKUP(F1324,Master_Data!$E$24:$G$33,2,FALSE),"9999"))</x:f>
      </x:c>
      <x:c r="H1324" s="12" t="n"/>
      <x:c r="I1324" s="12" t="n"/>
      <x:c r="J1324" s="12" t="n"/>
      <x:c r="K1324" s="12" t="n"/>
      <x:c r="L1324" s="11" t="n"/>
      <x:c r="M1324" s="9" t="n"/>
      <x:c r="N1324" s="12" t="n"/>
      <x:c r="O1324" s="6">
        <x:f>IF(N1324="","",IFERROR(VLOOKUP(N1324,Master_Data!$A$5:$C$8,3,FALSE),0))</x:f>
      </x:c>
      <x:c r="P1324" s="7">
        <x:f>IF(M1324="","",M1324*O1324)</x:f>
      </x:c>
      <x:c r="Q1324" s="7">
        <x:f>IF(M1324="","",M1324+P1324)</x:f>
      </x:c>
      <x:c r="R1324" s="7">
        <x:f>IF(K1324&lt;&gt;"Paid",0,IF(C1324="Income",Q1324,-Q1324))</x:f>
      </x:c>
      <x:c r="S1324" s="14">
        <x:f>IF(A1324="","",DATE(YEAR(A1324),MONTH(A1324),1))</x:f>
      </x:c>
      <x:c r="T1324" s="14">
        <x:f>IF(L1324="","",DATE(YEAR(L1324),MONTH(L1324),1))</x:f>
      </x:c>
    </x:row>
    <x:row r="1325">
      <x:c r="A1325" s="11" t="n"/>
      <x:c r="B1325" s="5" t="n"/>
      <x:c r="C1325" s="12" t="n"/>
      <x:c r="D1325" s="12" t="n"/>
      <x:c r="E1325" s="12" t="n"/>
      <x:c r="F1325" s="12" t="n"/>
      <x:c r="G1325" s="13">
        <x:f>IF(F1325="","",IFERROR(VLOOKUP(F1325,Master_Data!$E$24:$G$33,2,FALSE),"9999"))</x:f>
      </x:c>
      <x:c r="H1325" s="12" t="n"/>
      <x:c r="I1325" s="12" t="n"/>
      <x:c r="J1325" s="12" t="n"/>
      <x:c r="K1325" s="12" t="n"/>
      <x:c r="L1325" s="11" t="n"/>
      <x:c r="M1325" s="9" t="n"/>
      <x:c r="N1325" s="12" t="n"/>
      <x:c r="O1325" s="6">
        <x:f>IF(N1325="","",IFERROR(VLOOKUP(N1325,Master_Data!$A$5:$C$8,3,FALSE),0))</x:f>
      </x:c>
      <x:c r="P1325" s="7">
        <x:f>IF(M1325="","",M1325*O1325)</x:f>
      </x:c>
      <x:c r="Q1325" s="7">
        <x:f>IF(M1325="","",M1325+P1325)</x:f>
      </x:c>
      <x:c r="R1325" s="7">
        <x:f>IF(K1325&lt;&gt;"Paid",0,IF(C1325="Income",Q1325,-Q1325))</x:f>
      </x:c>
      <x:c r="S1325" s="14">
        <x:f>IF(A1325="","",DATE(YEAR(A1325),MONTH(A1325),1))</x:f>
      </x:c>
      <x:c r="T1325" s="14">
        <x:f>IF(L1325="","",DATE(YEAR(L1325),MONTH(L1325),1))</x:f>
      </x:c>
    </x:row>
    <x:row r="1326">
      <x:c r="A1326" s="11" t="n"/>
      <x:c r="B1326" s="5" t="n"/>
      <x:c r="C1326" s="12" t="n"/>
      <x:c r="D1326" s="12" t="n"/>
      <x:c r="E1326" s="12" t="n"/>
      <x:c r="F1326" s="12" t="n"/>
      <x:c r="G1326" s="13">
        <x:f>IF(F1326="","",IFERROR(VLOOKUP(F1326,Master_Data!$E$24:$G$33,2,FALSE),"9999"))</x:f>
      </x:c>
      <x:c r="H1326" s="12" t="n"/>
      <x:c r="I1326" s="12" t="n"/>
      <x:c r="J1326" s="12" t="n"/>
      <x:c r="K1326" s="12" t="n"/>
      <x:c r="L1326" s="11" t="n"/>
      <x:c r="M1326" s="9" t="n"/>
      <x:c r="N1326" s="12" t="n"/>
      <x:c r="O1326" s="6">
        <x:f>IF(N1326="","",IFERROR(VLOOKUP(N1326,Master_Data!$A$5:$C$8,3,FALSE),0))</x:f>
      </x:c>
      <x:c r="P1326" s="7">
        <x:f>IF(M1326="","",M1326*O1326)</x:f>
      </x:c>
      <x:c r="Q1326" s="7">
        <x:f>IF(M1326="","",M1326+P1326)</x:f>
      </x:c>
      <x:c r="R1326" s="7">
        <x:f>IF(K1326&lt;&gt;"Paid",0,IF(C1326="Income",Q1326,-Q1326))</x:f>
      </x:c>
      <x:c r="S1326" s="14">
        <x:f>IF(A1326="","",DATE(YEAR(A1326),MONTH(A1326),1))</x:f>
      </x:c>
      <x:c r="T1326" s="14">
        <x:f>IF(L1326="","",DATE(YEAR(L1326),MONTH(L1326),1))</x:f>
      </x:c>
    </x:row>
    <x:row r="1327">
      <x:c r="A1327" s="11" t="n"/>
      <x:c r="B1327" s="5" t="n"/>
      <x:c r="C1327" s="12" t="n"/>
      <x:c r="D1327" s="12" t="n"/>
      <x:c r="E1327" s="12" t="n"/>
      <x:c r="F1327" s="12" t="n"/>
      <x:c r="G1327" s="13">
        <x:f>IF(F1327="","",IFERROR(VLOOKUP(F1327,Master_Data!$E$24:$G$33,2,FALSE),"9999"))</x:f>
      </x:c>
      <x:c r="H1327" s="12" t="n"/>
      <x:c r="I1327" s="12" t="n"/>
      <x:c r="J1327" s="12" t="n"/>
      <x:c r="K1327" s="12" t="n"/>
      <x:c r="L1327" s="11" t="n"/>
      <x:c r="M1327" s="9" t="n"/>
      <x:c r="N1327" s="12" t="n"/>
      <x:c r="O1327" s="6">
        <x:f>IF(N1327="","",IFERROR(VLOOKUP(N1327,Master_Data!$A$5:$C$8,3,FALSE),0))</x:f>
      </x:c>
      <x:c r="P1327" s="7">
        <x:f>IF(M1327="","",M1327*O1327)</x:f>
      </x:c>
      <x:c r="Q1327" s="7">
        <x:f>IF(M1327="","",M1327+P1327)</x:f>
      </x:c>
      <x:c r="R1327" s="7">
        <x:f>IF(K1327&lt;&gt;"Paid",0,IF(C1327="Income",Q1327,-Q1327))</x:f>
      </x:c>
      <x:c r="S1327" s="14">
        <x:f>IF(A1327="","",DATE(YEAR(A1327),MONTH(A1327),1))</x:f>
      </x:c>
      <x:c r="T1327" s="14">
        <x:f>IF(L1327="","",DATE(YEAR(L1327),MONTH(L1327),1))</x:f>
      </x:c>
    </x:row>
    <x:row r="1328">
      <x:c r="A1328" s="11" t="n"/>
      <x:c r="B1328" s="5" t="n"/>
      <x:c r="C1328" s="12" t="n"/>
      <x:c r="D1328" s="12" t="n"/>
      <x:c r="E1328" s="12" t="n"/>
      <x:c r="F1328" s="12" t="n"/>
      <x:c r="G1328" s="13">
        <x:f>IF(F1328="","",IFERROR(VLOOKUP(F1328,Master_Data!$E$24:$G$33,2,FALSE),"9999"))</x:f>
      </x:c>
      <x:c r="H1328" s="12" t="n"/>
      <x:c r="I1328" s="12" t="n"/>
      <x:c r="J1328" s="12" t="n"/>
      <x:c r="K1328" s="12" t="n"/>
      <x:c r="L1328" s="11" t="n"/>
      <x:c r="M1328" s="9" t="n"/>
      <x:c r="N1328" s="12" t="n"/>
      <x:c r="O1328" s="6">
        <x:f>IF(N1328="","",IFERROR(VLOOKUP(N1328,Master_Data!$A$5:$C$8,3,FALSE),0))</x:f>
      </x:c>
      <x:c r="P1328" s="7">
        <x:f>IF(M1328="","",M1328*O1328)</x:f>
      </x:c>
      <x:c r="Q1328" s="7">
        <x:f>IF(M1328="","",M1328+P1328)</x:f>
      </x:c>
      <x:c r="R1328" s="7">
        <x:f>IF(K1328&lt;&gt;"Paid",0,IF(C1328="Income",Q1328,-Q1328))</x:f>
      </x:c>
      <x:c r="S1328" s="14">
        <x:f>IF(A1328="","",DATE(YEAR(A1328),MONTH(A1328),1))</x:f>
      </x:c>
      <x:c r="T1328" s="14">
        <x:f>IF(L1328="","",DATE(YEAR(L1328),MONTH(L1328),1))</x:f>
      </x:c>
    </x:row>
    <x:row r="1329">
      <x:c r="A1329" s="11" t="n"/>
      <x:c r="B1329" s="5" t="n"/>
      <x:c r="C1329" s="12" t="n"/>
      <x:c r="D1329" s="12" t="n"/>
      <x:c r="E1329" s="12" t="n"/>
      <x:c r="F1329" s="12" t="n"/>
      <x:c r="G1329" s="13">
        <x:f>IF(F1329="","",IFERROR(VLOOKUP(F1329,Master_Data!$E$24:$G$33,2,FALSE),"9999"))</x:f>
      </x:c>
      <x:c r="H1329" s="12" t="n"/>
      <x:c r="I1329" s="12" t="n"/>
      <x:c r="J1329" s="12" t="n"/>
      <x:c r="K1329" s="12" t="n"/>
      <x:c r="L1329" s="11" t="n"/>
      <x:c r="M1329" s="9" t="n"/>
      <x:c r="N1329" s="12" t="n"/>
      <x:c r="O1329" s="6">
        <x:f>IF(N1329="","",IFERROR(VLOOKUP(N1329,Master_Data!$A$5:$C$8,3,FALSE),0))</x:f>
      </x:c>
      <x:c r="P1329" s="7">
        <x:f>IF(M1329="","",M1329*O1329)</x:f>
      </x:c>
      <x:c r="Q1329" s="7">
        <x:f>IF(M1329="","",M1329+P1329)</x:f>
      </x:c>
      <x:c r="R1329" s="7">
        <x:f>IF(K1329&lt;&gt;"Paid",0,IF(C1329="Income",Q1329,-Q1329))</x:f>
      </x:c>
      <x:c r="S1329" s="14">
        <x:f>IF(A1329="","",DATE(YEAR(A1329),MONTH(A1329),1))</x:f>
      </x:c>
      <x:c r="T1329" s="14">
        <x:f>IF(L1329="","",DATE(YEAR(L1329),MONTH(L1329),1))</x:f>
      </x:c>
    </x:row>
    <x:row r="1330">
      <x:c r="A1330" s="11" t="n"/>
      <x:c r="B1330" s="5" t="n"/>
      <x:c r="C1330" s="12" t="n"/>
      <x:c r="D1330" s="12" t="n"/>
      <x:c r="E1330" s="12" t="n"/>
      <x:c r="F1330" s="12" t="n"/>
      <x:c r="G1330" s="13">
        <x:f>IF(F1330="","",IFERROR(VLOOKUP(F1330,Master_Data!$E$24:$G$33,2,FALSE),"9999"))</x:f>
      </x:c>
      <x:c r="H1330" s="12" t="n"/>
      <x:c r="I1330" s="12" t="n"/>
      <x:c r="J1330" s="12" t="n"/>
      <x:c r="K1330" s="12" t="n"/>
      <x:c r="L1330" s="11" t="n"/>
      <x:c r="M1330" s="9" t="n"/>
      <x:c r="N1330" s="12" t="n"/>
      <x:c r="O1330" s="6">
        <x:f>IF(N1330="","",IFERROR(VLOOKUP(N1330,Master_Data!$A$5:$C$8,3,FALSE),0))</x:f>
      </x:c>
      <x:c r="P1330" s="7">
        <x:f>IF(M1330="","",M1330*O1330)</x:f>
      </x:c>
      <x:c r="Q1330" s="7">
        <x:f>IF(M1330="","",M1330+P1330)</x:f>
      </x:c>
      <x:c r="R1330" s="7">
        <x:f>IF(K1330&lt;&gt;"Paid",0,IF(C1330="Income",Q1330,-Q1330))</x:f>
      </x:c>
      <x:c r="S1330" s="14">
        <x:f>IF(A1330="","",DATE(YEAR(A1330),MONTH(A1330),1))</x:f>
      </x:c>
      <x:c r="T1330" s="14">
        <x:f>IF(L1330="","",DATE(YEAR(L1330),MONTH(L1330),1))</x:f>
      </x:c>
    </x:row>
    <x:row r="1331">
      <x:c r="A1331" s="11" t="n"/>
      <x:c r="B1331" s="5" t="n"/>
      <x:c r="C1331" s="12" t="n"/>
      <x:c r="D1331" s="12" t="n"/>
      <x:c r="E1331" s="12" t="n"/>
      <x:c r="F1331" s="12" t="n"/>
      <x:c r="G1331" s="13">
        <x:f>IF(F1331="","",IFERROR(VLOOKUP(F1331,Master_Data!$E$24:$G$33,2,FALSE),"9999"))</x:f>
      </x:c>
      <x:c r="H1331" s="12" t="n"/>
      <x:c r="I1331" s="12" t="n"/>
      <x:c r="J1331" s="12" t="n"/>
      <x:c r="K1331" s="12" t="n"/>
      <x:c r="L1331" s="11" t="n"/>
      <x:c r="M1331" s="9" t="n"/>
      <x:c r="N1331" s="12" t="n"/>
      <x:c r="O1331" s="6">
        <x:f>IF(N1331="","",IFERROR(VLOOKUP(N1331,Master_Data!$A$5:$C$8,3,FALSE),0))</x:f>
      </x:c>
      <x:c r="P1331" s="7">
        <x:f>IF(M1331="","",M1331*O1331)</x:f>
      </x:c>
      <x:c r="Q1331" s="7">
        <x:f>IF(M1331="","",M1331+P1331)</x:f>
      </x:c>
      <x:c r="R1331" s="7">
        <x:f>IF(K1331&lt;&gt;"Paid",0,IF(C1331="Income",Q1331,-Q1331))</x:f>
      </x:c>
      <x:c r="S1331" s="14">
        <x:f>IF(A1331="","",DATE(YEAR(A1331),MONTH(A1331),1))</x:f>
      </x:c>
      <x:c r="T1331" s="14">
        <x:f>IF(L1331="","",DATE(YEAR(L1331),MONTH(L1331),1))</x:f>
      </x:c>
    </x:row>
    <x:row r="1332">
      <x:c r="A1332" s="11" t="n"/>
      <x:c r="B1332" s="5" t="n"/>
      <x:c r="C1332" s="12" t="n"/>
      <x:c r="D1332" s="12" t="n"/>
      <x:c r="E1332" s="12" t="n"/>
      <x:c r="F1332" s="12" t="n"/>
      <x:c r="G1332" s="13">
        <x:f>IF(F1332="","",IFERROR(VLOOKUP(F1332,Master_Data!$E$24:$G$33,2,FALSE),"9999"))</x:f>
      </x:c>
      <x:c r="H1332" s="12" t="n"/>
      <x:c r="I1332" s="12" t="n"/>
      <x:c r="J1332" s="12" t="n"/>
      <x:c r="K1332" s="12" t="n"/>
      <x:c r="L1332" s="11" t="n"/>
      <x:c r="M1332" s="9" t="n"/>
      <x:c r="N1332" s="12" t="n"/>
      <x:c r="O1332" s="6">
        <x:f>IF(N1332="","",IFERROR(VLOOKUP(N1332,Master_Data!$A$5:$C$8,3,FALSE),0))</x:f>
      </x:c>
      <x:c r="P1332" s="7">
        <x:f>IF(M1332="","",M1332*O1332)</x:f>
      </x:c>
      <x:c r="Q1332" s="7">
        <x:f>IF(M1332="","",M1332+P1332)</x:f>
      </x:c>
      <x:c r="R1332" s="7">
        <x:f>IF(K1332&lt;&gt;"Paid",0,IF(C1332="Income",Q1332,-Q1332))</x:f>
      </x:c>
      <x:c r="S1332" s="14">
        <x:f>IF(A1332="","",DATE(YEAR(A1332),MONTH(A1332),1))</x:f>
      </x:c>
      <x:c r="T1332" s="14">
        <x:f>IF(L1332="","",DATE(YEAR(L1332),MONTH(L1332),1))</x:f>
      </x:c>
    </x:row>
    <x:row r="1333">
      <x:c r="A1333" s="11" t="n"/>
      <x:c r="B1333" s="5" t="n"/>
      <x:c r="C1333" s="12" t="n"/>
      <x:c r="D1333" s="12" t="n"/>
      <x:c r="E1333" s="12" t="n"/>
      <x:c r="F1333" s="12" t="n"/>
      <x:c r="G1333" s="13">
        <x:f>IF(F1333="","",IFERROR(VLOOKUP(F1333,Master_Data!$E$24:$G$33,2,FALSE),"9999"))</x:f>
      </x:c>
      <x:c r="H1333" s="12" t="n"/>
      <x:c r="I1333" s="12" t="n"/>
      <x:c r="J1333" s="12" t="n"/>
      <x:c r="K1333" s="12" t="n"/>
      <x:c r="L1333" s="11" t="n"/>
      <x:c r="M1333" s="9" t="n"/>
      <x:c r="N1333" s="12" t="n"/>
      <x:c r="O1333" s="6">
        <x:f>IF(N1333="","",IFERROR(VLOOKUP(N1333,Master_Data!$A$5:$C$8,3,FALSE),0))</x:f>
      </x:c>
      <x:c r="P1333" s="7">
        <x:f>IF(M1333="","",M1333*O1333)</x:f>
      </x:c>
      <x:c r="Q1333" s="7">
        <x:f>IF(M1333="","",M1333+P1333)</x:f>
      </x:c>
      <x:c r="R1333" s="7">
        <x:f>IF(K1333&lt;&gt;"Paid",0,IF(C1333="Income",Q1333,-Q1333))</x:f>
      </x:c>
      <x:c r="S1333" s="14">
        <x:f>IF(A1333="","",DATE(YEAR(A1333),MONTH(A1333),1))</x:f>
      </x:c>
      <x:c r="T1333" s="14">
        <x:f>IF(L1333="","",DATE(YEAR(L1333),MONTH(L1333),1))</x:f>
      </x:c>
    </x:row>
    <x:row r="1334">
      <x:c r="A1334" s="11" t="n"/>
      <x:c r="B1334" s="5" t="n"/>
      <x:c r="C1334" s="12" t="n"/>
      <x:c r="D1334" s="12" t="n"/>
      <x:c r="E1334" s="12" t="n"/>
      <x:c r="F1334" s="12" t="n"/>
      <x:c r="G1334" s="13">
        <x:f>IF(F1334="","",IFERROR(VLOOKUP(F1334,Master_Data!$E$24:$G$33,2,FALSE),"9999"))</x:f>
      </x:c>
      <x:c r="H1334" s="12" t="n"/>
      <x:c r="I1334" s="12" t="n"/>
      <x:c r="J1334" s="12" t="n"/>
      <x:c r="K1334" s="12" t="n"/>
      <x:c r="L1334" s="11" t="n"/>
      <x:c r="M1334" s="9" t="n"/>
      <x:c r="N1334" s="12" t="n"/>
      <x:c r="O1334" s="6">
        <x:f>IF(N1334="","",IFERROR(VLOOKUP(N1334,Master_Data!$A$5:$C$8,3,FALSE),0))</x:f>
      </x:c>
      <x:c r="P1334" s="7">
        <x:f>IF(M1334="","",M1334*O1334)</x:f>
      </x:c>
      <x:c r="Q1334" s="7">
        <x:f>IF(M1334="","",M1334+P1334)</x:f>
      </x:c>
      <x:c r="R1334" s="7">
        <x:f>IF(K1334&lt;&gt;"Paid",0,IF(C1334="Income",Q1334,-Q1334))</x:f>
      </x:c>
      <x:c r="S1334" s="14">
        <x:f>IF(A1334="","",DATE(YEAR(A1334),MONTH(A1334),1))</x:f>
      </x:c>
      <x:c r="T1334" s="14">
        <x:f>IF(L1334="","",DATE(YEAR(L1334),MONTH(L1334),1))</x:f>
      </x:c>
    </x:row>
    <x:row r="1335">
      <x:c r="A1335" s="11" t="n"/>
      <x:c r="B1335" s="5" t="n"/>
      <x:c r="C1335" s="12" t="n"/>
      <x:c r="D1335" s="12" t="n"/>
      <x:c r="E1335" s="12" t="n"/>
      <x:c r="F1335" s="12" t="n"/>
      <x:c r="G1335" s="13">
        <x:f>IF(F1335="","",IFERROR(VLOOKUP(F1335,Master_Data!$E$24:$G$33,2,FALSE),"9999"))</x:f>
      </x:c>
      <x:c r="H1335" s="12" t="n"/>
      <x:c r="I1335" s="12" t="n"/>
      <x:c r="J1335" s="12" t="n"/>
      <x:c r="K1335" s="12" t="n"/>
      <x:c r="L1335" s="11" t="n"/>
      <x:c r="M1335" s="9" t="n"/>
      <x:c r="N1335" s="12" t="n"/>
      <x:c r="O1335" s="6">
        <x:f>IF(N1335="","",IFERROR(VLOOKUP(N1335,Master_Data!$A$5:$C$8,3,FALSE),0))</x:f>
      </x:c>
      <x:c r="P1335" s="7">
        <x:f>IF(M1335="","",M1335*O1335)</x:f>
      </x:c>
      <x:c r="Q1335" s="7">
        <x:f>IF(M1335="","",M1335+P1335)</x:f>
      </x:c>
      <x:c r="R1335" s="7">
        <x:f>IF(K1335&lt;&gt;"Paid",0,IF(C1335="Income",Q1335,-Q1335))</x:f>
      </x:c>
      <x:c r="S1335" s="14">
        <x:f>IF(A1335="","",DATE(YEAR(A1335),MONTH(A1335),1))</x:f>
      </x:c>
      <x:c r="T1335" s="14">
        <x:f>IF(L1335="","",DATE(YEAR(L1335),MONTH(L1335),1))</x:f>
      </x:c>
    </x:row>
    <x:row r="1336">
      <x:c r="A1336" s="11" t="n"/>
      <x:c r="B1336" s="5" t="n"/>
      <x:c r="C1336" s="12" t="n"/>
      <x:c r="D1336" s="12" t="n"/>
      <x:c r="E1336" s="12" t="n"/>
      <x:c r="F1336" s="12" t="n"/>
      <x:c r="G1336" s="13">
        <x:f>IF(F1336="","",IFERROR(VLOOKUP(F1336,Master_Data!$E$24:$G$33,2,FALSE),"9999"))</x:f>
      </x:c>
      <x:c r="H1336" s="12" t="n"/>
      <x:c r="I1336" s="12" t="n"/>
      <x:c r="J1336" s="12" t="n"/>
      <x:c r="K1336" s="12" t="n"/>
      <x:c r="L1336" s="11" t="n"/>
      <x:c r="M1336" s="9" t="n"/>
      <x:c r="N1336" s="12" t="n"/>
      <x:c r="O1336" s="6">
        <x:f>IF(N1336="","",IFERROR(VLOOKUP(N1336,Master_Data!$A$5:$C$8,3,FALSE),0))</x:f>
      </x:c>
      <x:c r="P1336" s="7">
        <x:f>IF(M1336="","",M1336*O1336)</x:f>
      </x:c>
      <x:c r="Q1336" s="7">
        <x:f>IF(M1336="","",M1336+P1336)</x:f>
      </x:c>
      <x:c r="R1336" s="7">
        <x:f>IF(K1336&lt;&gt;"Paid",0,IF(C1336="Income",Q1336,-Q1336))</x:f>
      </x:c>
      <x:c r="S1336" s="14">
        <x:f>IF(A1336="","",DATE(YEAR(A1336),MONTH(A1336),1))</x:f>
      </x:c>
      <x:c r="T1336" s="14">
        <x:f>IF(L1336="","",DATE(YEAR(L1336),MONTH(L1336),1))</x:f>
      </x:c>
    </x:row>
    <x:row r="1337">
      <x:c r="A1337" s="11" t="n"/>
      <x:c r="B1337" s="5" t="n"/>
      <x:c r="C1337" s="12" t="n"/>
      <x:c r="D1337" s="12" t="n"/>
      <x:c r="E1337" s="12" t="n"/>
      <x:c r="F1337" s="12" t="n"/>
      <x:c r="G1337" s="13">
        <x:f>IF(F1337="","",IFERROR(VLOOKUP(F1337,Master_Data!$E$24:$G$33,2,FALSE),"9999"))</x:f>
      </x:c>
      <x:c r="H1337" s="12" t="n"/>
      <x:c r="I1337" s="12" t="n"/>
      <x:c r="J1337" s="12" t="n"/>
      <x:c r="K1337" s="12" t="n"/>
      <x:c r="L1337" s="11" t="n"/>
      <x:c r="M1337" s="9" t="n"/>
      <x:c r="N1337" s="12" t="n"/>
      <x:c r="O1337" s="6">
        <x:f>IF(N1337="","",IFERROR(VLOOKUP(N1337,Master_Data!$A$5:$C$8,3,FALSE),0))</x:f>
      </x:c>
      <x:c r="P1337" s="7">
        <x:f>IF(M1337="","",M1337*O1337)</x:f>
      </x:c>
      <x:c r="Q1337" s="7">
        <x:f>IF(M1337="","",M1337+P1337)</x:f>
      </x:c>
      <x:c r="R1337" s="7">
        <x:f>IF(K1337&lt;&gt;"Paid",0,IF(C1337="Income",Q1337,-Q1337))</x:f>
      </x:c>
      <x:c r="S1337" s="14">
        <x:f>IF(A1337="","",DATE(YEAR(A1337),MONTH(A1337),1))</x:f>
      </x:c>
      <x:c r="T1337" s="14">
        <x:f>IF(L1337="","",DATE(YEAR(L1337),MONTH(L1337),1))</x:f>
      </x:c>
    </x:row>
    <x:row r="1338">
      <x:c r="A1338" s="11" t="n"/>
      <x:c r="B1338" s="5" t="n"/>
      <x:c r="C1338" s="12" t="n"/>
      <x:c r="D1338" s="12" t="n"/>
      <x:c r="E1338" s="12" t="n"/>
      <x:c r="F1338" s="12" t="n"/>
      <x:c r="G1338" s="13">
        <x:f>IF(F1338="","",IFERROR(VLOOKUP(F1338,Master_Data!$E$24:$G$33,2,FALSE),"9999"))</x:f>
      </x:c>
      <x:c r="H1338" s="12" t="n"/>
      <x:c r="I1338" s="12" t="n"/>
      <x:c r="J1338" s="12" t="n"/>
      <x:c r="K1338" s="12" t="n"/>
      <x:c r="L1338" s="11" t="n"/>
      <x:c r="M1338" s="9" t="n"/>
      <x:c r="N1338" s="12" t="n"/>
      <x:c r="O1338" s="6">
        <x:f>IF(N1338="","",IFERROR(VLOOKUP(N1338,Master_Data!$A$5:$C$8,3,FALSE),0))</x:f>
      </x:c>
      <x:c r="P1338" s="7">
        <x:f>IF(M1338="","",M1338*O1338)</x:f>
      </x:c>
      <x:c r="Q1338" s="7">
        <x:f>IF(M1338="","",M1338+P1338)</x:f>
      </x:c>
      <x:c r="R1338" s="7">
        <x:f>IF(K1338&lt;&gt;"Paid",0,IF(C1338="Income",Q1338,-Q1338))</x:f>
      </x:c>
      <x:c r="S1338" s="14">
        <x:f>IF(A1338="","",DATE(YEAR(A1338),MONTH(A1338),1))</x:f>
      </x:c>
      <x:c r="T1338" s="14">
        <x:f>IF(L1338="","",DATE(YEAR(L1338),MONTH(L1338),1))</x:f>
      </x:c>
    </x:row>
    <x:row r="1339">
      <x:c r="A1339" s="11" t="n"/>
      <x:c r="B1339" s="5" t="n"/>
      <x:c r="C1339" s="12" t="n"/>
      <x:c r="D1339" s="12" t="n"/>
      <x:c r="E1339" s="12" t="n"/>
      <x:c r="F1339" s="12" t="n"/>
      <x:c r="G1339" s="13">
        <x:f>IF(F1339="","",IFERROR(VLOOKUP(F1339,Master_Data!$E$24:$G$33,2,FALSE),"9999"))</x:f>
      </x:c>
      <x:c r="H1339" s="12" t="n"/>
      <x:c r="I1339" s="12" t="n"/>
      <x:c r="J1339" s="12" t="n"/>
      <x:c r="K1339" s="12" t="n"/>
      <x:c r="L1339" s="11" t="n"/>
      <x:c r="M1339" s="9" t="n"/>
      <x:c r="N1339" s="12" t="n"/>
      <x:c r="O1339" s="6">
        <x:f>IF(N1339="","",IFERROR(VLOOKUP(N1339,Master_Data!$A$5:$C$8,3,FALSE),0))</x:f>
      </x:c>
      <x:c r="P1339" s="7">
        <x:f>IF(M1339="","",M1339*O1339)</x:f>
      </x:c>
      <x:c r="Q1339" s="7">
        <x:f>IF(M1339="","",M1339+P1339)</x:f>
      </x:c>
      <x:c r="R1339" s="7">
        <x:f>IF(K1339&lt;&gt;"Paid",0,IF(C1339="Income",Q1339,-Q1339))</x:f>
      </x:c>
      <x:c r="S1339" s="14">
        <x:f>IF(A1339="","",DATE(YEAR(A1339),MONTH(A1339),1))</x:f>
      </x:c>
      <x:c r="T1339" s="14">
        <x:f>IF(L1339="","",DATE(YEAR(L1339),MONTH(L1339),1))</x:f>
      </x:c>
    </x:row>
    <x:row r="1340">
      <x:c r="A1340" s="11" t="n"/>
      <x:c r="B1340" s="5" t="n"/>
      <x:c r="C1340" s="12" t="n"/>
      <x:c r="D1340" s="12" t="n"/>
      <x:c r="E1340" s="12" t="n"/>
      <x:c r="F1340" s="12" t="n"/>
      <x:c r="G1340" s="13">
        <x:f>IF(F1340="","",IFERROR(VLOOKUP(F1340,Master_Data!$E$24:$G$33,2,FALSE),"9999"))</x:f>
      </x:c>
      <x:c r="H1340" s="12" t="n"/>
      <x:c r="I1340" s="12" t="n"/>
      <x:c r="J1340" s="12" t="n"/>
      <x:c r="K1340" s="12" t="n"/>
      <x:c r="L1340" s="11" t="n"/>
      <x:c r="M1340" s="9" t="n"/>
      <x:c r="N1340" s="12" t="n"/>
      <x:c r="O1340" s="6">
        <x:f>IF(N1340="","",IFERROR(VLOOKUP(N1340,Master_Data!$A$5:$C$8,3,FALSE),0))</x:f>
      </x:c>
      <x:c r="P1340" s="7">
        <x:f>IF(M1340="","",M1340*O1340)</x:f>
      </x:c>
      <x:c r="Q1340" s="7">
        <x:f>IF(M1340="","",M1340+P1340)</x:f>
      </x:c>
      <x:c r="R1340" s="7">
        <x:f>IF(K1340&lt;&gt;"Paid",0,IF(C1340="Income",Q1340,-Q1340))</x:f>
      </x:c>
      <x:c r="S1340" s="14">
        <x:f>IF(A1340="","",DATE(YEAR(A1340),MONTH(A1340),1))</x:f>
      </x:c>
      <x:c r="T1340" s="14">
        <x:f>IF(L1340="","",DATE(YEAR(L1340),MONTH(L1340),1))</x:f>
      </x:c>
    </x:row>
    <x:row r="1341">
      <x:c r="A1341" s="11" t="n"/>
      <x:c r="B1341" s="5" t="n"/>
      <x:c r="C1341" s="12" t="n"/>
      <x:c r="D1341" s="12" t="n"/>
      <x:c r="E1341" s="12" t="n"/>
      <x:c r="F1341" s="12" t="n"/>
      <x:c r="G1341" s="13">
        <x:f>IF(F1341="","",IFERROR(VLOOKUP(F1341,Master_Data!$E$24:$G$33,2,FALSE),"9999"))</x:f>
      </x:c>
      <x:c r="H1341" s="12" t="n"/>
      <x:c r="I1341" s="12" t="n"/>
      <x:c r="J1341" s="12" t="n"/>
      <x:c r="K1341" s="12" t="n"/>
      <x:c r="L1341" s="11" t="n"/>
      <x:c r="M1341" s="9" t="n"/>
      <x:c r="N1341" s="12" t="n"/>
      <x:c r="O1341" s="6">
        <x:f>IF(N1341="","",IFERROR(VLOOKUP(N1341,Master_Data!$A$5:$C$8,3,FALSE),0))</x:f>
      </x:c>
      <x:c r="P1341" s="7">
        <x:f>IF(M1341="","",M1341*O1341)</x:f>
      </x:c>
      <x:c r="Q1341" s="7">
        <x:f>IF(M1341="","",M1341+P1341)</x:f>
      </x:c>
      <x:c r="R1341" s="7">
        <x:f>IF(K1341&lt;&gt;"Paid",0,IF(C1341="Income",Q1341,-Q1341))</x:f>
      </x:c>
      <x:c r="S1341" s="14">
        <x:f>IF(A1341="","",DATE(YEAR(A1341),MONTH(A1341),1))</x:f>
      </x:c>
      <x:c r="T1341" s="14">
        <x:f>IF(L1341="","",DATE(YEAR(L1341),MONTH(L1341),1))</x:f>
      </x:c>
    </x:row>
    <x:row r="1342">
      <x:c r="A1342" s="11" t="n"/>
      <x:c r="B1342" s="5" t="n"/>
      <x:c r="C1342" s="12" t="n"/>
      <x:c r="D1342" s="12" t="n"/>
      <x:c r="E1342" s="12" t="n"/>
      <x:c r="F1342" s="12" t="n"/>
      <x:c r="G1342" s="13">
        <x:f>IF(F1342="","",IFERROR(VLOOKUP(F1342,Master_Data!$E$24:$G$33,2,FALSE),"9999"))</x:f>
      </x:c>
      <x:c r="H1342" s="12" t="n"/>
      <x:c r="I1342" s="12" t="n"/>
      <x:c r="J1342" s="12" t="n"/>
      <x:c r="K1342" s="12" t="n"/>
      <x:c r="L1342" s="11" t="n"/>
      <x:c r="M1342" s="9" t="n"/>
      <x:c r="N1342" s="12" t="n"/>
      <x:c r="O1342" s="6">
        <x:f>IF(N1342="","",IFERROR(VLOOKUP(N1342,Master_Data!$A$5:$C$8,3,FALSE),0))</x:f>
      </x:c>
      <x:c r="P1342" s="7">
        <x:f>IF(M1342="","",M1342*O1342)</x:f>
      </x:c>
      <x:c r="Q1342" s="7">
        <x:f>IF(M1342="","",M1342+P1342)</x:f>
      </x:c>
      <x:c r="R1342" s="7">
        <x:f>IF(K1342&lt;&gt;"Paid",0,IF(C1342="Income",Q1342,-Q1342))</x:f>
      </x:c>
      <x:c r="S1342" s="14">
        <x:f>IF(A1342="","",DATE(YEAR(A1342),MONTH(A1342),1))</x:f>
      </x:c>
      <x:c r="T1342" s="14">
        <x:f>IF(L1342="","",DATE(YEAR(L1342),MONTH(L1342),1))</x:f>
      </x:c>
    </x:row>
    <x:row r="1343">
      <x:c r="A1343" s="11" t="n"/>
      <x:c r="B1343" s="5" t="n"/>
      <x:c r="C1343" s="12" t="n"/>
      <x:c r="D1343" s="12" t="n"/>
      <x:c r="E1343" s="12" t="n"/>
      <x:c r="F1343" s="12" t="n"/>
      <x:c r="G1343" s="13">
        <x:f>IF(F1343="","",IFERROR(VLOOKUP(F1343,Master_Data!$E$24:$G$33,2,FALSE),"9999"))</x:f>
      </x:c>
      <x:c r="H1343" s="12" t="n"/>
      <x:c r="I1343" s="12" t="n"/>
      <x:c r="J1343" s="12" t="n"/>
      <x:c r="K1343" s="12" t="n"/>
      <x:c r="L1343" s="11" t="n"/>
      <x:c r="M1343" s="9" t="n"/>
      <x:c r="N1343" s="12" t="n"/>
      <x:c r="O1343" s="6">
        <x:f>IF(N1343="","",IFERROR(VLOOKUP(N1343,Master_Data!$A$5:$C$8,3,FALSE),0))</x:f>
      </x:c>
      <x:c r="P1343" s="7">
        <x:f>IF(M1343="","",M1343*O1343)</x:f>
      </x:c>
      <x:c r="Q1343" s="7">
        <x:f>IF(M1343="","",M1343+P1343)</x:f>
      </x:c>
      <x:c r="R1343" s="7">
        <x:f>IF(K1343&lt;&gt;"Paid",0,IF(C1343="Income",Q1343,-Q1343))</x:f>
      </x:c>
      <x:c r="S1343" s="14">
        <x:f>IF(A1343="","",DATE(YEAR(A1343),MONTH(A1343),1))</x:f>
      </x:c>
      <x:c r="T1343" s="14">
        <x:f>IF(L1343="","",DATE(YEAR(L1343),MONTH(L1343),1))</x:f>
      </x:c>
    </x:row>
    <x:row r="1344">
      <x:c r="A1344" s="11" t="n"/>
      <x:c r="B1344" s="5" t="n"/>
      <x:c r="C1344" s="12" t="n"/>
      <x:c r="D1344" s="12" t="n"/>
      <x:c r="E1344" s="12" t="n"/>
      <x:c r="F1344" s="12" t="n"/>
      <x:c r="G1344" s="13">
        <x:f>IF(F1344="","",IFERROR(VLOOKUP(F1344,Master_Data!$E$24:$G$33,2,FALSE),"9999"))</x:f>
      </x:c>
      <x:c r="H1344" s="12" t="n"/>
      <x:c r="I1344" s="12" t="n"/>
      <x:c r="J1344" s="12" t="n"/>
      <x:c r="K1344" s="12" t="n"/>
      <x:c r="L1344" s="11" t="n"/>
      <x:c r="M1344" s="9" t="n"/>
      <x:c r="N1344" s="12" t="n"/>
      <x:c r="O1344" s="6">
        <x:f>IF(N1344="","",IFERROR(VLOOKUP(N1344,Master_Data!$A$5:$C$8,3,FALSE),0))</x:f>
      </x:c>
      <x:c r="P1344" s="7">
        <x:f>IF(M1344="","",M1344*O1344)</x:f>
      </x:c>
      <x:c r="Q1344" s="7">
        <x:f>IF(M1344="","",M1344+P1344)</x:f>
      </x:c>
      <x:c r="R1344" s="7">
        <x:f>IF(K1344&lt;&gt;"Paid",0,IF(C1344="Income",Q1344,-Q1344))</x:f>
      </x:c>
      <x:c r="S1344" s="14">
        <x:f>IF(A1344="","",DATE(YEAR(A1344),MONTH(A1344),1))</x:f>
      </x:c>
      <x:c r="T1344" s="14">
        <x:f>IF(L1344="","",DATE(YEAR(L1344),MONTH(L1344),1))</x:f>
      </x:c>
    </x:row>
    <x:row r="1345">
      <x:c r="A1345" s="11" t="n"/>
      <x:c r="B1345" s="5" t="n"/>
      <x:c r="C1345" s="12" t="n"/>
      <x:c r="D1345" s="12" t="n"/>
      <x:c r="E1345" s="12" t="n"/>
      <x:c r="F1345" s="12" t="n"/>
      <x:c r="G1345" s="13">
        <x:f>IF(F1345="","",IFERROR(VLOOKUP(F1345,Master_Data!$E$24:$G$33,2,FALSE),"9999"))</x:f>
      </x:c>
      <x:c r="H1345" s="12" t="n"/>
      <x:c r="I1345" s="12" t="n"/>
      <x:c r="J1345" s="12" t="n"/>
      <x:c r="K1345" s="12" t="n"/>
      <x:c r="L1345" s="11" t="n"/>
      <x:c r="M1345" s="9" t="n"/>
      <x:c r="N1345" s="12" t="n"/>
      <x:c r="O1345" s="6">
        <x:f>IF(N1345="","",IFERROR(VLOOKUP(N1345,Master_Data!$A$5:$C$8,3,FALSE),0))</x:f>
      </x:c>
      <x:c r="P1345" s="7">
        <x:f>IF(M1345="","",M1345*O1345)</x:f>
      </x:c>
      <x:c r="Q1345" s="7">
        <x:f>IF(M1345="","",M1345+P1345)</x:f>
      </x:c>
      <x:c r="R1345" s="7">
        <x:f>IF(K1345&lt;&gt;"Paid",0,IF(C1345="Income",Q1345,-Q1345))</x:f>
      </x:c>
      <x:c r="S1345" s="14">
        <x:f>IF(A1345="","",DATE(YEAR(A1345),MONTH(A1345),1))</x:f>
      </x:c>
      <x:c r="T1345" s="14">
        <x:f>IF(L1345="","",DATE(YEAR(L1345),MONTH(L1345),1))</x:f>
      </x:c>
    </x:row>
    <x:row r="1346">
      <x:c r="A1346" s="11" t="n"/>
      <x:c r="B1346" s="5" t="n"/>
      <x:c r="C1346" s="12" t="n"/>
      <x:c r="D1346" s="12" t="n"/>
      <x:c r="E1346" s="12" t="n"/>
      <x:c r="F1346" s="12" t="n"/>
      <x:c r="G1346" s="13">
        <x:f>IF(F1346="","",IFERROR(VLOOKUP(F1346,Master_Data!$E$24:$G$33,2,FALSE),"9999"))</x:f>
      </x:c>
      <x:c r="H1346" s="12" t="n"/>
      <x:c r="I1346" s="12" t="n"/>
      <x:c r="J1346" s="12" t="n"/>
      <x:c r="K1346" s="12" t="n"/>
      <x:c r="L1346" s="11" t="n"/>
      <x:c r="M1346" s="9" t="n"/>
      <x:c r="N1346" s="12" t="n"/>
      <x:c r="O1346" s="6">
        <x:f>IF(N1346="","",IFERROR(VLOOKUP(N1346,Master_Data!$A$5:$C$8,3,FALSE),0))</x:f>
      </x:c>
      <x:c r="P1346" s="7">
        <x:f>IF(M1346="","",M1346*O1346)</x:f>
      </x:c>
      <x:c r="Q1346" s="7">
        <x:f>IF(M1346="","",M1346+P1346)</x:f>
      </x:c>
      <x:c r="R1346" s="7">
        <x:f>IF(K1346&lt;&gt;"Paid",0,IF(C1346="Income",Q1346,-Q1346))</x:f>
      </x:c>
      <x:c r="S1346" s="14">
        <x:f>IF(A1346="","",DATE(YEAR(A1346),MONTH(A1346),1))</x:f>
      </x:c>
      <x:c r="T1346" s="14">
        <x:f>IF(L1346="","",DATE(YEAR(L1346),MONTH(L1346),1))</x:f>
      </x:c>
    </x:row>
    <x:row r="1347">
      <x:c r="A1347" s="11" t="n"/>
      <x:c r="B1347" s="5" t="n"/>
      <x:c r="C1347" s="12" t="n"/>
      <x:c r="D1347" s="12" t="n"/>
      <x:c r="E1347" s="12" t="n"/>
      <x:c r="F1347" s="12" t="n"/>
      <x:c r="G1347" s="13">
        <x:f>IF(F1347="","",IFERROR(VLOOKUP(F1347,Master_Data!$E$24:$G$33,2,FALSE),"9999"))</x:f>
      </x:c>
      <x:c r="H1347" s="12" t="n"/>
      <x:c r="I1347" s="12" t="n"/>
      <x:c r="J1347" s="12" t="n"/>
      <x:c r="K1347" s="12" t="n"/>
      <x:c r="L1347" s="11" t="n"/>
      <x:c r="M1347" s="9" t="n"/>
      <x:c r="N1347" s="12" t="n"/>
      <x:c r="O1347" s="6">
        <x:f>IF(N1347="","",IFERROR(VLOOKUP(N1347,Master_Data!$A$5:$C$8,3,FALSE),0))</x:f>
      </x:c>
      <x:c r="P1347" s="7">
        <x:f>IF(M1347="","",M1347*O1347)</x:f>
      </x:c>
      <x:c r="Q1347" s="7">
        <x:f>IF(M1347="","",M1347+P1347)</x:f>
      </x:c>
      <x:c r="R1347" s="7">
        <x:f>IF(K1347&lt;&gt;"Paid",0,IF(C1347="Income",Q1347,-Q1347))</x:f>
      </x:c>
      <x:c r="S1347" s="14">
        <x:f>IF(A1347="","",DATE(YEAR(A1347),MONTH(A1347),1))</x:f>
      </x:c>
      <x:c r="T1347" s="14">
        <x:f>IF(L1347="","",DATE(YEAR(L1347),MONTH(L1347),1))</x:f>
      </x:c>
    </x:row>
    <x:row r="1348">
      <x:c r="A1348" s="11" t="n"/>
      <x:c r="B1348" s="5" t="n"/>
      <x:c r="C1348" s="12" t="n"/>
      <x:c r="D1348" s="12" t="n"/>
      <x:c r="E1348" s="12" t="n"/>
      <x:c r="F1348" s="12" t="n"/>
      <x:c r="G1348" s="13">
        <x:f>IF(F1348="","",IFERROR(VLOOKUP(F1348,Master_Data!$E$24:$G$33,2,FALSE),"9999"))</x:f>
      </x:c>
      <x:c r="H1348" s="12" t="n"/>
      <x:c r="I1348" s="12" t="n"/>
      <x:c r="J1348" s="12" t="n"/>
      <x:c r="K1348" s="12" t="n"/>
      <x:c r="L1348" s="11" t="n"/>
      <x:c r="M1348" s="9" t="n"/>
      <x:c r="N1348" s="12" t="n"/>
      <x:c r="O1348" s="6">
        <x:f>IF(N1348="","",IFERROR(VLOOKUP(N1348,Master_Data!$A$5:$C$8,3,FALSE),0))</x:f>
      </x:c>
      <x:c r="P1348" s="7">
        <x:f>IF(M1348="","",M1348*O1348)</x:f>
      </x:c>
      <x:c r="Q1348" s="7">
        <x:f>IF(M1348="","",M1348+P1348)</x:f>
      </x:c>
      <x:c r="R1348" s="7">
        <x:f>IF(K1348&lt;&gt;"Paid",0,IF(C1348="Income",Q1348,-Q1348))</x:f>
      </x:c>
      <x:c r="S1348" s="14">
        <x:f>IF(A1348="","",DATE(YEAR(A1348),MONTH(A1348),1))</x:f>
      </x:c>
      <x:c r="T1348" s="14">
        <x:f>IF(L1348="","",DATE(YEAR(L1348),MONTH(L1348),1))</x:f>
      </x:c>
    </x:row>
    <x:row r="1349">
      <x:c r="A1349" s="11" t="n"/>
      <x:c r="B1349" s="5" t="n"/>
      <x:c r="C1349" s="12" t="n"/>
      <x:c r="D1349" s="12" t="n"/>
      <x:c r="E1349" s="12" t="n"/>
      <x:c r="F1349" s="12" t="n"/>
      <x:c r="G1349" s="13">
        <x:f>IF(F1349="","",IFERROR(VLOOKUP(F1349,Master_Data!$E$24:$G$33,2,FALSE),"9999"))</x:f>
      </x:c>
      <x:c r="H1349" s="12" t="n"/>
      <x:c r="I1349" s="12" t="n"/>
      <x:c r="J1349" s="12" t="n"/>
      <x:c r="K1349" s="12" t="n"/>
      <x:c r="L1349" s="11" t="n"/>
      <x:c r="M1349" s="9" t="n"/>
      <x:c r="N1349" s="12" t="n"/>
      <x:c r="O1349" s="6">
        <x:f>IF(N1349="","",IFERROR(VLOOKUP(N1349,Master_Data!$A$5:$C$8,3,FALSE),0))</x:f>
      </x:c>
      <x:c r="P1349" s="7">
        <x:f>IF(M1349="","",M1349*O1349)</x:f>
      </x:c>
      <x:c r="Q1349" s="7">
        <x:f>IF(M1349="","",M1349+P1349)</x:f>
      </x:c>
      <x:c r="R1349" s="7">
        <x:f>IF(K1349&lt;&gt;"Paid",0,IF(C1349="Income",Q1349,-Q1349))</x:f>
      </x:c>
      <x:c r="S1349" s="14">
        <x:f>IF(A1349="","",DATE(YEAR(A1349),MONTH(A1349),1))</x:f>
      </x:c>
      <x:c r="T1349" s="14">
        <x:f>IF(L1349="","",DATE(YEAR(L1349),MONTH(L1349),1))</x:f>
      </x:c>
    </x:row>
    <x:row r="1350">
      <x:c r="A1350" s="11" t="n"/>
      <x:c r="B1350" s="5" t="n"/>
      <x:c r="C1350" s="12" t="n"/>
      <x:c r="D1350" s="12" t="n"/>
      <x:c r="E1350" s="12" t="n"/>
      <x:c r="F1350" s="12" t="n"/>
      <x:c r="G1350" s="13">
        <x:f>IF(F1350="","",IFERROR(VLOOKUP(F1350,Master_Data!$E$24:$G$33,2,FALSE),"9999"))</x:f>
      </x:c>
      <x:c r="H1350" s="12" t="n"/>
      <x:c r="I1350" s="12" t="n"/>
      <x:c r="J1350" s="12" t="n"/>
      <x:c r="K1350" s="12" t="n"/>
      <x:c r="L1350" s="11" t="n"/>
      <x:c r="M1350" s="9" t="n"/>
      <x:c r="N1350" s="12" t="n"/>
      <x:c r="O1350" s="6">
        <x:f>IF(N1350="","",IFERROR(VLOOKUP(N1350,Master_Data!$A$5:$C$8,3,FALSE),0))</x:f>
      </x:c>
      <x:c r="P1350" s="7">
        <x:f>IF(M1350="","",M1350*O1350)</x:f>
      </x:c>
      <x:c r="Q1350" s="7">
        <x:f>IF(M1350="","",M1350+P1350)</x:f>
      </x:c>
      <x:c r="R1350" s="7">
        <x:f>IF(K1350&lt;&gt;"Paid",0,IF(C1350="Income",Q1350,-Q1350))</x:f>
      </x:c>
      <x:c r="S1350" s="14">
        <x:f>IF(A1350="","",DATE(YEAR(A1350),MONTH(A1350),1))</x:f>
      </x:c>
      <x:c r="T1350" s="14">
        <x:f>IF(L1350="","",DATE(YEAR(L1350),MONTH(L1350),1))</x:f>
      </x:c>
    </x:row>
    <x:row r="1351">
      <x:c r="A1351" s="11" t="n"/>
      <x:c r="B1351" s="5" t="n"/>
      <x:c r="C1351" s="12" t="n"/>
      <x:c r="D1351" s="12" t="n"/>
      <x:c r="E1351" s="12" t="n"/>
      <x:c r="F1351" s="12" t="n"/>
      <x:c r="G1351" s="13">
        <x:f>IF(F1351="","",IFERROR(VLOOKUP(F1351,Master_Data!$E$24:$G$33,2,FALSE),"9999"))</x:f>
      </x:c>
      <x:c r="H1351" s="12" t="n"/>
      <x:c r="I1351" s="12" t="n"/>
      <x:c r="J1351" s="12" t="n"/>
      <x:c r="K1351" s="12" t="n"/>
      <x:c r="L1351" s="11" t="n"/>
      <x:c r="M1351" s="9" t="n"/>
      <x:c r="N1351" s="12" t="n"/>
      <x:c r="O1351" s="6">
        <x:f>IF(N1351="","",IFERROR(VLOOKUP(N1351,Master_Data!$A$5:$C$8,3,FALSE),0))</x:f>
      </x:c>
      <x:c r="P1351" s="7">
        <x:f>IF(M1351="","",M1351*O1351)</x:f>
      </x:c>
      <x:c r="Q1351" s="7">
        <x:f>IF(M1351="","",M1351+P1351)</x:f>
      </x:c>
      <x:c r="R1351" s="7">
        <x:f>IF(K1351&lt;&gt;"Paid",0,IF(C1351="Income",Q1351,-Q1351))</x:f>
      </x:c>
      <x:c r="S1351" s="14">
        <x:f>IF(A1351="","",DATE(YEAR(A1351),MONTH(A1351),1))</x:f>
      </x:c>
      <x:c r="T1351" s="14">
        <x:f>IF(L1351="","",DATE(YEAR(L1351),MONTH(L1351),1))</x:f>
      </x:c>
    </x:row>
    <x:row r="1352">
      <x:c r="A1352" s="11" t="n"/>
      <x:c r="B1352" s="5" t="n"/>
      <x:c r="C1352" s="12" t="n"/>
      <x:c r="D1352" s="12" t="n"/>
      <x:c r="E1352" s="12" t="n"/>
      <x:c r="F1352" s="12" t="n"/>
      <x:c r="G1352" s="13">
        <x:f>IF(F1352="","",IFERROR(VLOOKUP(F1352,Master_Data!$E$24:$G$33,2,FALSE),"9999"))</x:f>
      </x:c>
      <x:c r="H1352" s="12" t="n"/>
      <x:c r="I1352" s="12" t="n"/>
      <x:c r="J1352" s="12" t="n"/>
      <x:c r="K1352" s="12" t="n"/>
      <x:c r="L1352" s="11" t="n"/>
      <x:c r="M1352" s="9" t="n"/>
      <x:c r="N1352" s="12" t="n"/>
      <x:c r="O1352" s="6">
        <x:f>IF(N1352="","",IFERROR(VLOOKUP(N1352,Master_Data!$A$5:$C$8,3,FALSE),0))</x:f>
      </x:c>
      <x:c r="P1352" s="7">
        <x:f>IF(M1352="","",M1352*O1352)</x:f>
      </x:c>
      <x:c r="Q1352" s="7">
        <x:f>IF(M1352="","",M1352+P1352)</x:f>
      </x:c>
      <x:c r="R1352" s="7">
        <x:f>IF(K1352&lt;&gt;"Paid",0,IF(C1352="Income",Q1352,-Q1352))</x:f>
      </x:c>
      <x:c r="S1352" s="14">
        <x:f>IF(A1352="","",DATE(YEAR(A1352),MONTH(A1352),1))</x:f>
      </x:c>
      <x:c r="T1352" s="14">
        <x:f>IF(L1352="","",DATE(YEAR(L1352),MONTH(L1352),1))</x:f>
      </x:c>
    </x:row>
    <x:row r="1353">
      <x:c r="A1353" s="11" t="n"/>
      <x:c r="B1353" s="5" t="n"/>
      <x:c r="C1353" s="12" t="n"/>
      <x:c r="D1353" s="12" t="n"/>
      <x:c r="E1353" s="12" t="n"/>
      <x:c r="F1353" s="12" t="n"/>
      <x:c r="G1353" s="13">
        <x:f>IF(F1353="","",IFERROR(VLOOKUP(F1353,Master_Data!$E$24:$G$33,2,FALSE),"9999"))</x:f>
      </x:c>
      <x:c r="H1353" s="12" t="n"/>
      <x:c r="I1353" s="12" t="n"/>
      <x:c r="J1353" s="12" t="n"/>
      <x:c r="K1353" s="12" t="n"/>
      <x:c r="L1353" s="11" t="n"/>
      <x:c r="M1353" s="9" t="n"/>
      <x:c r="N1353" s="12" t="n"/>
      <x:c r="O1353" s="6">
        <x:f>IF(N1353="","",IFERROR(VLOOKUP(N1353,Master_Data!$A$5:$C$8,3,FALSE),0))</x:f>
      </x:c>
      <x:c r="P1353" s="7">
        <x:f>IF(M1353="","",M1353*O1353)</x:f>
      </x:c>
      <x:c r="Q1353" s="7">
        <x:f>IF(M1353="","",M1353+P1353)</x:f>
      </x:c>
      <x:c r="R1353" s="7">
        <x:f>IF(K1353&lt;&gt;"Paid",0,IF(C1353="Income",Q1353,-Q1353))</x:f>
      </x:c>
      <x:c r="S1353" s="14">
        <x:f>IF(A1353="","",DATE(YEAR(A1353),MONTH(A1353),1))</x:f>
      </x:c>
      <x:c r="T1353" s="14">
        <x:f>IF(L1353="","",DATE(YEAR(L1353),MONTH(L1353),1))</x:f>
      </x:c>
    </x:row>
    <x:row r="1354">
      <x:c r="A1354" s="11" t="n"/>
      <x:c r="B1354" s="5" t="n"/>
      <x:c r="C1354" s="12" t="n"/>
      <x:c r="D1354" s="12" t="n"/>
      <x:c r="E1354" s="12" t="n"/>
      <x:c r="F1354" s="12" t="n"/>
      <x:c r="G1354" s="13">
        <x:f>IF(F1354="","",IFERROR(VLOOKUP(F1354,Master_Data!$E$24:$G$33,2,FALSE),"9999"))</x:f>
      </x:c>
      <x:c r="H1354" s="12" t="n"/>
      <x:c r="I1354" s="12" t="n"/>
      <x:c r="J1354" s="12" t="n"/>
      <x:c r="K1354" s="12" t="n"/>
      <x:c r="L1354" s="11" t="n"/>
      <x:c r="M1354" s="9" t="n"/>
      <x:c r="N1354" s="12" t="n"/>
      <x:c r="O1354" s="6">
        <x:f>IF(N1354="","",IFERROR(VLOOKUP(N1354,Master_Data!$A$5:$C$8,3,FALSE),0))</x:f>
      </x:c>
      <x:c r="P1354" s="7">
        <x:f>IF(M1354="","",M1354*O1354)</x:f>
      </x:c>
      <x:c r="Q1354" s="7">
        <x:f>IF(M1354="","",M1354+P1354)</x:f>
      </x:c>
      <x:c r="R1354" s="7">
        <x:f>IF(K1354&lt;&gt;"Paid",0,IF(C1354="Income",Q1354,-Q1354))</x:f>
      </x:c>
      <x:c r="S1354" s="14">
        <x:f>IF(A1354="","",DATE(YEAR(A1354),MONTH(A1354),1))</x:f>
      </x:c>
      <x:c r="T1354" s="14">
        <x:f>IF(L1354="","",DATE(YEAR(L1354),MONTH(L1354),1))</x:f>
      </x:c>
    </x:row>
    <x:row r="1355">
      <x:c r="A1355" s="11" t="n"/>
      <x:c r="B1355" s="5" t="n"/>
      <x:c r="C1355" s="12" t="n"/>
      <x:c r="D1355" s="12" t="n"/>
      <x:c r="E1355" s="12" t="n"/>
      <x:c r="F1355" s="12" t="n"/>
      <x:c r="G1355" s="13">
        <x:f>IF(F1355="","",IFERROR(VLOOKUP(F1355,Master_Data!$E$24:$G$33,2,FALSE),"9999"))</x:f>
      </x:c>
      <x:c r="H1355" s="12" t="n"/>
      <x:c r="I1355" s="12" t="n"/>
      <x:c r="J1355" s="12" t="n"/>
      <x:c r="K1355" s="12" t="n"/>
      <x:c r="L1355" s="11" t="n"/>
      <x:c r="M1355" s="9" t="n"/>
      <x:c r="N1355" s="12" t="n"/>
      <x:c r="O1355" s="6">
        <x:f>IF(N1355="","",IFERROR(VLOOKUP(N1355,Master_Data!$A$5:$C$8,3,FALSE),0))</x:f>
      </x:c>
      <x:c r="P1355" s="7">
        <x:f>IF(M1355="","",M1355*O1355)</x:f>
      </x:c>
      <x:c r="Q1355" s="7">
        <x:f>IF(M1355="","",M1355+P1355)</x:f>
      </x:c>
      <x:c r="R1355" s="7">
        <x:f>IF(K1355&lt;&gt;"Paid",0,IF(C1355="Income",Q1355,-Q1355))</x:f>
      </x:c>
      <x:c r="S1355" s="14">
        <x:f>IF(A1355="","",DATE(YEAR(A1355),MONTH(A1355),1))</x:f>
      </x:c>
      <x:c r="T1355" s="14">
        <x:f>IF(L1355="","",DATE(YEAR(L1355),MONTH(L1355),1))</x:f>
      </x:c>
    </x:row>
    <x:row r="1356">
      <x:c r="A1356" s="11" t="n"/>
      <x:c r="B1356" s="5" t="n"/>
      <x:c r="C1356" s="12" t="n"/>
      <x:c r="D1356" s="12" t="n"/>
      <x:c r="E1356" s="12" t="n"/>
      <x:c r="F1356" s="12" t="n"/>
      <x:c r="G1356" s="13">
        <x:f>IF(F1356="","",IFERROR(VLOOKUP(F1356,Master_Data!$E$24:$G$33,2,FALSE),"9999"))</x:f>
      </x:c>
      <x:c r="H1356" s="12" t="n"/>
      <x:c r="I1356" s="12" t="n"/>
      <x:c r="J1356" s="12" t="n"/>
      <x:c r="K1356" s="12" t="n"/>
      <x:c r="L1356" s="11" t="n"/>
      <x:c r="M1356" s="9" t="n"/>
      <x:c r="N1356" s="12" t="n"/>
      <x:c r="O1356" s="6">
        <x:f>IF(N1356="","",IFERROR(VLOOKUP(N1356,Master_Data!$A$5:$C$8,3,FALSE),0))</x:f>
      </x:c>
      <x:c r="P1356" s="7">
        <x:f>IF(M1356="","",M1356*O1356)</x:f>
      </x:c>
      <x:c r="Q1356" s="7">
        <x:f>IF(M1356="","",M1356+P1356)</x:f>
      </x:c>
      <x:c r="R1356" s="7">
        <x:f>IF(K1356&lt;&gt;"Paid",0,IF(C1356="Income",Q1356,-Q1356))</x:f>
      </x:c>
      <x:c r="S1356" s="14">
        <x:f>IF(A1356="","",DATE(YEAR(A1356),MONTH(A1356),1))</x:f>
      </x:c>
      <x:c r="T1356" s="14">
        <x:f>IF(L1356="","",DATE(YEAR(L1356),MONTH(L1356),1))</x:f>
      </x:c>
    </x:row>
    <x:row r="1357">
      <x:c r="A1357" s="11" t="n"/>
      <x:c r="B1357" s="5" t="n"/>
      <x:c r="C1357" s="12" t="n"/>
      <x:c r="D1357" s="12" t="n"/>
      <x:c r="E1357" s="12" t="n"/>
      <x:c r="F1357" s="12" t="n"/>
      <x:c r="G1357" s="13">
        <x:f>IF(F1357="","",IFERROR(VLOOKUP(F1357,Master_Data!$E$24:$G$33,2,FALSE),"9999"))</x:f>
      </x:c>
      <x:c r="H1357" s="12" t="n"/>
      <x:c r="I1357" s="12" t="n"/>
      <x:c r="J1357" s="12" t="n"/>
      <x:c r="K1357" s="12" t="n"/>
      <x:c r="L1357" s="11" t="n"/>
      <x:c r="M1357" s="9" t="n"/>
      <x:c r="N1357" s="12" t="n"/>
      <x:c r="O1357" s="6">
        <x:f>IF(N1357="","",IFERROR(VLOOKUP(N1357,Master_Data!$A$5:$C$8,3,FALSE),0))</x:f>
      </x:c>
      <x:c r="P1357" s="7">
        <x:f>IF(M1357="","",M1357*O1357)</x:f>
      </x:c>
      <x:c r="Q1357" s="7">
        <x:f>IF(M1357="","",M1357+P1357)</x:f>
      </x:c>
      <x:c r="R1357" s="7">
        <x:f>IF(K1357&lt;&gt;"Paid",0,IF(C1357="Income",Q1357,-Q1357))</x:f>
      </x:c>
      <x:c r="S1357" s="14">
        <x:f>IF(A1357="","",DATE(YEAR(A1357),MONTH(A1357),1))</x:f>
      </x:c>
      <x:c r="T1357" s="14">
        <x:f>IF(L1357="","",DATE(YEAR(L1357),MONTH(L1357),1))</x:f>
      </x:c>
    </x:row>
    <x:row r="1358">
      <x:c r="A1358" s="11" t="n"/>
      <x:c r="B1358" s="5" t="n"/>
      <x:c r="C1358" s="12" t="n"/>
      <x:c r="D1358" s="12" t="n"/>
      <x:c r="E1358" s="12" t="n"/>
      <x:c r="F1358" s="12" t="n"/>
      <x:c r="G1358" s="13">
        <x:f>IF(F1358="","",IFERROR(VLOOKUP(F1358,Master_Data!$E$24:$G$33,2,FALSE),"9999"))</x:f>
      </x:c>
      <x:c r="H1358" s="12" t="n"/>
      <x:c r="I1358" s="12" t="n"/>
      <x:c r="J1358" s="12" t="n"/>
      <x:c r="K1358" s="12" t="n"/>
      <x:c r="L1358" s="11" t="n"/>
      <x:c r="M1358" s="9" t="n"/>
      <x:c r="N1358" s="12" t="n"/>
      <x:c r="O1358" s="6">
        <x:f>IF(N1358="","",IFERROR(VLOOKUP(N1358,Master_Data!$A$5:$C$8,3,FALSE),0))</x:f>
      </x:c>
      <x:c r="P1358" s="7">
        <x:f>IF(M1358="","",M1358*O1358)</x:f>
      </x:c>
      <x:c r="Q1358" s="7">
        <x:f>IF(M1358="","",M1358+P1358)</x:f>
      </x:c>
      <x:c r="R1358" s="7">
        <x:f>IF(K1358&lt;&gt;"Paid",0,IF(C1358="Income",Q1358,-Q1358))</x:f>
      </x:c>
      <x:c r="S1358" s="14">
        <x:f>IF(A1358="","",DATE(YEAR(A1358),MONTH(A1358),1))</x:f>
      </x:c>
      <x:c r="T1358" s="14">
        <x:f>IF(L1358="","",DATE(YEAR(L1358),MONTH(L1358),1))</x:f>
      </x:c>
    </x:row>
    <x:row r="1359">
      <x:c r="A1359" s="11" t="n"/>
      <x:c r="B1359" s="5" t="n"/>
      <x:c r="C1359" s="12" t="n"/>
      <x:c r="D1359" s="12" t="n"/>
      <x:c r="E1359" s="12" t="n"/>
      <x:c r="F1359" s="12" t="n"/>
      <x:c r="G1359" s="13">
        <x:f>IF(F1359="","",IFERROR(VLOOKUP(F1359,Master_Data!$E$24:$G$33,2,FALSE),"9999"))</x:f>
      </x:c>
      <x:c r="H1359" s="12" t="n"/>
      <x:c r="I1359" s="12" t="n"/>
      <x:c r="J1359" s="12" t="n"/>
      <x:c r="K1359" s="12" t="n"/>
      <x:c r="L1359" s="11" t="n"/>
      <x:c r="M1359" s="9" t="n"/>
      <x:c r="N1359" s="12" t="n"/>
      <x:c r="O1359" s="6">
        <x:f>IF(N1359="","",IFERROR(VLOOKUP(N1359,Master_Data!$A$5:$C$8,3,FALSE),0))</x:f>
      </x:c>
      <x:c r="P1359" s="7">
        <x:f>IF(M1359="","",M1359*O1359)</x:f>
      </x:c>
      <x:c r="Q1359" s="7">
        <x:f>IF(M1359="","",M1359+P1359)</x:f>
      </x:c>
      <x:c r="R1359" s="7">
        <x:f>IF(K1359&lt;&gt;"Paid",0,IF(C1359="Income",Q1359,-Q1359))</x:f>
      </x:c>
      <x:c r="S1359" s="14">
        <x:f>IF(A1359="","",DATE(YEAR(A1359),MONTH(A1359),1))</x:f>
      </x:c>
      <x:c r="T1359" s="14">
        <x:f>IF(L1359="","",DATE(YEAR(L1359),MONTH(L1359),1))</x:f>
      </x:c>
    </x:row>
    <x:row r="1360">
      <x:c r="A1360" s="11" t="n"/>
      <x:c r="B1360" s="5" t="n"/>
      <x:c r="C1360" s="12" t="n"/>
      <x:c r="D1360" s="12" t="n"/>
      <x:c r="E1360" s="12" t="n"/>
      <x:c r="F1360" s="12" t="n"/>
      <x:c r="G1360" s="13">
        <x:f>IF(F1360="","",IFERROR(VLOOKUP(F1360,Master_Data!$E$24:$G$33,2,FALSE),"9999"))</x:f>
      </x:c>
      <x:c r="H1360" s="12" t="n"/>
      <x:c r="I1360" s="12" t="n"/>
      <x:c r="J1360" s="12" t="n"/>
      <x:c r="K1360" s="12" t="n"/>
      <x:c r="L1360" s="11" t="n"/>
      <x:c r="M1360" s="9" t="n"/>
      <x:c r="N1360" s="12" t="n"/>
      <x:c r="O1360" s="6">
        <x:f>IF(N1360="","",IFERROR(VLOOKUP(N1360,Master_Data!$A$5:$C$8,3,FALSE),0))</x:f>
      </x:c>
      <x:c r="P1360" s="7">
        <x:f>IF(M1360="","",M1360*O1360)</x:f>
      </x:c>
      <x:c r="Q1360" s="7">
        <x:f>IF(M1360="","",M1360+P1360)</x:f>
      </x:c>
      <x:c r="R1360" s="7">
        <x:f>IF(K1360&lt;&gt;"Paid",0,IF(C1360="Income",Q1360,-Q1360))</x:f>
      </x:c>
      <x:c r="S1360" s="14">
        <x:f>IF(A1360="","",DATE(YEAR(A1360),MONTH(A1360),1))</x:f>
      </x:c>
      <x:c r="T1360" s="14">
        <x:f>IF(L1360="","",DATE(YEAR(L1360),MONTH(L1360),1))</x:f>
      </x:c>
    </x:row>
    <x:row r="1361">
      <x:c r="A1361" s="11" t="n"/>
      <x:c r="B1361" s="5" t="n"/>
      <x:c r="C1361" s="12" t="n"/>
      <x:c r="D1361" s="12" t="n"/>
      <x:c r="E1361" s="12" t="n"/>
      <x:c r="F1361" s="12" t="n"/>
      <x:c r="G1361" s="13">
        <x:f>IF(F1361="","",IFERROR(VLOOKUP(F1361,Master_Data!$E$24:$G$33,2,FALSE),"9999"))</x:f>
      </x:c>
      <x:c r="H1361" s="12" t="n"/>
      <x:c r="I1361" s="12" t="n"/>
      <x:c r="J1361" s="12" t="n"/>
      <x:c r="K1361" s="12" t="n"/>
      <x:c r="L1361" s="11" t="n"/>
      <x:c r="M1361" s="9" t="n"/>
      <x:c r="N1361" s="12" t="n"/>
      <x:c r="O1361" s="6">
        <x:f>IF(N1361="","",IFERROR(VLOOKUP(N1361,Master_Data!$A$5:$C$8,3,FALSE),0))</x:f>
      </x:c>
      <x:c r="P1361" s="7">
        <x:f>IF(M1361="","",M1361*O1361)</x:f>
      </x:c>
      <x:c r="Q1361" s="7">
        <x:f>IF(M1361="","",M1361+P1361)</x:f>
      </x:c>
      <x:c r="R1361" s="7">
        <x:f>IF(K1361&lt;&gt;"Paid",0,IF(C1361="Income",Q1361,-Q1361))</x:f>
      </x:c>
      <x:c r="S1361" s="14">
        <x:f>IF(A1361="","",DATE(YEAR(A1361),MONTH(A1361),1))</x:f>
      </x:c>
      <x:c r="T1361" s="14">
        <x:f>IF(L1361="","",DATE(YEAR(L1361),MONTH(L1361),1))</x:f>
      </x:c>
    </x:row>
    <x:row r="1362">
      <x:c r="A1362" s="11" t="n"/>
      <x:c r="B1362" s="5" t="n"/>
      <x:c r="C1362" s="12" t="n"/>
      <x:c r="D1362" s="12" t="n"/>
      <x:c r="E1362" s="12" t="n"/>
      <x:c r="F1362" s="12" t="n"/>
      <x:c r="G1362" s="13">
        <x:f>IF(F1362="","",IFERROR(VLOOKUP(F1362,Master_Data!$E$24:$G$33,2,FALSE),"9999"))</x:f>
      </x:c>
      <x:c r="H1362" s="12" t="n"/>
      <x:c r="I1362" s="12" t="n"/>
      <x:c r="J1362" s="12" t="n"/>
      <x:c r="K1362" s="12" t="n"/>
      <x:c r="L1362" s="11" t="n"/>
      <x:c r="M1362" s="9" t="n"/>
      <x:c r="N1362" s="12" t="n"/>
      <x:c r="O1362" s="6">
        <x:f>IF(N1362="","",IFERROR(VLOOKUP(N1362,Master_Data!$A$5:$C$8,3,FALSE),0))</x:f>
      </x:c>
      <x:c r="P1362" s="7">
        <x:f>IF(M1362="","",M1362*O1362)</x:f>
      </x:c>
      <x:c r="Q1362" s="7">
        <x:f>IF(M1362="","",M1362+P1362)</x:f>
      </x:c>
      <x:c r="R1362" s="7">
        <x:f>IF(K1362&lt;&gt;"Paid",0,IF(C1362="Income",Q1362,-Q1362))</x:f>
      </x:c>
      <x:c r="S1362" s="14">
        <x:f>IF(A1362="","",DATE(YEAR(A1362),MONTH(A1362),1))</x:f>
      </x:c>
      <x:c r="T1362" s="14">
        <x:f>IF(L1362="","",DATE(YEAR(L1362),MONTH(L1362),1))</x:f>
      </x:c>
    </x:row>
    <x:row r="1363">
      <x:c r="A1363" s="11" t="n"/>
      <x:c r="B1363" s="5" t="n"/>
      <x:c r="C1363" s="12" t="n"/>
      <x:c r="D1363" s="12" t="n"/>
      <x:c r="E1363" s="12" t="n"/>
      <x:c r="F1363" s="12" t="n"/>
      <x:c r="G1363" s="13">
        <x:f>IF(F1363="","",IFERROR(VLOOKUP(F1363,Master_Data!$E$24:$G$33,2,FALSE),"9999"))</x:f>
      </x:c>
      <x:c r="H1363" s="12" t="n"/>
      <x:c r="I1363" s="12" t="n"/>
      <x:c r="J1363" s="12" t="n"/>
      <x:c r="K1363" s="12" t="n"/>
      <x:c r="L1363" s="11" t="n"/>
      <x:c r="M1363" s="9" t="n"/>
      <x:c r="N1363" s="12" t="n"/>
      <x:c r="O1363" s="6">
        <x:f>IF(N1363="","",IFERROR(VLOOKUP(N1363,Master_Data!$A$5:$C$8,3,FALSE),0))</x:f>
      </x:c>
      <x:c r="P1363" s="7">
        <x:f>IF(M1363="","",M1363*O1363)</x:f>
      </x:c>
      <x:c r="Q1363" s="7">
        <x:f>IF(M1363="","",M1363+P1363)</x:f>
      </x:c>
      <x:c r="R1363" s="7">
        <x:f>IF(K1363&lt;&gt;"Paid",0,IF(C1363="Income",Q1363,-Q1363))</x:f>
      </x:c>
      <x:c r="S1363" s="14">
        <x:f>IF(A1363="","",DATE(YEAR(A1363),MONTH(A1363),1))</x:f>
      </x:c>
      <x:c r="T1363" s="14">
        <x:f>IF(L1363="","",DATE(YEAR(L1363),MONTH(L1363),1))</x:f>
      </x:c>
    </x:row>
    <x:row r="1364">
      <x:c r="A1364" s="11" t="n"/>
      <x:c r="B1364" s="5" t="n"/>
      <x:c r="C1364" s="12" t="n"/>
      <x:c r="D1364" s="12" t="n"/>
      <x:c r="E1364" s="12" t="n"/>
      <x:c r="F1364" s="12" t="n"/>
      <x:c r="G1364" s="13">
        <x:f>IF(F1364="","",IFERROR(VLOOKUP(F1364,Master_Data!$E$24:$G$33,2,FALSE),"9999"))</x:f>
      </x:c>
      <x:c r="H1364" s="12" t="n"/>
      <x:c r="I1364" s="12" t="n"/>
      <x:c r="J1364" s="12" t="n"/>
      <x:c r="K1364" s="12" t="n"/>
      <x:c r="L1364" s="11" t="n"/>
      <x:c r="M1364" s="9" t="n"/>
      <x:c r="N1364" s="12" t="n"/>
      <x:c r="O1364" s="6">
        <x:f>IF(N1364="","",IFERROR(VLOOKUP(N1364,Master_Data!$A$5:$C$8,3,FALSE),0))</x:f>
      </x:c>
      <x:c r="P1364" s="7">
        <x:f>IF(M1364="","",M1364*O1364)</x:f>
      </x:c>
      <x:c r="Q1364" s="7">
        <x:f>IF(M1364="","",M1364+P1364)</x:f>
      </x:c>
      <x:c r="R1364" s="7">
        <x:f>IF(K1364&lt;&gt;"Paid",0,IF(C1364="Income",Q1364,-Q1364))</x:f>
      </x:c>
      <x:c r="S1364" s="14">
        <x:f>IF(A1364="","",DATE(YEAR(A1364),MONTH(A1364),1))</x:f>
      </x:c>
      <x:c r="T1364" s="14">
        <x:f>IF(L1364="","",DATE(YEAR(L1364),MONTH(L1364),1))</x:f>
      </x:c>
    </x:row>
    <x:row r="1365">
      <x:c r="A1365" s="11" t="n"/>
      <x:c r="B1365" s="5" t="n"/>
      <x:c r="C1365" s="12" t="n"/>
      <x:c r="D1365" s="12" t="n"/>
      <x:c r="E1365" s="12" t="n"/>
      <x:c r="F1365" s="12" t="n"/>
      <x:c r="G1365" s="13">
        <x:f>IF(F1365="","",IFERROR(VLOOKUP(F1365,Master_Data!$E$24:$G$33,2,FALSE),"9999"))</x:f>
      </x:c>
      <x:c r="H1365" s="12" t="n"/>
      <x:c r="I1365" s="12" t="n"/>
      <x:c r="J1365" s="12" t="n"/>
      <x:c r="K1365" s="12" t="n"/>
      <x:c r="L1365" s="11" t="n"/>
      <x:c r="M1365" s="9" t="n"/>
      <x:c r="N1365" s="12" t="n"/>
      <x:c r="O1365" s="6">
        <x:f>IF(N1365="","",IFERROR(VLOOKUP(N1365,Master_Data!$A$5:$C$8,3,FALSE),0))</x:f>
      </x:c>
      <x:c r="P1365" s="7">
        <x:f>IF(M1365="","",M1365*O1365)</x:f>
      </x:c>
      <x:c r="Q1365" s="7">
        <x:f>IF(M1365="","",M1365+P1365)</x:f>
      </x:c>
      <x:c r="R1365" s="7">
        <x:f>IF(K1365&lt;&gt;"Paid",0,IF(C1365="Income",Q1365,-Q1365))</x:f>
      </x:c>
      <x:c r="S1365" s="14">
        <x:f>IF(A1365="","",DATE(YEAR(A1365),MONTH(A1365),1))</x:f>
      </x:c>
      <x:c r="T1365" s="14">
        <x:f>IF(L1365="","",DATE(YEAR(L1365),MONTH(L1365),1))</x:f>
      </x:c>
    </x:row>
    <x:row r="1366">
      <x:c r="A1366" s="11" t="n"/>
      <x:c r="B1366" s="5" t="n"/>
      <x:c r="C1366" s="12" t="n"/>
      <x:c r="D1366" s="12" t="n"/>
      <x:c r="E1366" s="12" t="n"/>
      <x:c r="F1366" s="12" t="n"/>
      <x:c r="G1366" s="13">
        <x:f>IF(F1366="","",IFERROR(VLOOKUP(F1366,Master_Data!$E$24:$G$33,2,FALSE),"9999"))</x:f>
      </x:c>
      <x:c r="H1366" s="12" t="n"/>
      <x:c r="I1366" s="12" t="n"/>
      <x:c r="J1366" s="12" t="n"/>
      <x:c r="K1366" s="12" t="n"/>
      <x:c r="L1366" s="11" t="n"/>
      <x:c r="M1366" s="9" t="n"/>
      <x:c r="N1366" s="12" t="n"/>
      <x:c r="O1366" s="6">
        <x:f>IF(N1366="","",IFERROR(VLOOKUP(N1366,Master_Data!$A$5:$C$8,3,FALSE),0))</x:f>
      </x:c>
      <x:c r="P1366" s="7">
        <x:f>IF(M1366="","",M1366*O1366)</x:f>
      </x:c>
      <x:c r="Q1366" s="7">
        <x:f>IF(M1366="","",M1366+P1366)</x:f>
      </x:c>
      <x:c r="R1366" s="7">
        <x:f>IF(K1366&lt;&gt;"Paid",0,IF(C1366="Income",Q1366,-Q1366))</x:f>
      </x:c>
      <x:c r="S1366" s="14">
        <x:f>IF(A1366="","",DATE(YEAR(A1366),MONTH(A1366),1))</x:f>
      </x:c>
      <x:c r="T1366" s="14">
        <x:f>IF(L1366="","",DATE(YEAR(L1366),MONTH(L1366),1))</x:f>
      </x:c>
    </x:row>
    <x:row r="1367">
      <x:c r="A1367" s="11" t="n"/>
      <x:c r="B1367" s="5" t="n"/>
      <x:c r="C1367" s="12" t="n"/>
      <x:c r="D1367" s="12" t="n"/>
      <x:c r="E1367" s="12" t="n"/>
      <x:c r="F1367" s="12" t="n"/>
      <x:c r="G1367" s="13">
        <x:f>IF(F1367="","",IFERROR(VLOOKUP(F1367,Master_Data!$E$24:$G$33,2,FALSE),"9999"))</x:f>
      </x:c>
      <x:c r="H1367" s="12" t="n"/>
      <x:c r="I1367" s="12" t="n"/>
      <x:c r="J1367" s="12" t="n"/>
      <x:c r="K1367" s="12" t="n"/>
      <x:c r="L1367" s="11" t="n"/>
      <x:c r="M1367" s="9" t="n"/>
      <x:c r="N1367" s="12" t="n"/>
      <x:c r="O1367" s="6">
        <x:f>IF(N1367="","",IFERROR(VLOOKUP(N1367,Master_Data!$A$5:$C$8,3,FALSE),0))</x:f>
      </x:c>
      <x:c r="P1367" s="7">
        <x:f>IF(M1367="","",M1367*O1367)</x:f>
      </x:c>
      <x:c r="Q1367" s="7">
        <x:f>IF(M1367="","",M1367+P1367)</x:f>
      </x:c>
      <x:c r="R1367" s="7">
        <x:f>IF(K1367&lt;&gt;"Paid",0,IF(C1367="Income",Q1367,-Q1367))</x:f>
      </x:c>
      <x:c r="S1367" s="14">
        <x:f>IF(A1367="","",DATE(YEAR(A1367),MONTH(A1367),1))</x:f>
      </x:c>
      <x:c r="T1367" s="14">
        <x:f>IF(L1367="","",DATE(YEAR(L1367),MONTH(L1367),1))</x:f>
      </x:c>
    </x:row>
    <x:row r="1368">
      <x:c r="A1368" s="11" t="n"/>
      <x:c r="B1368" s="5" t="n"/>
      <x:c r="C1368" s="12" t="n"/>
      <x:c r="D1368" s="12" t="n"/>
      <x:c r="E1368" s="12" t="n"/>
      <x:c r="F1368" s="12" t="n"/>
      <x:c r="G1368" s="13">
        <x:f>IF(F1368="","",IFERROR(VLOOKUP(F1368,Master_Data!$E$24:$G$33,2,FALSE),"9999"))</x:f>
      </x:c>
      <x:c r="H1368" s="12" t="n"/>
      <x:c r="I1368" s="12" t="n"/>
      <x:c r="J1368" s="12" t="n"/>
      <x:c r="K1368" s="12" t="n"/>
      <x:c r="L1368" s="11" t="n"/>
      <x:c r="M1368" s="9" t="n"/>
      <x:c r="N1368" s="12" t="n"/>
      <x:c r="O1368" s="6">
        <x:f>IF(N1368="","",IFERROR(VLOOKUP(N1368,Master_Data!$A$5:$C$8,3,FALSE),0))</x:f>
      </x:c>
      <x:c r="P1368" s="7">
        <x:f>IF(M1368="","",M1368*O1368)</x:f>
      </x:c>
      <x:c r="Q1368" s="7">
        <x:f>IF(M1368="","",M1368+P1368)</x:f>
      </x:c>
      <x:c r="R1368" s="7">
        <x:f>IF(K1368&lt;&gt;"Paid",0,IF(C1368="Income",Q1368,-Q1368))</x:f>
      </x:c>
      <x:c r="S1368" s="14">
        <x:f>IF(A1368="","",DATE(YEAR(A1368),MONTH(A1368),1))</x:f>
      </x:c>
      <x:c r="T1368" s="14">
        <x:f>IF(L1368="","",DATE(YEAR(L1368),MONTH(L1368),1))</x:f>
      </x:c>
    </x:row>
    <x:row r="1369">
      <x:c r="A1369" s="11" t="n"/>
      <x:c r="B1369" s="5" t="n"/>
      <x:c r="C1369" s="12" t="n"/>
      <x:c r="D1369" s="12" t="n"/>
      <x:c r="E1369" s="12" t="n"/>
      <x:c r="F1369" s="12" t="n"/>
      <x:c r="G1369" s="13">
        <x:f>IF(F1369="","",IFERROR(VLOOKUP(F1369,Master_Data!$E$24:$G$33,2,FALSE),"9999"))</x:f>
      </x:c>
      <x:c r="H1369" s="12" t="n"/>
      <x:c r="I1369" s="12" t="n"/>
      <x:c r="J1369" s="12" t="n"/>
      <x:c r="K1369" s="12" t="n"/>
      <x:c r="L1369" s="11" t="n"/>
      <x:c r="M1369" s="9" t="n"/>
      <x:c r="N1369" s="12" t="n"/>
      <x:c r="O1369" s="6">
        <x:f>IF(N1369="","",IFERROR(VLOOKUP(N1369,Master_Data!$A$5:$C$8,3,FALSE),0))</x:f>
      </x:c>
      <x:c r="P1369" s="7">
        <x:f>IF(M1369="","",M1369*O1369)</x:f>
      </x:c>
      <x:c r="Q1369" s="7">
        <x:f>IF(M1369="","",M1369+P1369)</x:f>
      </x:c>
      <x:c r="R1369" s="7">
        <x:f>IF(K1369&lt;&gt;"Paid",0,IF(C1369="Income",Q1369,-Q1369))</x:f>
      </x:c>
      <x:c r="S1369" s="14">
        <x:f>IF(A1369="","",DATE(YEAR(A1369),MONTH(A1369),1))</x:f>
      </x:c>
      <x:c r="T1369" s="14">
        <x:f>IF(L1369="","",DATE(YEAR(L1369),MONTH(L1369),1))</x:f>
      </x:c>
    </x:row>
    <x:row r="1370">
      <x:c r="A1370" s="11" t="n"/>
      <x:c r="B1370" s="5" t="n"/>
      <x:c r="C1370" s="12" t="n"/>
      <x:c r="D1370" s="12" t="n"/>
      <x:c r="E1370" s="12" t="n"/>
      <x:c r="F1370" s="12" t="n"/>
      <x:c r="G1370" s="13">
        <x:f>IF(F1370="","",IFERROR(VLOOKUP(F1370,Master_Data!$E$24:$G$33,2,FALSE),"9999"))</x:f>
      </x:c>
      <x:c r="H1370" s="12" t="n"/>
      <x:c r="I1370" s="12" t="n"/>
      <x:c r="J1370" s="12" t="n"/>
      <x:c r="K1370" s="12" t="n"/>
      <x:c r="L1370" s="11" t="n"/>
      <x:c r="M1370" s="9" t="n"/>
      <x:c r="N1370" s="12" t="n"/>
      <x:c r="O1370" s="6">
        <x:f>IF(N1370="","",IFERROR(VLOOKUP(N1370,Master_Data!$A$5:$C$8,3,FALSE),0))</x:f>
      </x:c>
      <x:c r="P1370" s="7">
        <x:f>IF(M1370="","",M1370*O1370)</x:f>
      </x:c>
      <x:c r="Q1370" s="7">
        <x:f>IF(M1370="","",M1370+P1370)</x:f>
      </x:c>
      <x:c r="R1370" s="7">
        <x:f>IF(K1370&lt;&gt;"Paid",0,IF(C1370="Income",Q1370,-Q1370))</x:f>
      </x:c>
      <x:c r="S1370" s="14">
        <x:f>IF(A1370="","",DATE(YEAR(A1370),MONTH(A1370),1))</x:f>
      </x:c>
      <x:c r="T1370" s="14">
        <x:f>IF(L1370="","",DATE(YEAR(L1370),MONTH(L1370),1))</x:f>
      </x:c>
    </x:row>
    <x:row r="1371">
      <x:c r="A1371" s="11" t="n"/>
      <x:c r="B1371" s="5" t="n"/>
      <x:c r="C1371" s="12" t="n"/>
      <x:c r="D1371" s="12" t="n"/>
      <x:c r="E1371" s="12" t="n"/>
      <x:c r="F1371" s="12" t="n"/>
      <x:c r="G1371" s="13">
        <x:f>IF(F1371="","",IFERROR(VLOOKUP(F1371,Master_Data!$E$24:$G$33,2,FALSE),"9999"))</x:f>
      </x:c>
      <x:c r="H1371" s="12" t="n"/>
      <x:c r="I1371" s="12" t="n"/>
      <x:c r="J1371" s="12" t="n"/>
      <x:c r="K1371" s="12" t="n"/>
      <x:c r="L1371" s="11" t="n"/>
      <x:c r="M1371" s="9" t="n"/>
      <x:c r="N1371" s="12" t="n"/>
      <x:c r="O1371" s="6">
        <x:f>IF(N1371="","",IFERROR(VLOOKUP(N1371,Master_Data!$A$5:$C$8,3,FALSE),0))</x:f>
      </x:c>
      <x:c r="P1371" s="7">
        <x:f>IF(M1371="","",M1371*O1371)</x:f>
      </x:c>
      <x:c r="Q1371" s="7">
        <x:f>IF(M1371="","",M1371+P1371)</x:f>
      </x:c>
      <x:c r="R1371" s="7">
        <x:f>IF(K1371&lt;&gt;"Paid",0,IF(C1371="Income",Q1371,-Q1371))</x:f>
      </x:c>
      <x:c r="S1371" s="14">
        <x:f>IF(A1371="","",DATE(YEAR(A1371),MONTH(A1371),1))</x:f>
      </x:c>
      <x:c r="T1371" s="14">
        <x:f>IF(L1371="","",DATE(YEAR(L1371),MONTH(L1371),1))</x:f>
      </x:c>
    </x:row>
    <x:row r="1372">
      <x:c r="A1372" s="11" t="n"/>
      <x:c r="B1372" s="5" t="n"/>
      <x:c r="C1372" s="12" t="n"/>
      <x:c r="D1372" s="12" t="n"/>
      <x:c r="E1372" s="12" t="n"/>
      <x:c r="F1372" s="12" t="n"/>
      <x:c r="G1372" s="13">
        <x:f>IF(F1372="","",IFERROR(VLOOKUP(F1372,Master_Data!$E$24:$G$33,2,FALSE),"9999"))</x:f>
      </x:c>
      <x:c r="H1372" s="12" t="n"/>
      <x:c r="I1372" s="12" t="n"/>
      <x:c r="J1372" s="12" t="n"/>
      <x:c r="K1372" s="12" t="n"/>
      <x:c r="L1372" s="11" t="n"/>
      <x:c r="M1372" s="9" t="n"/>
      <x:c r="N1372" s="12" t="n"/>
      <x:c r="O1372" s="6">
        <x:f>IF(N1372="","",IFERROR(VLOOKUP(N1372,Master_Data!$A$5:$C$8,3,FALSE),0))</x:f>
      </x:c>
      <x:c r="P1372" s="7">
        <x:f>IF(M1372="","",M1372*O1372)</x:f>
      </x:c>
      <x:c r="Q1372" s="7">
        <x:f>IF(M1372="","",M1372+P1372)</x:f>
      </x:c>
      <x:c r="R1372" s="7">
        <x:f>IF(K1372&lt;&gt;"Paid",0,IF(C1372="Income",Q1372,-Q1372))</x:f>
      </x:c>
      <x:c r="S1372" s="14">
        <x:f>IF(A1372="","",DATE(YEAR(A1372),MONTH(A1372),1))</x:f>
      </x:c>
      <x:c r="T1372" s="14">
        <x:f>IF(L1372="","",DATE(YEAR(L1372),MONTH(L1372),1))</x:f>
      </x:c>
    </x:row>
    <x:row r="1373">
      <x:c r="A1373" s="11" t="n"/>
      <x:c r="B1373" s="5" t="n"/>
      <x:c r="C1373" s="12" t="n"/>
      <x:c r="D1373" s="12" t="n"/>
      <x:c r="E1373" s="12" t="n"/>
      <x:c r="F1373" s="12" t="n"/>
      <x:c r="G1373" s="13">
        <x:f>IF(F1373="","",IFERROR(VLOOKUP(F1373,Master_Data!$E$24:$G$33,2,FALSE),"9999"))</x:f>
      </x:c>
      <x:c r="H1373" s="12" t="n"/>
      <x:c r="I1373" s="12" t="n"/>
      <x:c r="J1373" s="12" t="n"/>
      <x:c r="K1373" s="12" t="n"/>
      <x:c r="L1373" s="11" t="n"/>
      <x:c r="M1373" s="9" t="n"/>
      <x:c r="N1373" s="12" t="n"/>
      <x:c r="O1373" s="6">
        <x:f>IF(N1373="","",IFERROR(VLOOKUP(N1373,Master_Data!$A$5:$C$8,3,FALSE),0))</x:f>
      </x:c>
      <x:c r="P1373" s="7">
        <x:f>IF(M1373="","",M1373*O1373)</x:f>
      </x:c>
      <x:c r="Q1373" s="7">
        <x:f>IF(M1373="","",M1373+P1373)</x:f>
      </x:c>
      <x:c r="R1373" s="7">
        <x:f>IF(K1373&lt;&gt;"Paid",0,IF(C1373="Income",Q1373,-Q1373))</x:f>
      </x:c>
      <x:c r="S1373" s="14">
        <x:f>IF(A1373="","",DATE(YEAR(A1373),MONTH(A1373),1))</x:f>
      </x:c>
      <x:c r="T1373" s="14">
        <x:f>IF(L1373="","",DATE(YEAR(L1373),MONTH(L1373),1))</x:f>
      </x:c>
    </x:row>
    <x:row r="1374">
      <x:c r="A1374" s="11" t="n"/>
      <x:c r="B1374" s="5" t="n"/>
      <x:c r="C1374" s="12" t="n"/>
      <x:c r="D1374" s="12" t="n"/>
      <x:c r="E1374" s="12" t="n"/>
      <x:c r="F1374" s="12" t="n"/>
      <x:c r="G1374" s="13">
        <x:f>IF(F1374="","",IFERROR(VLOOKUP(F1374,Master_Data!$E$24:$G$33,2,FALSE),"9999"))</x:f>
      </x:c>
      <x:c r="H1374" s="12" t="n"/>
      <x:c r="I1374" s="12" t="n"/>
      <x:c r="J1374" s="12" t="n"/>
      <x:c r="K1374" s="12" t="n"/>
      <x:c r="L1374" s="11" t="n"/>
      <x:c r="M1374" s="9" t="n"/>
      <x:c r="N1374" s="12" t="n"/>
      <x:c r="O1374" s="6">
        <x:f>IF(N1374="","",IFERROR(VLOOKUP(N1374,Master_Data!$A$5:$C$8,3,FALSE),0))</x:f>
      </x:c>
      <x:c r="P1374" s="7">
        <x:f>IF(M1374="","",M1374*O1374)</x:f>
      </x:c>
      <x:c r="Q1374" s="7">
        <x:f>IF(M1374="","",M1374+P1374)</x:f>
      </x:c>
      <x:c r="R1374" s="7">
        <x:f>IF(K1374&lt;&gt;"Paid",0,IF(C1374="Income",Q1374,-Q1374))</x:f>
      </x:c>
      <x:c r="S1374" s="14">
        <x:f>IF(A1374="","",DATE(YEAR(A1374),MONTH(A1374),1))</x:f>
      </x:c>
      <x:c r="T1374" s="14">
        <x:f>IF(L1374="","",DATE(YEAR(L1374),MONTH(L1374),1))</x:f>
      </x:c>
    </x:row>
    <x:row r="1375">
      <x:c r="A1375" s="11" t="n"/>
      <x:c r="B1375" s="5" t="n"/>
      <x:c r="C1375" s="12" t="n"/>
      <x:c r="D1375" s="12" t="n"/>
      <x:c r="E1375" s="12" t="n"/>
      <x:c r="F1375" s="12" t="n"/>
      <x:c r="G1375" s="13">
        <x:f>IF(F1375="","",IFERROR(VLOOKUP(F1375,Master_Data!$E$24:$G$33,2,FALSE),"9999"))</x:f>
      </x:c>
      <x:c r="H1375" s="12" t="n"/>
      <x:c r="I1375" s="12" t="n"/>
      <x:c r="J1375" s="12" t="n"/>
      <x:c r="K1375" s="12" t="n"/>
      <x:c r="L1375" s="11" t="n"/>
      <x:c r="M1375" s="9" t="n"/>
      <x:c r="N1375" s="12" t="n"/>
      <x:c r="O1375" s="6">
        <x:f>IF(N1375="","",IFERROR(VLOOKUP(N1375,Master_Data!$A$5:$C$8,3,FALSE),0))</x:f>
      </x:c>
      <x:c r="P1375" s="7">
        <x:f>IF(M1375="","",M1375*O1375)</x:f>
      </x:c>
      <x:c r="Q1375" s="7">
        <x:f>IF(M1375="","",M1375+P1375)</x:f>
      </x:c>
      <x:c r="R1375" s="7">
        <x:f>IF(K1375&lt;&gt;"Paid",0,IF(C1375="Income",Q1375,-Q1375))</x:f>
      </x:c>
      <x:c r="S1375" s="14">
        <x:f>IF(A1375="","",DATE(YEAR(A1375),MONTH(A1375),1))</x:f>
      </x:c>
      <x:c r="T1375" s="14">
        <x:f>IF(L1375="","",DATE(YEAR(L1375),MONTH(L1375),1))</x:f>
      </x:c>
    </x:row>
    <x:row r="1376">
      <x:c r="A1376" s="11" t="n"/>
      <x:c r="B1376" s="5" t="n"/>
      <x:c r="C1376" s="12" t="n"/>
      <x:c r="D1376" s="12" t="n"/>
      <x:c r="E1376" s="12" t="n"/>
      <x:c r="F1376" s="12" t="n"/>
      <x:c r="G1376" s="13">
        <x:f>IF(F1376="","",IFERROR(VLOOKUP(F1376,Master_Data!$E$24:$G$33,2,FALSE),"9999"))</x:f>
      </x:c>
      <x:c r="H1376" s="12" t="n"/>
      <x:c r="I1376" s="12" t="n"/>
      <x:c r="J1376" s="12" t="n"/>
      <x:c r="K1376" s="12" t="n"/>
      <x:c r="L1376" s="11" t="n"/>
      <x:c r="M1376" s="9" t="n"/>
      <x:c r="N1376" s="12" t="n"/>
      <x:c r="O1376" s="6">
        <x:f>IF(N1376="","",IFERROR(VLOOKUP(N1376,Master_Data!$A$5:$C$8,3,FALSE),0))</x:f>
      </x:c>
      <x:c r="P1376" s="7">
        <x:f>IF(M1376="","",M1376*O1376)</x:f>
      </x:c>
      <x:c r="Q1376" s="7">
        <x:f>IF(M1376="","",M1376+P1376)</x:f>
      </x:c>
      <x:c r="R1376" s="7">
        <x:f>IF(K1376&lt;&gt;"Paid",0,IF(C1376="Income",Q1376,-Q1376))</x:f>
      </x:c>
      <x:c r="S1376" s="14">
        <x:f>IF(A1376="","",DATE(YEAR(A1376),MONTH(A1376),1))</x:f>
      </x:c>
      <x:c r="T1376" s="14">
        <x:f>IF(L1376="","",DATE(YEAR(L1376),MONTH(L1376),1))</x:f>
      </x:c>
    </x:row>
    <x:row r="1377">
      <x:c r="A1377" s="11" t="n"/>
      <x:c r="B1377" s="5" t="n"/>
      <x:c r="C1377" s="12" t="n"/>
      <x:c r="D1377" s="12" t="n"/>
      <x:c r="E1377" s="12" t="n"/>
      <x:c r="F1377" s="12" t="n"/>
      <x:c r="G1377" s="13">
        <x:f>IF(F1377="","",IFERROR(VLOOKUP(F1377,Master_Data!$E$24:$G$33,2,FALSE),"9999"))</x:f>
      </x:c>
      <x:c r="H1377" s="12" t="n"/>
      <x:c r="I1377" s="12" t="n"/>
      <x:c r="J1377" s="12" t="n"/>
      <x:c r="K1377" s="12" t="n"/>
      <x:c r="L1377" s="11" t="n"/>
      <x:c r="M1377" s="9" t="n"/>
      <x:c r="N1377" s="12" t="n"/>
      <x:c r="O1377" s="6">
        <x:f>IF(N1377="","",IFERROR(VLOOKUP(N1377,Master_Data!$A$5:$C$8,3,FALSE),0))</x:f>
      </x:c>
      <x:c r="P1377" s="7">
        <x:f>IF(M1377="","",M1377*O1377)</x:f>
      </x:c>
      <x:c r="Q1377" s="7">
        <x:f>IF(M1377="","",M1377+P1377)</x:f>
      </x:c>
      <x:c r="R1377" s="7">
        <x:f>IF(K1377&lt;&gt;"Paid",0,IF(C1377="Income",Q1377,-Q1377))</x:f>
      </x:c>
      <x:c r="S1377" s="14">
        <x:f>IF(A1377="","",DATE(YEAR(A1377),MONTH(A1377),1))</x:f>
      </x:c>
      <x:c r="T1377" s="14">
        <x:f>IF(L1377="","",DATE(YEAR(L1377),MONTH(L1377),1))</x:f>
      </x:c>
    </x:row>
    <x:row r="1378">
      <x:c r="A1378" s="11" t="n"/>
      <x:c r="B1378" s="5" t="n"/>
      <x:c r="C1378" s="12" t="n"/>
      <x:c r="D1378" s="12" t="n"/>
      <x:c r="E1378" s="12" t="n"/>
      <x:c r="F1378" s="12" t="n"/>
      <x:c r="G1378" s="13">
        <x:f>IF(F1378="","",IFERROR(VLOOKUP(F1378,Master_Data!$E$24:$G$33,2,FALSE),"9999"))</x:f>
      </x:c>
      <x:c r="H1378" s="12" t="n"/>
      <x:c r="I1378" s="12" t="n"/>
      <x:c r="J1378" s="12" t="n"/>
      <x:c r="K1378" s="12" t="n"/>
      <x:c r="L1378" s="11" t="n"/>
      <x:c r="M1378" s="9" t="n"/>
      <x:c r="N1378" s="12" t="n"/>
      <x:c r="O1378" s="6">
        <x:f>IF(N1378="","",IFERROR(VLOOKUP(N1378,Master_Data!$A$5:$C$8,3,FALSE),0))</x:f>
      </x:c>
      <x:c r="P1378" s="7">
        <x:f>IF(M1378="","",M1378*O1378)</x:f>
      </x:c>
      <x:c r="Q1378" s="7">
        <x:f>IF(M1378="","",M1378+P1378)</x:f>
      </x:c>
      <x:c r="R1378" s="7">
        <x:f>IF(K1378&lt;&gt;"Paid",0,IF(C1378="Income",Q1378,-Q1378))</x:f>
      </x:c>
      <x:c r="S1378" s="14">
        <x:f>IF(A1378="","",DATE(YEAR(A1378),MONTH(A1378),1))</x:f>
      </x:c>
      <x:c r="T1378" s="14">
        <x:f>IF(L1378="","",DATE(YEAR(L1378),MONTH(L1378),1))</x:f>
      </x:c>
    </x:row>
    <x:row r="1379">
      <x:c r="A1379" s="11" t="n"/>
      <x:c r="B1379" s="5" t="n"/>
      <x:c r="C1379" s="12" t="n"/>
      <x:c r="D1379" s="12" t="n"/>
      <x:c r="E1379" s="12" t="n"/>
      <x:c r="F1379" s="12" t="n"/>
      <x:c r="G1379" s="13">
        <x:f>IF(F1379="","",IFERROR(VLOOKUP(F1379,Master_Data!$E$24:$G$33,2,FALSE),"9999"))</x:f>
      </x:c>
      <x:c r="H1379" s="12" t="n"/>
      <x:c r="I1379" s="12" t="n"/>
      <x:c r="J1379" s="12" t="n"/>
      <x:c r="K1379" s="12" t="n"/>
      <x:c r="L1379" s="11" t="n"/>
      <x:c r="M1379" s="9" t="n"/>
      <x:c r="N1379" s="12" t="n"/>
      <x:c r="O1379" s="6">
        <x:f>IF(N1379="","",IFERROR(VLOOKUP(N1379,Master_Data!$A$5:$C$8,3,FALSE),0))</x:f>
      </x:c>
      <x:c r="P1379" s="7">
        <x:f>IF(M1379="","",M1379*O1379)</x:f>
      </x:c>
      <x:c r="Q1379" s="7">
        <x:f>IF(M1379="","",M1379+P1379)</x:f>
      </x:c>
      <x:c r="R1379" s="7">
        <x:f>IF(K1379&lt;&gt;"Paid",0,IF(C1379="Income",Q1379,-Q1379))</x:f>
      </x:c>
      <x:c r="S1379" s="14">
        <x:f>IF(A1379="","",DATE(YEAR(A1379),MONTH(A1379),1))</x:f>
      </x:c>
      <x:c r="T1379" s="14">
        <x:f>IF(L1379="","",DATE(YEAR(L1379),MONTH(L1379),1))</x:f>
      </x:c>
    </x:row>
    <x:row r="1380">
      <x:c r="A1380" s="11" t="n"/>
      <x:c r="B1380" s="5" t="n"/>
      <x:c r="C1380" s="12" t="n"/>
      <x:c r="D1380" s="12" t="n"/>
      <x:c r="E1380" s="12" t="n"/>
      <x:c r="F1380" s="12" t="n"/>
      <x:c r="G1380" s="13">
        <x:f>IF(F1380="","",IFERROR(VLOOKUP(F1380,Master_Data!$E$24:$G$33,2,FALSE),"9999"))</x:f>
      </x:c>
      <x:c r="H1380" s="12" t="n"/>
      <x:c r="I1380" s="12" t="n"/>
      <x:c r="J1380" s="12" t="n"/>
      <x:c r="K1380" s="12" t="n"/>
      <x:c r="L1380" s="11" t="n"/>
      <x:c r="M1380" s="9" t="n"/>
      <x:c r="N1380" s="12" t="n"/>
      <x:c r="O1380" s="6">
        <x:f>IF(N1380="","",IFERROR(VLOOKUP(N1380,Master_Data!$A$5:$C$8,3,FALSE),0))</x:f>
      </x:c>
      <x:c r="P1380" s="7">
        <x:f>IF(M1380="","",M1380*O1380)</x:f>
      </x:c>
      <x:c r="Q1380" s="7">
        <x:f>IF(M1380="","",M1380+P1380)</x:f>
      </x:c>
      <x:c r="R1380" s="7">
        <x:f>IF(K1380&lt;&gt;"Paid",0,IF(C1380="Income",Q1380,-Q1380))</x:f>
      </x:c>
      <x:c r="S1380" s="14">
        <x:f>IF(A1380="","",DATE(YEAR(A1380),MONTH(A1380),1))</x:f>
      </x:c>
      <x:c r="T1380" s="14">
        <x:f>IF(L1380="","",DATE(YEAR(L1380),MONTH(L1380),1))</x:f>
      </x:c>
    </x:row>
    <x:row r="1381">
      <x:c r="A1381" s="11" t="n"/>
      <x:c r="B1381" s="5" t="n"/>
      <x:c r="C1381" s="12" t="n"/>
      <x:c r="D1381" s="12" t="n"/>
      <x:c r="E1381" s="12" t="n"/>
      <x:c r="F1381" s="12" t="n"/>
      <x:c r="G1381" s="13">
        <x:f>IF(F1381="","",IFERROR(VLOOKUP(F1381,Master_Data!$E$24:$G$33,2,FALSE),"9999"))</x:f>
      </x:c>
      <x:c r="H1381" s="12" t="n"/>
      <x:c r="I1381" s="12" t="n"/>
      <x:c r="J1381" s="12" t="n"/>
      <x:c r="K1381" s="12" t="n"/>
      <x:c r="L1381" s="11" t="n"/>
      <x:c r="M1381" s="9" t="n"/>
      <x:c r="N1381" s="12" t="n"/>
      <x:c r="O1381" s="6">
        <x:f>IF(N1381="","",IFERROR(VLOOKUP(N1381,Master_Data!$A$5:$C$8,3,FALSE),0))</x:f>
      </x:c>
      <x:c r="P1381" s="7">
        <x:f>IF(M1381="","",M1381*O1381)</x:f>
      </x:c>
      <x:c r="Q1381" s="7">
        <x:f>IF(M1381="","",M1381+P1381)</x:f>
      </x:c>
      <x:c r="R1381" s="7">
        <x:f>IF(K1381&lt;&gt;"Paid",0,IF(C1381="Income",Q1381,-Q1381))</x:f>
      </x:c>
      <x:c r="S1381" s="14">
        <x:f>IF(A1381="","",DATE(YEAR(A1381),MONTH(A1381),1))</x:f>
      </x:c>
      <x:c r="T1381" s="14">
        <x:f>IF(L1381="","",DATE(YEAR(L1381),MONTH(L1381),1))</x:f>
      </x:c>
    </x:row>
    <x:row r="1382">
      <x:c r="A1382" s="11" t="n"/>
      <x:c r="B1382" s="5" t="n"/>
      <x:c r="C1382" s="12" t="n"/>
      <x:c r="D1382" s="12" t="n"/>
      <x:c r="E1382" s="12" t="n"/>
      <x:c r="F1382" s="12" t="n"/>
      <x:c r="G1382" s="13">
        <x:f>IF(F1382="","",IFERROR(VLOOKUP(F1382,Master_Data!$E$24:$G$33,2,FALSE),"9999"))</x:f>
      </x:c>
      <x:c r="H1382" s="12" t="n"/>
      <x:c r="I1382" s="12" t="n"/>
      <x:c r="J1382" s="12" t="n"/>
      <x:c r="K1382" s="12" t="n"/>
      <x:c r="L1382" s="11" t="n"/>
      <x:c r="M1382" s="9" t="n"/>
      <x:c r="N1382" s="12" t="n"/>
      <x:c r="O1382" s="6">
        <x:f>IF(N1382="","",IFERROR(VLOOKUP(N1382,Master_Data!$A$5:$C$8,3,FALSE),0))</x:f>
      </x:c>
      <x:c r="P1382" s="7">
        <x:f>IF(M1382="","",M1382*O1382)</x:f>
      </x:c>
      <x:c r="Q1382" s="7">
        <x:f>IF(M1382="","",M1382+P1382)</x:f>
      </x:c>
      <x:c r="R1382" s="7">
        <x:f>IF(K1382&lt;&gt;"Paid",0,IF(C1382="Income",Q1382,-Q1382))</x:f>
      </x:c>
      <x:c r="S1382" s="14">
        <x:f>IF(A1382="","",DATE(YEAR(A1382),MONTH(A1382),1))</x:f>
      </x:c>
      <x:c r="T1382" s="14">
        <x:f>IF(L1382="","",DATE(YEAR(L1382),MONTH(L1382),1))</x:f>
      </x:c>
    </x:row>
    <x:row r="1383">
      <x:c r="A1383" s="11" t="n"/>
      <x:c r="B1383" s="5" t="n"/>
      <x:c r="C1383" s="12" t="n"/>
      <x:c r="D1383" s="12" t="n"/>
      <x:c r="E1383" s="12" t="n"/>
      <x:c r="F1383" s="12" t="n"/>
      <x:c r="G1383" s="13">
        <x:f>IF(F1383="","",IFERROR(VLOOKUP(F1383,Master_Data!$E$24:$G$33,2,FALSE),"9999"))</x:f>
      </x:c>
      <x:c r="H1383" s="12" t="n"/>
      <x:c r="I1383" s="12" t="n"/>
      <x:c r="J1383" s="12" t="n"/>
      <x:c r="K1383" s="12" t="n"/>
      <x:c r="L1383" s="11" t="n"/>
      <x:c r="M1383" s="9" t="n"/>
      <x:c r="N1383" s="12" t="n"/>
      <x:c r="O1383" s="6">
        <x:f>IF(N1383="","",IFERROR(VLOOKUP(N1383,Master_Data!$A$5:$C$8,3,FALSE),0))</x:f>
      </x:c>
      <x:c r="P1383" s="7">
        <x:f>IF(M1383="","",M1383*O1383)</x:f>
      </x:c>
      <x:c r="Q1383" s="7">
        <x:f>IF(M1383="","",M1383+P1383)</x:f>
      </x:c>
      <x:c r="R1383" s="7">
        <x:f>IF(K1383&lt;&gt;"Paid",0,IF(C1383="Income",Q1383,-Q1383))</x:f>
      </x:c>
      <x:c r="S1383" s="14">
        <x:f>IF(A1383="","",DATE(YEAR(A1383),MONTH(A1383),1))</x:f>
      </x:c>
      <x:c r="T1383" s="14">
        <x:f>IF(L1383="","",DATE(YEAR(L1383),MONTH(L1383),1))</x:f>
      </x:c>
    </x:row>
    <x:row r="1384">
      <x:c r="A1384" s="11" t="n"/>
      <x:c r="B1384" s="5" t="n"/>
      <x:c r="C1384" s="12" t="n"/>
      <x:c r="D1384" s="12" t="n"/>
      <x:c r="E1384" s="12" t="n"/>
      <x:c r="F1384" s="12" t="n"/>
      <x:c r="G1384" s="13">
        <x:f>IF(F1384="","",IFERROR(VLOOKUP(F1384,Master_Data!$E$24:$G$33,2,FALSE),"9999"))</x:f>
      </x:c>
      <x:c r="H1384" s="12" t="n"/>
      <x:c r="I1384" s="12" t="n"/>
      <x:c r="J1384" s="12" t="n"/>
      <x:c r="K1384" s="12" t="n"/>
      <x:c r="L1384" s="11" t="n"/>
      <x:c r="M1384" s="9" t="n"/>
      <x:c r="N1384" s="12" t="n"/>
      <x:c r="O1384" s="6">
        <x:f>IF(N1384="","",IFERROR(VLOOKUP(N1384,Master_Data!$A$5:$C$8,3,FALSE),0))</x:f>
      </x:c>
      <x:c r="P1384" s="7">
        <x:f>IF(M1384="","",M1384*O1384)</x:f>
      </x:c>
      <x:c r="Q1384" s="7">
        <x:f>IF(M1384="","",M1384+P1384)</x:f>
      </x:c>
      <x:c r="R1384" s="7">
        <x:f>IF(K1384&lt;&gt;"Paid",0,IF(C1384="Income",Q1384,-Q1384))</x:f>
      </x:c>
      <x:c r="S1384" s="14">
        <x:f>IF(A1384="","",DATE(YEAR(A1384),MONTH(A1384),1))</x:f>
      </x:c>
      <x:c r="T1384" s="14">
        <x:f>IF(L1384="","",DATE(YEAR(L1384),MONTH(L1384),1))</x:f>
      </x:c>
    </x:row>
    <x:row r="1385">
      <x:c r="A1385" s="11" t="n"/>
      <x:c r="B1385" s="5" t="n"/>
      <x:c r="C1385" s="12" t="n"/>
      <x:c r="D1385" s="12" t="n"/>
      <x:c r="E1385" s="12" t="n"/>
      <x:c r="F1385" s="12" t="n"/>
      <x:c r="G1385" s="13">
        <x:f>IF(F1385="","",IFERROR(VLOOKUP(F1385,Master_Data!$E$24:$G$33,2,FALSE),"9999"))</x:f>
      </x:c>
      <x:c r="H1385" s="12" t="n"/>
      <x:c r="I1385" s="12" t="n"/>
      <x:c r="J1385" s="12" t="n"/>
      <x:c r="K1385" s="12" t="n"/>
      <x:c r="L1385" s="11" t="n"/>
      <x:c r="M1385" s="9" t="n"/>
      <x:c r="N1385" s="12" t="n"/>
      <x:c r="O1385" s="6">
        <x:f>IF(N1385="","",IFERROR(VLOOKUP(N1385,Master_Data!$A$5:$C$8,3,FALSE),0))</x:f>
      </x:c>
      <x:c r="P1385" s="7">
        <x:f>IF(M1385="","",M1385*O1385)</x:f>
      </x:c>
      <x:c r="Q1385" s="7">
        <x:f>IF(M1385="","",M1385+P1385)</x:f>
      </x:c>
      <x:c r="R1385" s="7">
        <x:f>IF(K1385&lt;&gt;"Paid",0,IF(C1385="Income",Q1385,-Q1385))</x:f>
      </x:c>
      <x:c r="S1385" s="14">
        <x:f>IF(A1385="","",DATE(YEAR(A1385),MONTH(A1385),1))</x:f>
      </x:c>
      <x:c r="T1385" s="14">
        <x:f>IF(L1385="","",DATE(YEAR(L1385),MONTH(L1385),1))</x:f>
      </x:c>
    </x:row>
    <x:row r="1386">
      <x:c r="A1386" s="11" t="n"/>
      <x:c r="B1386" s="5" t="n"/>
      <x:c r="C1386" s="12" t="n"/>
      <x:c r="D1386" s="12" t="n"/>
      <x:c r="E1386" s="12" t="n"/>
      <x:c r="F1386" s="12" t="n"/>
      <x:c r="G1386" s="13">
        <x:f>IF(F1386="","",IFERROR(VLOOKUP(F1386,Master_Data!$E$24:$G$33,2,FALSE),"9999"))</x:f>
      </x:c>
      <x:c r="H1386" s="12" t="n"/>
      <x:c r="I1386" s="12" t="n"/>
      <x:c r="J1386" s="12" t="n"/>
      <x:c r="K1386" s="12" t="n"/>
      <x:c r="L1386" s="11" t="n"/>
      <x:c r="M1386" s="9" t="n"/>
      <x:c r="N1386" s="12" t="n"/>
      <x:c r="O1386" s="6">
        <x:f>IF(N1386="","",IFERROR(VLOOKUP(N1386,Master_Data!$A$5:$C$8,3,FALSE),0))</x:f>
      </x:c>
      <x:c r="P1386" s="7">
        <x:f>IF(M1386="","",M1386*O1386)</x:f>
      </x:c>
      <x:c r="Q1386" s="7">
        <x:f>IF(M1386="","",M1386+P1386)</x:f>
      </x:c>
      <x:c r="R1386" s="7">
        <x:f>IF(K1386&lt;&gt;"Paid",0,IF(C1386="Income",Q1386,-Q1386))</x:f>
      </x:c>
      <x:c r="S1386" s="14">
        <x:f>IF(A1386="","",DATE(YEAR(A1386),MONTH(A1386),1))</x:f>
      </x:c>
      <x:c r="T1386" s="14">
        <x:f>IF(L1386="","",DATE(YEAR(L1386),MONTH(L1386),1))</x:f>
      </x:c>
    </x:row>
    <x:row r="1387">
      <x:c r="A1387" s="11" t="n"/>
      <x:c r="B1387" s="5" t="n"/>
      <x:c r="C1387" s="12" t="n"/>
      <x:c r="D1387" s="12" t="n"/>
      <x:c r="E1387" s="12" t="n"/>
      <x:c r="F1387" s="12" t="n"/>
      <x:c r="G1387" s="13">
        <x:f>IF(F1387="","",IFERROR(VLOOKUP(F1387,Master_Data!$E$24:$G$33,2,FALSE),"9999"))</x:f>
      </x:c>
      <x:c r="H1387" s="12" t="n"/>
      <x:c r="I1387" s="12" t="n"/>
      <x:c r="J1387" s="12" t="n"/>
      <x:c r="K1387" s="12" t="n"/>
      <x:c r="L1387" s="11" t="n"/>
      <x:c r="M1387" s="9" t="n"/>
      <x:c r="N1387" s="12" t="n"/>
      <x:c r="O1387" s="6">
        <x:f>IF(N1387="","",IFERROR(VLOOKUP(N1387,Master_Data!$A$5:$C$8,3,FALSE),0))</x:f>
      </x:c>
      <x:c r="P1387" s="7">
        <x:f>IF(M1387="","",M1387*O1387)</x:f>
      </x:c>
      <x:c r="Q1387" s="7">
        <x:f>IF(M1387="","",M1387+P1387)</x:f>
      </x:c>
      <x:c r="R1387" s="7">
        <x:f>IF(K1387&lt;&gt;"Paid",0,IF(C1387="Income",Q1387,-Q1387))</x:f>
      </x:c>
      <x:c r="S1387" s="14">
        <x:f>IF(A1387="","",DATE(YEAR(A1387),MONTH(A1387),1))</x:f>
      </x:c>
      <x:c r="T1387" s="14">
        <x:f>IF(L1387="","",DATE(YEAR(L1387),MONTH(L1387),1))</x:f>
      </x:c>
    </x:row>
    <x:row r="1388">
      <x:c r="A1388" s="11" t="n"/>
      <x:c r="B1388" s="5" t="n"/>
      <x:c r="C1388" s="12" t="n"/>
      <x:c r="D1388" s="12" t="n"/>
      <x:c r="E1388" s="12" t="n"/>
      <x:c r="F1388" s="12" t="n"/>
      <x:c r="G1388" s="13">
        <x:f>IF(F1388="","",IFERROR(VLOOKUP(F1388,Master_Data!$E$24:$G$33,2,FALSE),"9999"))</x:f>
      </x:c>
      <x:c r="H1388" s="12" t="n"/>
      <x:c r="I1388" s="12" t="n"/>
      <x:c r="J1388" s="12" t="n"/>
      <x:c r="K1388" s="12" t="n"/>
      <x:c r="L1388" s="11" t="n"/>
      <x:c r="M1388" s="9" t="n"/>
      <x:c r="N1388" s="12" t="n"/>
      <x:c r="O1388" s="6">
        <x:f>IF(N1388="","",IFERROR(VLOOKUP(N1388,Master_Data!$A$5:$C$8,3,FALSE),0))</x:f>
      </x:c>
      <x:c r="P1388" s="7">
        <x:f>IF(M1388="","",M1388*O1388)</x:f>
      </x:c>
      <x:c r="Q1388" s="7">
        <x:f>IF(M1388="","",M1388+P1388)</x:f>
      </x:c>
      <x:c r="R1388" s="7">
        <x:f>IF(K1388&lt;&gt;"Paid",0,IF(C1388="Income",Q1388,-Q1388))</x:f>
      </x:c>
      <x:c r="S1388" s="14">
        <x:f>IF(A1388="","",DATE(YEAR(A1388),MONTH(A1388),1))</x:f>
      </x:c>
      <x:c r="T1388" s="14">
        <x:f>IF(L1388="","",DATE(YEAR(L1388),MONTH(L1388),1))</x:f>
      </x:c>
    </x:row>
    <x:row r="1389">
      <x:c r="A1389" s="11" t="n"/>
      <x:c r="B1389" s="5" t="n"/>
      <x:c r="C1389" s="12" t="n"/>
      <x:c r="D1389" s="12" t="n"/>
      <x:c r="E1389" s="12" t="n"/>
      <x:c r="F1389" s="12" t="n"/>
      <x:c r="G1389" s="13">
        <x:f>IF(F1389="","",IFERROR(VLOOKUP(F1389,Master_Data!$E$24:$G$33,2,FALSE),"9999"))</x:f>
      </x:c>
      <x:c r="H1389" s="12" t="n"/>
      <x:c r="I1389" s="12" t="n"/>
      <x:c r="J1389" s="12" t="n"/>
      <x:c r="K1389" s="12" t="n"/>
      <x:c r="L1389" s="11" t="n"/>
      <x:c r="M1389" s="9" t="n"/>
      <x:c r="N1389" s="12" t="n"/>
      <x:c r="O1389" s="6">
        <x:f>IF(N1389="","",IFERROR(VLOOKUP(N1389,Master_Data!$A$5:$C$8,3,FALSE),0))</x:f>
      </x:c>
      <x:c r="P1389" s="7">
        <x:f>IF(M1389="","",M1389*O1389)</x:f>
      </x:c>
      <x:c r="Q1389" s="7">
        <x:f>IF(M1389="","",M1389+P1389)</x:f>
      </x:c>
      <x:c r="R1389" s="7">
        <x:f>IF(K1389&lt;&gt;"Paid",0,IF(C1389="Income",Q1389,-Q1389))</x:f>
      </x:c>
      <x:c r="S1389" s="14">
        <x:f>IF(A1389="","",DATE(YEAR(A1389),MONTH(A1389),1))</x:f>
      </x:c>
      <x:c r="T1389" s="14">
        <x:f>IF(L1389="","",DATE(YEAR(L1389),MONTH(L1389),1))</x:f>
      </x:c>
    </x:row>
    <x:row r="1390">
      <x:c r="A1390" s="11" t="n"/>
      <x:c r="B1390" s="5" t="n"/>
      <x:c r="C1390" s="12" t="n"/>
      <x:c r="D1390" s="12" t="n"/>
      <x:c r="E1390" s="12" t="n"/>
      <x:c r="F1390" s="12" t="n"/>
      <x:c r="G1390" s="13">
        <x:f>IF(F1390="","",IFERROR(VLOOKUP(F1390,Master_Data!$E$24:$G$33,2,FALSE),"9999"))</x:f>
      </x:c>
      <x:c r="H1390" s="12" t="n"/>
      <x:c r="I1390" s="12" t="n"/>
      <x:c r="J1390" s="12" t="n"/>
      <x:c r="K1390" s="12" t="n"/>
      <x:c r="L1390" s="11" t="n"/>
      <x:c r="M1390" s="9" t="n"/>
      <x:c r="N1390" s="12" t="n"/>
      <x:c r="O1390" s="6">
        <x:f>IF(N1390="","",IFERROR(VLOOKUP(N1390,Master_Data!$A$5:$C$8,3,FALSE),0))</x:f>
      </x:c>
      <x:c r="P1390" s="7">
        <x:f>IF(M1390="","",M1390*O1390)</x:f>
      </x:c>
      <x:c r="Q1390" s="7">
        <x:f>IF(M1390="","",M1390+P1390)</x:f>
      </x:c>
      <x:c r="R1390" s="7">
        <x:f>IF(K1390&lt;&gt;"Paid",0,IF(C1390="Income",Q1390,-Q1390))</x:f>
      </x:c>
      <x:c r="S1390" s="14">
        <x:f>IF(A1390="","",DATE(YEAR(A1390),MONTH(A1390),1))</x:f>
      </x:c>
      <x:c r="T1390" s="14">
        <x:f>IF(L1390="","",DATE(YEAR(L1390),MONTH(L1390),1))</x:f>
      </x:c>
    </x:row>
    <x:row r="1391">
      <x:c r="A1391" s="11" t="n"/>
      <x:c r="B1391" s="5" t="n"/>
      <x:c r="C1391" s="12" t="n"/>
      <x:c r="D1391" s="12" t="n"/>
      <x:c r="E1391" s="12" t="n"/>
      <x:c r="F1391" s="12" t="n"/>
      <x:c r="G1391" s="13">
        <x:f>IF(F1391="","",IFERROR(VLOOKUP(F1391,Master_Data!$E$24:$G$33,2,FALSE),"9999"))</x:f>
      </x:c>
      <x:c r="H1391" s="12" t="n"/>
      <x:c r="I1391" s="12" t="n"/>
      <x:c r="J1391" s="12" t="n"/>
      <x:c r="K1391" s="12" t="n"/>
      <x:c r="L1391" s="11" t="n"/>
      <x:c r="M1391" s="9" t="n"/>
      <x:c r="N1391" s="12" t="n"/>
      <x:c r="O1391" s="6">
        <x:f>IF(N1391="","",IFERROR(VLOOKUP(N1391,Master_Data!$A$5:$C$8,3,FALSE),0))</x:f>
      </x:c>
      <x:c r="P1391" s="7">
        <x:f>IF(M1391="","",M1391*O1391)</x:f>
      </x:c>
      <x:c r="Q1391" s="7">
        <x:f>IF(M1391="","",M1391+P1391)</x:f>
      </x:c>
      <x:c r="R1391" s="7">
        <x:f>IF(K1391&lt;&gt;"Paid",0,IF(C1391="Income",Q1391,-Q1391))</x:f>
      </x:c>
      <x:c r="S1391" s="14">
        <x:f>IF(A1391="","",DATE(YEAR(A1391),MONTH(A1391),1))</x:f>
      </x:c>
      <x:c r="T1391" s="14">
        <x:f>IF(L1391="","",DATE(YEAR(L1391),MONTH(L1391),1))</x:f>
      </x:c>
    </x:row>
    <x:row r="1392">
      <x:c r="A1392" s="11" t="n"/>
      <x:c r="B1392" s="5" t="n"/>
      <x:c r="C1392" s="12" t="n"/>
      <x:c r="D1392" s="12" t="n"/>
      <x:c r="E1392" s="12" t="n"/>
      <x:c r="F1392" s="12" t="n"/>
      <x:c r="G1392" s="13">
        <x:f>IF(F1392="","",IFERROR(VLOOKUP(F1392,Master_Data!$E$24:$G$33,2,FALSE),"9999"))</x:f>
      </x:c>
      <x:c r="H1392" s="12" t="n"/>
      <x:c r="I1392" s="12" t="n"/>
      <x:c r="J1392" s="12" t="n"/>
      <x:c r="K1392" s="12" t="n"/>
      <x:c r="L1392" s="11" t="n"/>
      <x:c r="M1392" s="9" t="n"/>
      <x:c r="N1392" s="12" t="n"/>
      <x:c r="O1392" s="6">
        <x:f>IF(N1392="","",IFERROR(VLOOKUP(N1392,Master_Data!$A$5:$C$8,3,FALSE),0))</x:f>
      </x:c>
      <x:c r="P1392" s="7">
        <x:f>IF(M1392="","",M1392*O1392)</x:f>
      </x:c>
      <x:c r="Q1392" s="7">
        <x:f>IF(M1392="","",M1392+P1392)</x:f>
      </x:c>
      <x:c r="R1392" s="7">
        <x:f>IF(K1392&lt;&gt;"Paid",0,IF(C1392="Income",Q1392,-Q1392))</x:f>
      </x:c>
      <x:c r="S1392" s="14">
        <x:f>IF(A1392="","",DATE(YEAR(A1392),MONTH(A1392),1))</x:f>
      </x:c>
      <x:c r="T1392" s="14">
        <x:f>IF(L1392="","",DATE(YEAR(L1392),MONTH(L1392),1))</x:f>
      </x:c>
    </x:row>
    <x:row r="1393">
      <x:c r="A1393" s="11" t="n"/>
      <x:c r="B1393" s="5" t="n"/>
      <x:c r="C1393" s="12" t="n"/>
      <x:c r="D1393" s="12" t="n"/>
      <x:c r="E1393" s="12" t="n"/>
      <x:c r="F1393" s="12" t="n"/>
      <x:c r="G1393" s="13">
        <x:f>IF(F1393="","",IFERROR(VLOOKUP(F1393,Master_Data!$E$24:$G$33,2,FALSE),"9999"))</x:f>
      </x:c>
      <x:c r="H1393" s="12" t="n"/>
      <x:c r="I1393" s="12" t="n"/>
      <x:c r="J1393" s="12" t="n"/>
      <x:c r="K1393" s="12" t="n"/>
      <x:c r="L1393" s="11" t="n"/>
      <x:c r="M1393" s="9" t="n"/>
      <x:c r="N1393" s="12" t="n"/>
      <x:c r="O1393" s="6">
        <x:f>IF(N1393="","",IFERROR(VLOOKUP(N1393,Master_Data!$A$5:$C$8,3,FALSE),0))</x:f>
      </x:c>
      <x:c r="P1393" s="7">
        <x:f>IF(M1393="","",M1393*O1393)</x:f>
      </x:c>
      <x:c r="Q1393" s="7">
        <x:f>IF(M1393="","",M1393+P1393)</x:f>
      </x:c>
      <x:c r="R1393" s="7">
        <x:f>IF(K1393&lt;&gt;"Paid",0,IF(C1393="Income",Q1393,-Q1393))</x:f>
      </x:c>
      <x:c r="S1393" s="14">
        <x:f>IF(A1393="","",DATE(YEAR(A1393),MONTH(A1393),1))</x:f>
      </x:c>
      <x:c r="T1393" s="14">
        <x:f>IF(L1393="","",DATE(YEAR(L1393),MONTH(L1393),1))</x:f>
      </x:c>
    </x:row>
    <x:row r="1394">
      <x:c r="A1394" s="11" t="n"/>
      <x:c r="B1394" s="5" t="n"/>
      <x:c r="C1394" s="12" t="n"/>
      <x:c r="D1394" s="12" t="n"/>
      <x:c r="E1394" s="12" t="n"/>
      <x:c r="F1394" s="12" t="n"/>
      <x:c r="G1394" s="13">
        <x:f>IF(F1394="","",IFERROR(VLOOKUP(F1394,Master_Data!$E$24:$G$33,2,FALSE),"9999"))</x:f>
      </x:c>
      <x:c r="H1394" s="12" t="n"/>
      <x:c r="I1394" s="12" t="n"/>
      <x:c r="J1394" s="12" t="n"/>
      <x:c r="K1394" s="12" t="n"/>
      <x:c r="L1394" s="11" t="n"/>
      <x:c r="M1394" s="9" t="n"/>
      <x:c r="N1394" s="12" t="n"/>
      <x:c r="O1394" s="6">
        <x:f>IF(N1394="","",IFERROR(VLOOKUP(N1394,Master_Data!$A$5:$C$8,3,FALSE),0))</x:f>
      </x:c>
      <x:c r="P1394" s="7">
        <x:f>IF(M1394="","",M1394*O1394)</x:f>
      </x:c>
      <x:c r="Q1394" s="7">
        <x:f>IF(M1394="","",M1394+P1394)</x:f>
      </x:c>
      <x:c r="R1394" s="7">
        <x:f>IF(K1394&lt;&gt;"Paid",0,IF(C1394="Income",Q1394,-Q1394))</x:f>
      </x:c>
      <x:c r="S1394" s="14">
        <x:f>IF(A1394="","",DATE(YEAR(A1394),MONTH(A1394),1))</x:f>
      </x:c>
      <x:c r="T1394" s="14">
        <x:f>IF(L1394="","",DATE(YEAR(L1394),MONTH(L1394),1))</x:f>
      </x:c>
    </x:row>
    <x:row r="1395">
      <x:c r="A1395" s="11" t="n"/>
      <x:c r="B1395" s="5" t="n"/>
      <x:c r="C1395" s="12" t="n"/>
      <x:c r="D1395" s="12" t="n"/>
      <x:c r="E1395" s="12" t="n"/>
      <x:c r="F1395" s="12" t="n"/>
      <x:c r="G1395" s="13">
        <x:f>IF(F1395="","",IFERROR(VLOOKUP(F1395,Master_Data!$E$24:$G$33,2,FALSE),"9999"))</x:f>
      </x:c>
      <x:c r="H1395" s="12" t="n"/>
      <x:c r="I1395" s="12" t="n"/>
      <x:c r="J1395" s="12" t="n"/>
      <x:c r="K1395" s="12" t="n"/>
      <x:c r="L1395" s="11" t="n"/>
      <x:c r="M1395" s="9" t="n"/>
      <x:c r="N1395" s="12" t="n"/>
      <x:c r="O1395" s="6">
        <x:f>IF(N1395="","",IFERROR(VLOOKUP(N1395,Master_Data!$A$5:$C$8,3,FALSE),0))</x:f>
      </x:c>
      <x:c r="P1395" s="7">
        <x:f>IF(M1395="","",M1395*O1395)</x:f>
      </x:c>
      <x:c r="Q1395" s="7">
        <x:f>IF(M1395="","",M1395+P1395)</x:f>
      </x:c>
      <x:c r="R1395" s="7">
        <x:f>IF(K1395&lt;&gt;"Paid",0,IF(C1395="Income",Q1395,-Q1395))</x:f>
      </x:c>
      <x:c r="S1395" s="14">
        <x:f>IF(A1395="","",DATE(YEAR(A1395),MONTH(A1395),1))</x:f>
      </x:c>
      <x:c r="T1395" s="14">
        <x:f>IF(L1395="","",DATE(YEAR(L1395),MONTH(L1395),1))</x:f>
      </x:c>
    </x:row>
    <x:row r="1396">
      <x:c r="A1396" s="11" t="n"/>
      <x:c r="B1396" s="5" t="n"/>
      <x:c r="C1396" s="12" t="n"/>
      <x:c r="D1396" s="12" t="n"/>
      <x:c r="E1396" s="12" t="n"/>
      <x:c r="F1396" s="12" t="n"/>
      <x:c r="G1396" s="13">
        <x:f>IF(F1396="","",IFERROR(VLOOKUP(F1396,Master_Data!$E$24:$G$33,2,FALSE),"9999"))</x:f>
      </x:c>
      <x:c r="H1396" s="12" t="n"/>
      <x:c r="I1396" s="12" t="n"/>
      <x:c r="J1396" s="12" t="n"/>
      <x:c r="K1396" s="12" t="n"/>
      <x:c r="L1396" s="11" t="n"/>
      <x:c r="M1396" s="9" t="n"/>
      <x:c r="N1396" s="12" t="n"/>
      <x:c r="O1396" s="6">
        <x:f>IF(N1396="","",IFERROR(VLOOKUP(N1396,Master_Data!$A$5:$C$8,3,FALSE),0))</x:f>
      </x:c>
      <x:c r="P1396" s="7">
        <x:f>IF(M1396="","",M1396*O1396)</x:f>
      </x:c>
      <x:c r="Q1396" s="7">
        <x:f>IF(M1396="","",M1396+P1396)</x:f>
      </x:c>
      <x:c r="R1396" s="7">
        <x:f>IF(K1396&lt;&gt;"Paid",0,IF(C1396="Income",Q1396,-Q1396))</x:f>
      </x:c>
      <x:c r="S1396" s="14">
        <x:f>IF(A1396="","",DATE(YEAR(A1396),MONTH(A1396),1))</x:f>
      </x:c>
      <x:c r="T1396" s="14">
        <x:f>IF(L1396="","",DATE(YEAR(L1396),MONTH(L1396),1))</x:f>
      </x:c>
    </x:row>
    <x:row r="1397">
      <x:c r="A1397" s="11" t="n"/>
      <x:c r="B1397" s="5" t="n"/>
      <x:c r="C1397" s="12" t="n"/>
      <x:c r="D1397" s="12" t="n"/>
      <x:c r="E1397" s="12" t="n"/>
      <x:c r="F1397" s="12" t="n"/>
      <x:c r="G1397" s="13">
        <x:f>IF(F1397="","",IFERROR(VLOOKUP(F1397,Master_Data!$E$24:$G$33,2,FALSE),"9999"))</x:f>
      </x:c>
      <x:c r="H1397" s="12" t="n"/>
      <x:c r="I1397" s="12" t="n"/>
      <x:c r="J1397" s="12" t="n"/>
      <x:c r="K1397" s="12" t="n"/>
      <x:c r="L1397" s="11" t="n"/>
      <x:c r="M1397" s="9" t="n"/>
      <x:c r="N1397" s="12" t="n"/>
      <x:c r="O1397" s="6">
        <x:f>IF(N1397="","",IFERROR(VLOOKUP(N1397,Master_Data!$A$5:$C$8,3,FALSE),0))</x:f>
      </x:c>
      <x:c r="P1397" s="7">
        <x:f>IF(M1397="","",M1397*O1397)</x:f>
      </x:c>
      <x:c r="Q1397" s="7">
        <x:f>IF(M1397="","",M1397+P1397)</x:f>
      </x:c>
      <x:c r="R1397" s="7">
        <x:f>IF(K1397&lt;&gt;"Paid",0,IF(C1397="Income",Q1397,-Q1397))</x:f>
      </x:c>
      <x:c r="S1397" s="14">
        <x:f>IF(A1397="","",DATE(YEAR(A1397),MONTH(A1397),1))</x:f>
      </x:c>
      <x:c r="T1397" s="14">
        <x:f>IF(L1397="","",DATE(YEAR(L1397),MONTH(L1397),1))</x:f>
      </x:c>
    </x:row>
    <x:row r="1398">
      <x:c r="A1398" s="11" t="n"/>
      <x:c r="B1398" s="5" t="n"/>
      <x:c r="C1398" s="12" t="n"/>
      <x:c r="D1398" s="12" t="n"/>
      <x:c r="E1398" s="12" t="n"/>
      <x:c r="F1398" s="12" t="n"/>
      <x:c r="G1398" s="13">
        <x:f>IF(F1398="","",IFERROR(VLOOKUP(F1398,Master_Data!$E$24:$G$33,2,FALSE),"9999"))</x:f>
      </x:c>
      <x:c r="H1398" s="12" t="n"/>
      <x:c r="I1398" s="12" t="n"/>
      <x:c r="J1398" s="12" t="n"/>
      <x:c r="K1398" s="12" t="n"/>
      <x:c r="L1398" s="11" t="n"/>
      <x:c r="M1398" s="9" t="n"/>
      <x:c r="N1398" s="12" t="n"/>
      <x:c r="O1398" s="6">
        <x:f>IF(N1398="","",IFERROR(VLOOKUP(N1398,Master_Data!$A$5:$C$8,3,FALSE),0))</x:f>
      </x:c>
      <x:c r="P1398" s="7">
        <x:f>IF(M1398="","",M1398*O1398)</x:f>
      </x:c>
      <x:c r="Q1398" s="7">
        <x:f>IF(M1398="","",M1398+P1398)</x:f>
      </x:c>
      <x:c r="R1398" s="7">
        <x:f>IF(K1398&lt;&gt;"Paid",0,IF(C1398="Income",Q1398,-Q1398))</x:f>
      </x:c>
      <x:c r="S1398" s="14">
        <x:f>IF(A1398="","",DATE(YEAR(A1398),MONTH(A1398),1))</x:f>
      </x:c>
      <x:c r="T1398" s="14">
        <x:f>IF(L1398="","",DATE(YEAR(L1398),MONTH(L1398),1))</x:f>
      </x:c>
    </x:row>
    <x:row r="1399">
      <x:c r="A1399" s="11" t="n"/>
      <x:c r="B1399" s="5" t="n"/>
      <x:c r="C1399" s="12" t="n"/>
      <x:c r="D1399" s="12" t="n"/>
      <x:c r="E1399" s="12" t="n"/>
      <x:c r="F1399" s="12" t="n"/>
      <x:c r="G1399" s="13">
        <x:f>IF(F1399="","",IFERROR(VLOOKUP(F1399,Master_Data!$E$24:$G$33,2,FALSE),"9999"))</x:f>
      </x:c>
      <x:c r="H1399" s="12" t="n"/>
      <x:c r="I1399" s="12" t="n"/>
      <x:c r="J1399" s="12" t="n"/>
      <x:c r="K1399" s="12" t="n"/>
      <x:c r="L1399" s="11" t="n"/>
      <x:c r="M1399" s="9" t="n"/>
      <x:c r="N1399" s="12" t="n"/>
      <x:c r="O1399" s="6">
        <x:f>IF(N1399="","",IFERROR(VLOOKUP(N1399,Master_Data!$A$5:$C$8,3,FALSE),0))</x:f>
      </x:c>
      <x:c r="P1399" s="7">
        <x:f>IF(M1399="","",M1399*O1399)</x:f>
      </x:c>
      <x:c r="Q1399" s="7">
        <x:f>IF(M1399="","",M1399+P1399)</x:f>
      </x:c>
      <x:c r="R1399" s="7">
        <x:f>IF(K1399&lt;&gt;"Paid",0,IF(C1399="Income",Q1399,-Q1399))</x:f>
      </x:c>
      <x:c r="S1399" s="14">
        <x:f>IF(A1399="","",DATE(YEAR(A1399),MONTH(A1399),1))</x:f>
      </x:c>
      <x:c r="T1399" s="14">
        <x:f>IF(L1399="","",DATE(YEAR(L1399),MONTH(L1399),1))</x:f>
      </x:c>
    </x:row>
    <x:row r="1400">
      <x:c r="A1400" s="11" t="n"/>
      <x:c r="B1400" s="5" t="n"/>
      <x:c r="C1400" s="12" t="n"/>
      <x:c r="D1400" s="12" t="n"/>
      <x:c r="E1400" s="12" t="n"/>
      <x:c r="F1400" s="12" t="n"/>
      <x:c r="G1400" s="13">
        <x:f>IF(F1400="","",IFERROR(VLOOKUP(F1400,Master_Data!$E$24:$G$33,2,FALSE),"9999"))</x:f>
      </x:c>
      <x:c r="H1400" s="12" t="n"/>
      <x:c r="I1400" s="12" t="n"/>
      <x:c r="J1400" s="12" t="n"/>
      <x:c r="K1400" s="12" t="n"/>
      <x:c r="L1400" s="11" t="n"/>
      <x:c r="M1400" s="9" t="n"/>
      <x:c r="N1400" s="12" t="n"/>
      <x:c r="O1400" s="6">
        <x:f>IF(N1400="","",IFERROR(VLOOKUP(N1400,Master_Data!$A$5:$C$8,3,FALSE),0))</x:f>
      </x:c>
      <x:c r="P1400" s="7">
        <x:f>IF(M1400="","",M1400*O1400)</x:f>
      </x:c>
      <x:c r="Q1400" s="7">
        <x:f>IF(M1400="","",M1400+P1400)</x:f>
      </x:c>
      <x:c r="R1400" s="7">
        <x:f>IF(K1400&lt;&gt;"Paid",0,IF(C1400="Income",Q1400,-Q1400))</x:f>
      </x:c>
      <x:c r="S1400" s="14">
        <x:f>IF(A1400="","",DATE(YEAR(A1400),MONTH(A1400),1))</x:f>
      </x:c>
      <x:c r="T1400" s="14">
        <x:f>IF(L1400="","",DATE(YEAR(L1400),MONTH(L1400),1))</x:f>
      </x:c>
    </x:row>
    <x:row r="1401">
      <x:c r="A1401" s="11" t="n"/>
      <x:c r="B1401" s="5" t="n"/>
      <x:c r="C1401" s="12" t="n"/>
      <x:c r="D1401" s="12" t="n"/>
      <x:c r="E1401" s="12" t="n"/>
      <x:c r="F1401" s="12" t="n"/>
      <x:c r="G1401" s="13">
        <x:f>IF(F1401="","",IFERROR(VLOOKUP(F1401,Master_Data!$E$24:$G$33,2,FALSE),"9999"))</x:f>
      </x:c>
      <x:c r="H1401" s="12" t="n"/>
      <x:c r="I1401" s="12" t="n"/>
      <x:c r="J1401" s="12" t="n"/>
      <x:c r="K1401" s="12" t="n"/>
      <x:c r="L1401" s="11" t="n"/>
      <x:c r="M1401" s="9" t="n"/>
      <x:c r="N1401" s="12" t="n"/>
      <x:c r="O1401" s="6">
        <x:f>IF(N1401="","",IFERROR(VLOOKUP(N1401,Master_Data!$A$5:$C$8,3,FALSE),0))</x:f>
      </x:c>
      <x:c r="P1401" s="7">
        <x:f>IF(M1401="","",M1401*O1401)</x:f>
      </x:c>
      <x:c r="Q1401" s="7">
        <x:f>IF(M1401="","",M1401+P1401)</x:f>
      </x:c>
      <x:c r="R1401" s="7">
        <x:f>IF(K1401&lt;&gt;"Paid",0,IF(C1401="Income",Q1401,-Q1401))</x:f>
      </x:c>
      <x:c r="S1401" s="14">
        <x:f>IF(A1401="","",DATE(YEAR(A1401),MONTH(A1401),1))</x:f>
      </x:c>
      <x:c r="T1401" s="14">
        <x:f>IF(L1401="","",DATE(YEAR(L1401),MONTH(L1401),1))</x:f>
      </x:c>
    </x:row>
    <x:row r="1402">
      <x:c r="A1402" s="11" t="n"/>
      <x:c r="B1402" s="5" t="n"/>
      <x:c r="C1402" s="12" t="n"/>
      <x:c r="D1402" s="12" t="n"/>
      <x:c r="E1402" s="12" t="n"/>
      <x:c r="F1402" s="12" t="n"/>
      <x:c r="G1402" s="13">
        <x:f>IF(F1402="","",IFERROR(VLOOKUP(F1402,Master_Data!$E$24:$G$33,2,FALSE),"9999"))</x:f>
      </x:c>
      <x:c r="H1402" s="12" t="n"/>
      <x:c r="I1402" s="12" t="n"/>
      <x:c r="J1402" s="12" t="n"/>
      <x:c r="K1402" s="12" t="n"/>
      <x:c r="L1402" s="11" t="n"/>
      <x:c r="M1402" s="9" t="n"/>
      <x:c r="N1402" s="12" t="n"/>
      <x:c r="O1402" s="6">
        <x:f>IF(N1402="","",IFERROR(VLOOKUP(N1402,Master_Data!$A$5:$C$8,3,FALSE),0))</x:f>
      </x:c>
      <x:c r="P1402" s="7">
        <x:f>IF(M1402="","",M1402*O1402)</x:f>
      </x:c>
      <x:c r="Q1402" s="7">
        <x:f>IF(M1402="","",M1402+P1402)</x:f>
      </x:c>
      <x:c r="R1402" s="7">
        <x:f>IF(K1402&lt;&gt;"Paid",0,IF(C1402="Income",Q1402,-Q1402))</x:f>
      </x:c>
      <x:c r="S1402" s="14">
        <x:f>IF(A1402="","",DATE(YEAR(A1402),MONTH(A1402),1))</x:f>
      </x:c>
      <x:c r="T1402" s="14">
        <x:f>IF(L1402="","",DATE(YEAR(L1402),MONTH(L1402),1))</x:f>
      </x:c>
    </x:row>
    <x:row r="1403">
      <x:c r="A1403" s="11" t="n"/>
      <x:c r="B1403" s="5" t="n"/>
      <x:c r="C1403" s="12" t="n"/>
      <x:c r="D1403" s="12" t="n"/>
      <x:c r="E1403" s="12" t="n"/>
      <x:c r="F1403" s="12" t="n"/>
      <x:c r="G1403" s="13">
        <x:f>IF(F1403="","",IFERROR(VLOOKUP(F1403,Master_Data!$E$24:$G$33,2,FALSE),"9999"))</x:f>
      </x:c>
      <x:c r="H1403" s="12" t="n"/>
      <x:c r="I1403" s="12" t="n"/>
      <x:c r="J1403" s="12" t="n"/>
      <x:c r="K1403" s="12" t="n"/>
      <x:c r="L1403" s="11" t="n"/>
      <x:c r="M1403" s="9" t="n"/>
      <x:c r="N1403" s="12" t="n"/>
      <x:c r="O1403" s="6">
        <x:f>IF(N1403="","",IFERROR(VLOOKUP(N1403,Master_Data!$A$5:$C$8,3,FALSE),0))</x:f>
      </x:c>
      <x:c r="P1403" s="7">
        <x:f>IF(M1403="","",M1403*O1403)</x:f>
      </x:c>
      <x:c r="Q1403" s="7">
        <x:f>IF(M1403="","",M1403+P1403)</x:f>
      </x:c>
      <x:c r="R1403" s="7">
        <x:f>IF(K1403&lt;&gt;"Paid",0,IF(C1403="Income",Q1403,-Q1403))</x:f>
      </x:c>
      <x:c r="S1403" s="14">
        <x:f>IF(A1403="","",DATE(YEAR(A1403),MONTH(A1403),1))</x:f>
      </x:c>
      <x:c r="T1403" s="14">
        <x:f>IF(L1403="","",DATE(YEAR(L1403),MONTH(L1403),1))</x:f>
      </x:c>
    </x:row>
    <x:row r="1404">
      <x:c r="A1404" s="11" t="n"/>
      <x:c r="B1404" s="5" t="n"/>
      <x:c r="C1404" s="12" t="n"/>
      <x:c r="D1404" s="12" t="n"/>
      <x:c r="E1404" s="12" t="n"/>
      <x:c r="F1404" s="12" t="n"/>
      <x:c r="G1404" s="13">
        <x:f>IF(F1404="","",IFERROR(VLOOKUP(F1404,Master_Data!$E$24:$G$33,2,FALSE),"9999"))</x:f>
      </x:c>
      <x:c r="H1404" s="12" t="n"/>
      <x:c r="I1404" s="12" t="n"/>
      <x:c r="J1404" s="12" t="n"/>
      <x:c r="K1404" s="12" t="n"/>
      <x:c r="L1404" s="11" t="n"/>
      <x:c r="M1404" s="9" t="n"/>
      <x:c r="N1404" s="12" t="n"/>
      <x:c r="O1404" s="6">
        <x:f>IF(N1404="","",IFERROR(VLOOKUP(N1404,Master_Data!$A$5:$C$8,3,FALSE),0))</x:f>
      </x:c>
      <x:c r="P1404" s="7">
        <x:f>IF(M1404="","",M1404*O1404)</x:f>
      </x:c>
      <x:c r="Q1404" s="7">
        <x:f>IF(M1404="","",M1404+P1404)</x:f>
      </x:c>
      <x:c r="R1404" s="7">
        <x:f>IF(K1404&lt;&gt;"Paid",0,IF(C1404="Income",Q1404,-Q1404))</x:f>
      </x:c>
      <x:c r="S1404" s="14">
        <x:f>IF(A1404="","",DATE(YEAR(A1404),MONTH(A1404),1))</x:f>
      </x:c>
      <x:c r="T1404" s="14">
        <x:f>IF(L1404="","",DATE(YEAR(L1404),MONTH(L1404),1))</x:f>
      </x:c>
    </x:row>
    <x:row r="1405">
      <x:c r="A1405" s="11" t="n"/>
      <x:c r="B1405" s="5" t="n"/>
      <x:c r="C1405" s="12" t="n"/>
      <x:c r="D1405" s="12" t="n"/>
      <x:c r="E1405" s="12" t="n"/>
      <x:c r="F1405" s="12" t="n"/>
      <x:c r="G1405" s="13">
        <x:f>IF(F1405="","",IFERROR(VLOOKUP(F1405,Master_Data!$E$24:$G$33,2,FALSE),"9999"))</x:f>
      </x:c>
      <x:c r="H1405" s="12" t="n"/>
      <x:c r="I1405" s="12" t="n"/>
      <x:c r="J1405" s="12" t="n"/>
      <x:c r="K1405" s="12" t="n"/>
      <x:c r="L1405" s="11" t="n"/>
      <x:c r="M1405" s="9" t="n"/>
      <x:c r="N1405" s="12" t="n"/>
      <x:c r="O1405" s="6">
        <x:f>IF(N1405="","",IFERROR(VLOOKUP(N1405,Master_Data!$A$5:$C$8,3,FALSE),0))</x:f>
      </x:c>
      <x:c r="P1405" s="7">
        <x:f>IF(M1405="","",M1405*O1405)</x:f>
      </x:c>
      <x:c r="Q1405" s="7">
        <x:f>IF(M1405="","",M1405+P1405)</x:f>
      </x:c>
      <x:c r="R1405" s="7">
        <x:f>IF(K1405&lt;&gt;"Paid",0,IF(C1405="Income",Q1405,-Q1405))</x:f>
      </x:c>
      <x:c r="S1405" s="14">
        <x:f>IF(A1405="","",DATE(YEAR(A1405),MONTH(A1405),1))</x:f>
      </x:c>
      <x:c r="T1405" s="14">
        <x:f>IF(L1405="","",DATE(YEAR(L1405),MONTH(L1405),1))</x:f>
      </x:c>
    </x:row>
    <x:row r="1406">
      <x:c r="A1406" s="11" t="n"/>
      <x:c r="B1406" s="5" t="n"/>
      <x:c r="C1406" s="12" t="n"/>
      <x:c r="D1406" s="12" t="n"/>
      <x:c r="E1406" s="12" t="n"/>
      <x:c r="F1406" s="12" t="n"/>
      <x:c r="G1406" s="13">
        <x:f>IF(F1406="","",IFERROR(VLOOKUP(F1406,Master_Data!$E$24:$G$33,2,FALSE),"9999"))</x:f>
      </x:c>
      <x:c r="H1406" s="12" t="n"/>
      <x:c r="I1406" s="12" t="n"/>
      <x:c r="J1406" s="12" t="n"/>
      <x:c r="K1406" s="12" t="n"/>
      <x:c r="L1406" s="11" t="n"/>
      <x:c r="M1406" s="9" t="n"/>
      <x:c r="N1406" s="12" t="n"/>
      <x:c r="O1406" s="6">
        <x:f>IF(N1406="","",IFERROR(VLOOKUP(N1406,Master_Data!$A$5:$C$8,3,FALSE),0))</x:f>
      </x:c>
      <x:c r="P1406" s="7">
        <x:f>IF(M1406="","",M1406*O1406)</x:f>
      </x:c>
      <x:c r="Q1406" s="7">
        <x:f>IF(M1406="","",M1406+P1406)</x:f>
      </x:c>
      <x:c r="R1406" s="7">
        <x:f>IF(K1406&lt;&gt;"Paid",0,IF(C1406="Income",Q1406,-Q1406))</x:f>
      </x:c>
      <x:c r="S1406" s="14">
        <x:f>IF(A1406="","",DATE(YEAR(A1406),MONTH(A1406),1))</x:f>
      </x:c>
      <x:c r="T1406" s="14">
        <x:f>IF(L1406="","",DATE(YEAR(L1406),MONTH(L1406),1))</x:f>
      </x:c>
    </x:row>
    <x:row r="1407">
      <x:c r="A1407" s="11" t="n"/>
      <x:c r="B1407" s="5" t="n"/>
      <x:c r="C1407" s="12" t="n"/>
      <x:c r="D1407" s="12" t="n"/>
      <x:c r="E1407" s="12" t="n"/>
      <x:c r="F1407" s="12" t="n"/>
      <x:c r="G1407" s="13">
        <x:f>IF(F1407="","",IFERROR(VLOOKUP(F1407,Master_Data!$E$24:$G$33,2,FALSE),"9999"))</x:f>
      </x:c>
      <x:c r="H1407" s="12" t="n"/>
      <x:c r="I1407" s="12" t="n"/>
      <x:c r="J1407" s="12" t="n"/>
      <x:c r="K1407" s="12" t="n"/>
      <x:c r="L1407" s="11" t="n"/>
      <x:c r="M1407" s="9" t="n"/>
      <x:c r="N1407" s="12" t="n"/>
      <x:c r="O1407" s="6">
        <x:f>IF(N1407="","",IFERROR(VLOOKUP(N1407,Master_Data!$A$5:$C$8,3,FALSE),0))</x:f>
      </x:c>
      <x:c r="P1407" s="7">
        <x:f>IF(M1407="","",M1407*O1407)</x:f>
      </x:c>
      <x:c r="Q1407" s="7">
        <x:f>IF(M1407="","",M1407+P1407)</x:f>
      </x:c>
      <x:c r="R1407" s="7">
        <x:f>IF(K1407&lt;&gt;"Paid",0,IF(C1407="Income",Q1407,-Q1407))</x:f>
      </x:c>
      <x:c r="S1407" s="14">
        <x:f>IF(A1407="","",DATE(YEAR(A1407),MONTH(A1407),1))</x:f>
      </x:c>
      <x:c r="T1407" s="14">
        <x:f>IF(L1407="","",DATE(YEAR(L1407),MONTH(L1407),1))</x:f>
      </x:c>
    </x:row>
    <x:row r="1408">
      <x:c r="A1408" s="11" t="n"/>
      <x:c r="B1408" s="5" t="n"/>
      <x:c r="C1408" s="12" t="n"/>
      <x:c r="D1408" s="12" t="n"/>
      <x:c r="E1408" s="12" t="n"/>
      <x:c r="F1408" s="12" t="n"/>
      <x:c r="G1408" s="13">
        <x:f>IF(F1408="","",IFERROR(VLOOKUP(F1408,Master_Data!$E$24:$G$33,2,FALSE),"9999"))</x:f>
      </x:c>
      <x:c r="H1408" s="12" t="n"/>
      <x:c r="I1408" s="12" t="n"/>
      <x:c r="J1408" s="12" t="n"/>
      <x:c r="K1408" s="12" t="n"/>
      <x:c r="L1408" s="11" t="n"/>
      <x:c r="M1408" s="9" t="n"/>
      <x:c r="N1408" s="12" t="n"/>
      <x:c r="O1408" s="6">
        <x:f>IF(N1408="","",IFERROR(VLOOKUP(N1408,Master_Data!$A$5:$C$8,3,FALSE),0))</x:f>
      </x:c>
      <x:c r="P1408" s="7">
        <x:f>IF(M1408="","",M1408*O1408)</x:f>
      </x:c>
      <x:c r="Q1408" s="7">
        <x:f>IF(M1408="","",M1408+P1408)</x:f>
      </x:c>
      <x:c r="R1408" s="7">
        <x:f>IF(K1408&lt;&gt;"Paid",0,IF(C1408="Income",Q1408,-Q1408))</x:f>
      </x:c>
      <x:c r="S1408" s="14">
        <x:f>IF(A1408="","",DATE(YEAR(A1408),MONTH(A1408),1))</x:f>
      </x:c>
      <x:c r="T1408" s="14">
        <x:f>IF(L1408="","",DATE(YEAR(L1408),MONTH(L1408),1))</x:f>
      </x:c>
    </x:row>
    <x:row r="1409">
      <x:c r="A1409" s="11" t="n"/>
      <x:c r="B1409" s="5" t="n"/>
      <x:c r="C1409" s="12" t="n"/>
      <x:c r="D1409" s="12" t="n"/>
      <x:c r="E1409" s="12" t="n"/>
      <x:c r="F1409" s="12" t="n"/>
      <x:c r="G1409" s="13">
        <x:f>IF(F1409="","",IFERROR(VLOOKUP(F1409,Master_Data!$E$24:$G$33,2,FALSE),"9999"))</x:f>
      </x:c>
      <x:c r="H1409" s="12" t="n"/>
      <x:c r="I1409" s="12" t="n"/>
      <x:c r="J1409" s="12" t="n"/>
      <x:c r="K1409" s="12" t="n"/>
      <x:c r="L1409" s="11" t="n"/>
      <x:c r="M1409" s="9" t="n"/>
      <x:c r="N1409" s="12" t="n"/>
      <x:c r="O1409" s="6">
        <x:f>IF(N1409="","",IFERROR(VLOOKUP(N1409,Master_Data!$A$5:$C$8,3,FALSE),0))</x:f>
      </x:c>
      <x:c r="P1409" s="7">
        <x:f>IF(M1409="","",M1409*O1409)</x:f>
      </x:c>
      <x:c r="Q1409" s="7">
        <x:f>IF(M1409="","",M1409+P1409)</x:f>
      </x:c>
      <x:c r="R1409" s="7">
        <x:f>IF(K1409&lt;&gt;"Paid",0,IF(C1409="Income",Q1409,-Q1409))</x:f>
      </x:c>
      <x:c r="S1409" s="14">
        <x:f>IF(A1409="","",DATE(YEAR(A1409),MONTH(A1409),1))</x:f>
      </x:c>
      <x:c r="T1409" s="14">
        <x:f>IF(L1409="","",DATE(YEAR(L1409),MONTH(L1409),1))</x:f>
      </x:c>
    </x:row>
    <x:row r="1410">
      <x:c r="A1410" s="11" t="n"/>
      <x:c r="B1410" s="5" t="n"/>
      <x:c r="C1410" s="12" t="n"/>
      <x:c r="D1410" s="12" t="n"/>
      <x:c r="E1410" s="12" t="n"/>
      <x:c r="F1410" s="12" t="n"/>
      <x:c r="G1410" s="13">
        <x:f>IF(F1410="","",IFERROR(VLOOKUP(F1410,Master_Data!$E$24:$G$33,2,FALSE),"9999"))</x:f>
      </x:c>
      <x:c r="H1410" s="12" t="n"/>
      <x:c r="I1410" s="12" t="n"/>
      <x:c r="J1410" s="12" t="n"/>
      <x:c r="K1410" s="12" t="n"/>
      <x:c r="L1410" s="11" t="n"/>
      <x:c r="M1410" s="9" t="n"/>
      <x:c r="N1410" s="12" t="n"/>
      <x:c r="O1410" s="6">
        <x:f>IF(N1410="","",IFERROR(VLOOKUP(N1410,Master_Data!$A$5:$C$8,3,FALSE),0))</x:f>
      </x:c>
      <x:c r="P1410" s="7">
        <x:f>IF(M1410="","",M1410*O1410)</x:f>
      </x:c>
      <x:c r="Q1410" s="7">
        <x:f>IF(M1410="","",M1410+P1410)</x:f>
      </x:c>
      <x:c r="R1410" s="7">
        <x:f>IF(K1410&lt;&gt;"Paid",0,IF(C1410="Income",Q1410,-Q1410))</x:f>
      </x:c>
      <x:c r="S1410" s="14">
        <x:f>IF(A1410="","",DATE(YEAR(A1410),MONTH(A1410),1))</x:f>
      </x:c>
      <x:c r="T1410" s="14">
        <x:f>IF(L1410="","",DATE(YEAR(L1410),MONTH(L1410),1))</x:f>
      </x:c>
    </x:row>
    <x:row r="1411">
      <x:c r="A1411" s="11" t="n"/>
      <x:c r="B1411" s="5" t="n"/>
      <x:c r="C1411" s="12" t="n"/>
      <x:c r="D1411" s="12" t="n"/>
      <x:c r="E1411" s="12" t="n"/>
      <x:c r="F1411" s="12" t="n"/>
      <x:c r="G1411" s="13">
        <x:f>IF(F1411="","",IFERROR(VLOOKUP(F1411,Master_Data!$E$24:$G$33,2,FALSE),"9999"))</x:f>
      </x:c>
      <x:c r="H1411" s="12" t="n"/>
      <x:c r="I1411" s="12" t="n"/>
      <x:c r="J1411" s="12" t="n"/>
      <x:c r="K1411" s="12" t="n"/>
      <x:c r="L1411" s="11" t="n"/>
      <x:c r="M1411" s="9" t="n"/>
      <x:c r="N1411" s="12" t="n"/>
      <x:c r="O1411" s="6">
        <x:f>IF(N1411="","",IFERROR(VLOOKUP(N1411,Master_Data!$A$5:$C$8,3,FALSE),0))</x:f>
      </x:c>
      <x:c r="P1411" s="7">
        <x:f>IF(M1411="","",M1411*O1411)</x:f>
      </x:c>
      <x:c r="Q1411" s="7">
        <x:f>IF(M1411="","",M1411+P1411)</x:f>
      </x:c>
      <x:c r="R1411" s="7">
        <x:f>IF(K1411&lt;&gt;"Paid",0,IF(C1411="Income",Q1411,-Q1411))</x:f>
      </x:c>
      <x:c r="S1411" s="14">
        <x:f>IF(A1411="","",DATE(YEAR(A1411),MONTH(A1411),1))</x:f>
      </x:c>
      <x:c r="T1411" s="14">
        <x:f>IF(L1411="","",DATE(YEAR(L1411),MONTH(L1411),1))</x:f>
      </x:c>
    </x:row>
    <x:row r="1412">
      <x:c r="A1412" s="11" t="n"/>
      <x:c r="B1412" s="5" t="n"/>
      <x:c r="C1412" s="12" t="n"/>
      <x:c r="D1412" s="12" t="n"/>
      <x:c r="E1412" s="12" t="n"/>
      <x:c r="F1412" s="12" t="n"/>
      <x:c r="G1412" s="13">
        <x:f>IF(F1412="","",IFERROR(VLOOKUP(F1412,Master_Data!$E$24:$G$33,2,FALSE),"9999"))</x:f>
      </x:c>
      <x:c r="H1412" s="12" t="n"/>
      <x:c r="I1412" s="12" t="n"/>
      <x:c r="J1412" s="12" t="n"/>
      <x:c r="K1412" s="12" t="n"/>
      <x:c r="L1412" s="11" t="n"/>
      <x:c r="M1412" s="9" t="n"/>
      <x:c r="N1412" s="12" t="n"/>
      <x:c r="O1412" s="6">
        <x:f>IF(N1412="","",IFERROR(VLOOKUP(N1412,Master_Data!$A$5:$C$8,3,FALSE),0))</x:f>
      </x:c>
      <x:c r="P1412" s="7">
        <x:f>IF(M1412="","",M1412*O1412)</x:f>
      </x:c>
      <x:c r="Q1412" s="7">
        <x:f>IF(M1412="","",M1412+P1412)</x:f>
      </x:c>
      <x:c r="R1412" s="7">
        <x:f>IF(K1412&lt;&gt;"Paid",0,IF(C1412="Income",Q1412,-Q1412))</x:f>
      </x:c>
      <x:c r="S1412" s="14">
        <x:f>IF(A1412="","",DATE(YEAR(A1412),MONTH(A1412),1))</x:f>
      </x:c>
      <x:c r="T1412" s="14">
        <x:f>IF(L1412="","",DATE(YEAR(L1412),MONTH(L1412),1))</x:f>
      </x:c>
    </x:row>
    <x:row r="1413">
      <x:c r="A1413" s="11" t="n"/>
      <x:c r="B1413" s="5" t="n"/>
      <x:c r="C1413" s="12" t="n"/>
      <x:c r="D1413" s="12" t="n"/>
      <x:c r="E1413" s="12" t="n"/>
      <x:c r="F1413" s="12" t="n"/>
      <x:c r="G1413" s="13">
        <x:f>IF(F1413="","",IFERROR(VLOOKUP(F1413,Master_Data!$E$24:$G$33,2,FALSE),"9999"))</x:f>
      </x:c>
      <x:c r="H1413" s="12" t="n"/>
      <x:c r="I1413" s="12" t="n"/>
      <x:c r="J1413" s="12" t="n"/>
      <x:c r="K1413" s="12" t="n"/>
      <x:c r="L1413" s="11" t="n"/>
      <x:c r="M1413" s="9" t="n"/>
      <x:c r="N1413" s="12" t="n"/>
      <x:c r="O1413" s="6">
        <x:f>IF(N1413="","",IFERROR(VLOOKUP(N1413,Master_Data!$A$5:$C$8,3,FALSE),0))</x:f>
      </x:c>
      <x:c r="P1413" s="7">
        <x:f>IF(M1413="","",M1413*O1413)</x:f>
      </x:c>
      <x:c r="Q1413" s="7">
        <x:f>IF(M1413="","",M1413+P1413)</x:f>
      </x:c>
      <x:c r="R1413" s="7">
        <x:f>IF(K1413&lt;&gt;"Paid",0,IF(C1413="Income",Q1413,-Q1413))</x:f>
      </x:c>
      <x:c r="S1413" s="14">
        <x:f>IF(A1413="","",DATE(YEAR(A1413),MONTH(A1413),1))</x:f>
      </x:c>
      <x:c r="T1413" s="14">
        <x:f>IF(L1413="","",DATE(YEAR(L1413),MONTH(L1413),1))</x:f>
      </x:c>
    </x:row>
    <x:row r="1414">
      <x:c r="A1414" s="11" t="n"/>
      <x:c r="B1414" s="5" t="n"/>
      <x:c r="C1414" s="12" t="n"/>
      <x:c r="D1414" s="12" t="n"/>
      <x:c r="E1414" s="12" t="n"/>
      <x:c r="F1414" s="12" t="n"/>
      <x:c r="G1414" s="13">
        <x:f>IF(F1414="","",IFERROR(VLOOKUP(F1414,Master_Data!$E$24:$G$33,2,FALSE),"9999"))</x:f>
      </x:c>
      <x:c r="H1414" s="12" t="n"/>
      <x:c r="I1414" s="12" t="n"/>
      <x:c r="J1414" s="12" t="n"/>
      <x:c r="K1414" s="12" t="n"/>
      <x:c r="L1414" s="11" t="n"/>
      <x:c r="M1414" s="9" t="n"/>
      <x:c r="N1414" s="12" t="n"/>
      <x:c r="O1414" s="6">
        <x:f>IF(N1414="","",IFERROR(VLOOKUP(N1414,Master_Data!$A$5:$C$8,3,FALSE),0))</x:f>
      </x:c>
      <x:c r="P1414" s="7">
        <x:f>IF(M1414="","",M1414*O1414)</x:f>
      </x:c>
      <x:c r="Q1414" s="7">
        <x:f>IF(M1414="","",M1414+P1414)</x:f>
      </x:c>
      <x:c r="R1414" s="7">
        <x:f>IF(K1414&lt;&gt;"Paid",0,IF(C1414="Income",Q1414,-Q1414))</x:f>
      </x:c>
      <x:c r="S1414" s="14">
        <x:f>IF(A1414="","",DATE(YEAR(A1414),MONTH(A1414),1))</x:f>
      </x:c>
      <x:c r="T1414" s="14">
        <x:f>IF(L1414="","",DATE(YEAR(L1414),MONTH(L1414),1))</x:f>
      </x:c>
    </x:row>
    <x:row r="1415">
      <x:c r="A1415" s="11" t="n"/>
      <x:c r="B1415" s="5" t="n"/>
      <x:c r="C1415" s="12" t="n"/>
      <x:c r="D1415" s="12" t="n"/>
      <x:c r="E1415" s="12" t="n"/>
      <x:c r="F1415" s="12" t="n"/>
      <x:c r="G1415" s="13">
        <x:f>IF(F1415="","",IFERROR(VLOOKUP(F1415,Master_Data!$E$24:$G$33,2,FALSE),"9999"))</x:f>
      </x:c>
      <x:c r="H1415" s="12" t="n"/>
      <x:c r="I1415" s="12" t="n"/>
      <x:c r="J1415" s="12" t="n"/>
      <x:c r="K1415" s="12" t="n"/>
      <x:c r="L1415" s="11" t="n"/>
      <x:c r="M1415" s="9" t="n"/>
      <x:c r="N1415" s="12" t="n"/>
      <x:c r="O1415" s="6">
        <x:f>IF(N1415="","",IFERROR(VLOOKUP(N1415,Master_Data!$A$5:$C$8,3,FALSE),0))</x:f>
      </x:c>
      <x:c r="P1415" s="7">
        <x:f>IF(M1415="","",M1415*O1415)</x:f>
      </x:c>
      <x:c r="Q1415" s="7">
        <x:f>IF(M1415="","",M1415+P1415)</x:f>
      </x:c>
      <x:c r="R1415" s="7">
        <x:f>IF(K1415&lt;&gt;"Paid",0,IF(C1415="Income",Q1415,-Q1415))</x:f>
      </x:c>
      <x:c r="S1415" s="14">
        <x:f>IF(A1415="","",DATE(YEAR(A1415),MONTH(A1415),1))</x:f>
      </x:c>
      <x:c r="T1415" s="14">
        <x:f>IF(L1415="","",DATE(YEAR(L1415),MONTH(L1415),1))</x:f>
      </x:c>
    </x:row>
    <x:row r="1416">
      <x:c r="A1416" s="11" t="n"/>
      <x:c r="B1416" s="5" t="n"/>
      <x:c r="C1416" s="12" t="n"/>
      <x:c r="D1416" s="12" t="n"/>
      <x:c r="E1416" s="12" t="n"/>
      <x:c r="F1416" s="12" t="n"/>
      <x:c r="G1416" s="13">
        <x:f>IF(F1416="","",IFERROR(VLOOKUP(F1416,Master_Data!$E$24:$G$33,2,FALSE),"9999"))</x:f>
      </x:c>
      <x:c r="H1416" s="12" t="n"/>
      <x:c r="I1416" s="12" t="n"/>
      <x:c r="J1416" s="12" t="n"/>
      <x:c r="K1416" s="12" t="n"/>
      <x:c r="L1416" s="11" t="n"/>
      <x:c r="M1416" s="9" t="n"/>
      <x:c r="N1416" s="12" t="n"/>
      <x:c r="O1416" s="6">
        <x:f>IF(N1416="","",IFERROR(VLOOKUP(N1416,Master_Data!$A$5:$C$8,3,FALSE),0))</x:f>
      </x:c>
      <x:c r="P1416" s="7">
        <x:f>IF(M1416="","",M1416*O1416)</x:f>
      </x:c>
      <x:c r="Q1416" s="7">
        <x:f>IF(M1416="","",M1416+P1416)</x:f>
      </x:c>
      <x:c r="R1416" s="7">
        <x:f>IF(K1416&lt;&gt;"Paid",0,IF(C1416="Income",Q1416,-Q1416))</x:f>
      </x:c>
      <x:c r="S1416" s="14">
        <x:f>IF(A1416="","",DATE(YEAR(A1416),MONTH(A1416),1))</x:f>
      </x:c>
      <x:c r="T1416" s="14">
        <x:f>IF(L1416="","",DATE(YEAR(L1416),MONTH(L1416),1))</x:f>
      </x:c>
    </x:row>
    <x:row r="1417">
      <x:c r="A1417" s="11" t="n"/>
      <x:c r="B1417" s="5" t="n"/>
      <x:c r="C1417" s="12" t="n"/>
      <x:c r="D1417" s="12" t="n"/>
      <x:c r="E1417" s="12" t="n"/>
      <x:c r="F1417" s="12" t="n"/>
      <x:c r="G1417" s="13">
        <x:f>IF(F1417="","",IFERROR(VLOOKUP(F1417,Master_Data!$E$24:$G$33,2,FALSE),"9999"))</x:f>
      </x:c>
      <x:c r="H1417" s="12" t="n"/>
      <x:c r="I1417" s="12" t="n"/>
      <x:c r="J1417" s="12" t="n"/>
      <x:c r="K1417" s="12" t="n"/>
      <x:c r="L1417" s="11" t="n"/>
      <x:c r="M1417" s="9" t="n"/>
      <x:c r="N1417" s="12" t="n"/>
      <x:c r="O1417" s="6">
        <x:f>IF(N1417="","",IFERROR(VLOOKUP(N1417,Master_Data!$A$5:$C$8,3,FALSE),0))</x:f>
      </x:c>
      <x:c r="P1417" s="7">
        <x:f>IF(M1417="","",M1417*O1417)</x:f>
      </x:c>
      <x:c r="Q1417" s="7">
        <x:f>IF(M1417="","",M1417+P1417)</x:f>
      </x:c>
      <x:c r="R1417" s="7">
        <x:f>IF(K1417&lt;&gt;"Paid",0,IF(C1417="Income",Q1417,-Q1417))</x:f>
      </x:c>
      <x:c r="S1417" s="14">
        <x:f>IF(A1417="","",DATE(YEAR(A1417),MONTH(A1417),1))</x:f>
      </x:c>
      <x:c r="T1417" s="14">
        <x:f>IF(L1417="","",DATE(YEAR(L1417),MONTH(L1417),1))</x:f>
      </x:c>
    </x:row>
    <x:row r="1418">
      <x:c r="A1418" s="11" t="n"/>
      <x:c r="B1418" s="5" t="n"/>
      <x:c r="C1418" s="12" t="n"/>
      <x:c r="D1418" s="12" t="n"/>
      <x:c r="E1418" s="12" t="n"/>
      <x:c r="F1418" s="12" t="n"/>
      <x:c r="G1418" s="13">
        <x:f>IF(F1418="","",IFERROR(VLOOKUP(F1418,Master_Data!$E$24:$G$33,2,FALSE),"9999"))</x:f>
      </x:c>
      <x:c r="H1418" s="12" t="n"/>
      <x:c r="I1418" s="12" t="n"/>
      <x:c r="J1418" s="12" t="n"/>
      <x:c r="K1418" s="12" t="n"/>
      <x:c r="L1418" s="11" t="n"/>
      <x:c r="M1418" s="9" t="n"/>
      <x:c r="N1418" s="12" t="n"/>
      <x:c r="O1418" s="6">
        <x:f>IF(N1418="","",IFERROR(VLOOKUP(N1418,Master_Data!$A$5:$C$8,3,FALSE),0))</x:f>
      </x:c>
      <x:c r="P1418" s="7">
        <x:f>IF(M1418="","",M1418*O1418)</x:f>
      </x:c>
      <x:c r="Q1418" s="7">
        <x:f>IF(M1418="","",M1418+P1418)</x:f>
      </x:c>
      <x:c r="R1418" s="7">
        <x:f>IF(K1418&lt;&gt;"Paid",0,IF(C1418="Income",Q1418,-Q1418))</x:f>
      </x:c>
      <x:c r="S1418" s="14">
        <x:f>IF(A1418="","",DATE(YEAR(A1418),MONTH(A1418),1))</x:f>
      </x:c>
      <x:c r="T1418" s="14">
        <x:f>IF(L1418="","",DATE(YEAR(L1418),MONTH(L1418),1))</x:f>
      </x:c>
    </x:row>
    <x:row r="1419">
      <x:c r="A1419" s="11" t="n"/>
      <x:c r="B1419" s="5" t="n"/>
      <x:c r="C1419" s="12" t="n"/>
      <x:c r="D1419" s="12" t="n"/>
      <x:c r="E1419" s="12" t="n"/>
      <x:c r="F1419" s="12" t="n"/>
      <x:c r="G1419" s="13">
        <x:f>IF(F1419="","",IFERROR(VLOOKUP(F1419,Master_Data!$E$24:$G$33,2,FALSE),"9999"))</x:f>
      </x:c>
      <x:c r="H1419" s="12" t="n"/>
      <x:c r="I1419" s="12" t="n"/>
      <x:c r="J1419" s="12" t="n"/>
      <x:c r="K1419" s="12" t="n"/>
      <x:c r="L1419" s="11" t="n"/>
      <x:c r="M1419" s="9" t="n"/>
      <x:c r="N1419" s="12" t="n"/>
      <x:c r="O1419" s="6">
        <x:f>IF(N1419="","",IFERROR(VLOOKUP(N1419,Master_Data!$A$5:$C$8,3,FALSE),0))</x:f>
      </x:c>
      <x:c r="P1419" s="7">
        <x:f>IF(M1419="","",M1419*O1419)</x:f>
      </x:c>
      <x:c r="Q1419" s="7">
        <x:f>IF(M1419="","",M1419+P1419)</x:f>
      </x:c>
      <x:c r="R1419" s="7">
        <x:f>IF(K1419&lt;&gt;"Paid",0,IF(C1419="Income",Q1419,-Q1419))</x:f>
      </x:c>
      <x:c r="S1419" s="14">
        <x:f>IF(A1419="","",DATE(YEAR(A1419),MONTH(A1419),1))</x:f>
      </x:c>
      <x:c r="T1419" s="14">
        <x:f>IF(L1419="","",DATE(YEAR(L1419),MONTH(L1419),1))</x:f>
      </x:c>
    </x:row>
    <x:row r="1420">
      <x:c r="A1420" s="11" t="n"/>
      <x:c r="B1420" s="5" t="n"/>
      <x:c r="C1420" s="12" t="n"/>
      <x:c r="D1420" s="12" t="n"/>
      <x:c r="E1420" s="12" t="n"/>
      <x:c r="F1420" s="12" t="n"/>
      <x:c r="G1420" s="13">
        <x:f>IF(F1420="","",IFERROR(VLOOKUP(F1420,Master_Data!$E$24:$G$33,2,FALSE),"9999"))</x:f>
      </x:c>
      <x:c r="H1420" s="12" t="n"/>
      <x:c r="I1420" s="12" t="n"/>
      <x:c r="J1420" s="12" t="n"/>
      <x:c r="K1420" s="12" t="n"/>
      <x:c r="L1420" s="11" t="n"/>
      <x:c r="M1420" s="9" t="n"/>
      <x:c r="N1420" s="12" t="n"/>
      <x:c r="O1420" s="6">
        <x:f>IF(N1420="","",IFERROR(VLOOKUP(N1420,Master_Data!$A$5:$C$8,3,FALSE),0))</x:f>
      </x:c>
      <x:c r="P1420" s="7">
        <x:f>IF(M1420="","",M1420*O1420)</x:f>
      </x:c>
      <x:c r="Q1420" s="7">
        <x:f>IF(M1420="","",M1420+P1420)</x:f>
      </x:c>
      <x:c r="R1420" s="7">
        <x:f>IF(K1420&lt;&gt;"Paid",0,IF(C1420="Income",Q1420,-Q1420))</x:f>
      </x:c>
      <x:c r="S1420" s="14">
        <x:f>IF(A1420="","",DATE(YEAR(A1420),MONTH(A1420),1))</x:f>
      </x:c>
      <x:c r="T1420" s="14">
        <x:f>IF(L1420="","",DATE(YEAR(L1420),MONTH(L1420),1))</x:f>
      </x:c>
    </x:row>
    <x:row r="1421">
      <x:c r="A1421" s="11" t="n"/>
      <x:c r="B1421" s="5" t="n"/>
      <x:c r="C1421" s="12" t="n"/>
      <x:c r="D1421" s="12" t="n"/>
      <x:c r="E1421" s="12" t="n"/>
      <x:c r="F1421" s="12" t="n"/>
      <x:c r="G1421" s="13">
        <x:f>IF(F1421="","",IFERROR(VLOOKUP(F1421,Master_Data!$E$24:$G$33,2,FALSE),"9999"))</x:f>
      </x:c>
      <x:c r="H1421" s="12" t="n"/>
      <x:c r="I1421" s="12" t="n"/>
      <x:c r="J1421" s="12" t="n"/>
      <x:c r="K1421" s="12" t="n"/>
      <x:c r="L1421" s="11" t="n"/>
      <x:c r="M1421" s="9" t="n"/>
      <x:c r="N1421" s="12" t="n"/>
      <x:c r="O1421" s="6">
        <x:f>IF(N1421="","",IFERROR(VLOOKUP(N1421,Master_Data!$A$5:$C$8,3,FALSE),0))</x:f>
      </x:c>
      <x:c r="P1421" s="7">
        <x:f>IF(M1421="","",M1421*O1421)</x:f>
      </x:c>
      <x:c r="Q1421" s="7">
        <x:f>IF(M1421="","",M1421+P1421)</x:f>
      </x:c>
      <x:c r="R1421" s="7">
        <x:f>IF(K1421&lt;&gt;"Paid",0,IF(C1421="Income",Q1421,-Q1421))</x:f>
      </x:c>
      <x:c r="S1421" s="14">
        <x:f>IF(A1421="","",DATE(YEAR(A1421),MONTH(A1421),1))</x:f>
      </x:c>
      <x:c r="T1421" s="14">
        <x:f>IF(L1421="","",DATE(YEAR(L1421),MONTH(L1421),1))</x:f>
      </x:c>
    </x:row>
    <x:row r="1422">
      <x:c r="A1422" s="11" t="n"/>
      <x:c r="B1422" s="5" t="n"/>
      <x:c r="C1422" s="12" t="n"/>
      <x:c r="D1422" s="12" t="n"/>
      <x:c r="E1422" s="12" t="n"/>
      <x:c r="F1422" s="12" t="n"/>
      <x:c r="G1422" s="13">
        <x:f>IF(F1422="","",IFERROR(VLOOKUP(F1422,Master_Data!$E$24:$G$33,2,FALSE),"9999"))</x:f>
      </x:c>
      <x:c r="H1422" s="12" t="n"/>
      <x:c r="I1422" s="12" t="n"/>
      <x:c r="J1422" s="12" t="n"/>
      <x:c r="K1422" s="12" t="n"/>
      <x:c r="L1422" s="11" t="n"/>
      <x:c r="M1422" s="9" t="n"/>
      <x:c r="N1422" s="12" t="n"/>
      <x:c r="O1422" s="6">
        <x:f>IF(N1422="","",IFERROR(VLOOKUP(N1422,Master_Data!$A$5:$C$8,3,FALSE),0))</x:f>
      </x:c>
      <x:c r="P1422" s="7">
        <x:f>IF(M1422="","",M1422*O1422)</x:f>
      </x:c>
      <x:c r="Q1422" s="7">
        <x:f>IF(M1422="","",M1422+P1422)</x:f>
      </x:c>
      <x:c r="R1422" s="7">
        <x:f>IF(K1422&lt;&gt;"Paid",0,IF(C1422="Income",Q1422,-Q1422))</x:f>
      </x:c>
      <x:c r="S1422" s="14">
        <x:f>IF(A1422="","",DATE(YEAR(A1422),MONTH(A1422),1))</x:f>
      </x:c>
      <x:c r="T1422" s="14">
        <x:f>IF(L1422="","",DATE(YEAR(L1422),MONTH(L1422),1))</x:f>
      </x:c>
    </x:row>
    <x:row r="1423">
      <x:c r="A1423" s="11" t="n"/>
      <x:c r="B1423" s="5" t="n"/>
      <x:c r="C1423" s="12" t="n"/>
      <x:c r="D1423" s="12" t="n"/>
      <x:c r="E1423" s="12" t="n"/>
      <x:c r="F1423" s="12" t="n"/>
      <x:c r="G1423" s="13">
        <x:f>IF(F1423="","",IFERROR(VLOOKUP(F1423,Master_Data!$E$24:$G$33,2,FALSE),"9999"))</x:f>
      </x:c>
      <x:c r="H1423" s="12" t="n"/>
      <x:c r="I1423" s="12" t="n"/>
      <x:c r="J1423" s="12" t="n"/>
      <x:c r="K1423" s="12" t="n"/>
      <x:c r="L1423" s="11" t="n"/>
      <x:c r="M1423" s="9" t="n"/>
      <x:c r="N1423" s="12" t="n"/>
      <x:c r="O1423" s="6">
        <x:f>IF(N1423="","",IFERROR(VLOOKUP(N1423,Master_Data!$A$5:$C$8,3,FALSE),0))</x:f>
      </x:c>
      <x:c r="P1423" s="7">
        <x:f>IF(M1423="","",M1423*O1423)</x:f>
      </x:c>
      <x:c r="Q1423" s="7">
        <x:f>IF(M1423="","",M1423+P1423)</x:f>
      </x:c>
      <x:c r="R1423" s="7">
        <x:f>IF(K1423&lt;&gt;"Paid",0,IF(C1423="Income",Q1423,-Q1423))</x:f>
      </x:c>
      <x:c r="S1423" s="14">
        <x:f>IF(A1423="","",DATE(YEAR(A1423),MONTH(A1423),1))</x:f>
      </x:c>
      <x:c r="T1423" s="14">
        <x:f>IF(L1423="","",DATE(YEAR(L1423),MONTH(L1423),1))</x:f>
      </x:c>
    </x:row>
    <x:row r="1424">
      <x:c r="A1424" s="11" t="n"/>
      <x:c r="B1424" s="5" t="n"/>
      <x:c r="C1424" s="12" t="n"/>
      <x:c r="D1424" s="12" t="n"/>
      <x:c r="E1424" s="12" t="n"/>
      <x:c r="F1424" s="12" t="n"/>
      <x:c r="G1424" s="13">
        <x:f>IF(F1424="","",IFERROR(VLOOKUP(F1424,Master_Data!$E$24:$G$33,2,FALSE),"9999"))</x:f>
      </x:c>
      <x:c r="H1424" s="12" t="n"/>
      <x:c r="I1424" s="12" t="n"/>
      <x:c r="J1424" s="12" t="n"/>
      <x:c r="K1424" s="12" t="n"/>
      <x:c r="L1424" s="11" t="n"/>
      <x:c r="M1424" s="9" t="n"/>
      <x:c r="N1424" s="12" t="n"/>
      <x:c r="O1424" s="6">
        <x:f>IF(N1424="","",IFERROR(VLOOKUP(N1424,Master_Data!$A$5:$C$8,3,FALSE),0))</x:f>
      </x:c>
      <x:c r="P1424" s="7">
        <x:f>IF(M1424="","",M1424*O1424)</x:f>
      </x:c>
      <x:c r="Q1424" s="7">
        <x:f>IF(M1424="","",M1424+P1424)</x:f>
      </x:c>
      <x:c r="R1424" s="7">
        <x:f>IF(K1424&lt;&gt;"Paid",0,IF(C1424="Income",Q1424,-Q1424))</x:f>
      </x:c>
      <x:c r="S1424" s="14">
        <x:f>IF(A1424="","",DATE(YEAR(A1424),MONTH(A1424),1))</x:f>
      </x:c>
      <x:c r="T1424" s="14">
        <x:f>IF(L1424="","",DATE(YEAR(L1424),MONTH(L1424),1))</x:f>
      </x:c>
    </x:row>
    <x:row r="1425">
      <x:c r="A1425" s="11" t="n"/>
      <x:c r="B1425" s="5" t="n"/>
      <x:c r="C1425" s="12" t="n"/>
      <x:c r="D1425" s="12" t="n"/>
      <x:c r="E1425" s="12" t="n"/>
      <x:c r="F1425" s="12" t="n"/>
      <x:c r="G1425" s="13">
        <x:f>IF(F1425="","",IFERROR(VLOOKUP(F1425,Master_Data!$E$24:$G$33,2,FALSE),"9999"))</x:f>
      </x:c>
      <x:c r="H1425" s="12" t="n"/>
      <x:c r="I1425" s="12" t="n"/>
      <x:c r="J1425" s="12" t="n"/>
      <x:c r="K1425" s="12" t="n"/>
      <x:c r="L1425" s="11" t="n"/>
      <x:c r="M1425" s="9" t="n"/>
      <x:c r="N1425" s="12" t="n"/>
      <x:c r="O1425" s="6">
        <x:f>IF(N1425="","",IFERROR(VLOOKUP(N1425,Master_Data!$A$5:$C$8,3,FALSE),0))</x:f>
      </x:c>
      <x:c r="P1425" s="7">
        <x:f>IF(M1425="","",M1425*O1425)</x:f>
      </x:c>
      <x:c r="Q1425" s="7">
        <x:f>IF(M1425="","",M1425+P1425)</x:f>
      </x:c>
      <x:c r="R1425" s="7">
        <x:f>IF(K1425&lt;&gt;"Paid",0,IF(C1425="Income",Q1425,-Q1425))</x:f>
      </x:c>
      <x:c r="S1425" s="14">
        <x:f>IF(A1425="","",DATE(YEAR(A1425),MONTH(A1425),1))</x:f>
      </x:c>
      <x:c r="T1425" s="14">
        <x:f>IF(L1425="","",DATE(YEAR(L1425),MONTH(L1425),1))</x:f>
      </x:c>
    </x:row>
    <x:row r="1426">
      <x:c r="A1426" s="11" t="n"/>
      <x:c r="B1426" s="5" t="n"/>
      <x:c r="C1426" s="12" t="n"/>
      <x:c r="D1426" s="12" t="n"/>
      <x:c r="E1426" s="12" t="n"/>
      <x:c r="F1426" s="12" t="n"/>
      <x:c r="G1426" s="13">
        <x:f>IF(F1426="","",IFERROR(VLOOKUP(F1426,Master_Data!$E$24:$G$33,2,FALSE),"9999"))</x:f>
      </x:c>
      <x:c r="H1426" s="12" t="n"/>
      <x:c r="I1426" s="12" t="n"/>
      <x:c r="J1426" s="12" t="n"/>
      <x:c r="K1426" s="12" t="n"/>
      <x:c r="L1426" s="11" t="n"/>
      <x:c r="M1426" s="9" t="n"/>
      <x:c r="N1426" s="12" t="n"/>
      <x:c r="O1426" s="6">
        <x:f>IF(N1426="","",IFERROR(VLOOKUP(N1426,Master_Data!$A$5:$C$8,3,FALSE),0))</x:f>
      </x:c>
      <x:c r="P1426" s="7">
        <x:f>IF(M1426="","",M1426*O1426)</x:f>
      </x:c>
      <x:c r="Q1426" s="7">
        <x:f>IF(M1426="","",M1426+P1426)</x:f>
      </x:c>
      <x:c r="R1426" s="7">
        <x:f>IF(K1426&lt;&gt;"Paid",0,IF(C1426="Income",Q1426,-Q1426))</x:f>
      </x:c>
      <x:c r="S1426" s="14">
        <x:f>IF(A1426="","",DATE(YEAR(A1426),MONTH(A1426),1))</x:f>
      </x:c>
      <x:c r="T1426" s="14">
        <x:f>IF(L1426="","",DATE(YEAR(L1426),MONTH(L1426),1))</x:f>
      </x:c>
    </x:row>
    <x:row r="1427">
      <x:c r="A1427" s="11" t="n"/>
      <x:c r="B1427" s="5" t="n"/>
      <x:c r="C1427" s="12" t="n"/>
      <x:c r="D1427" s="12" t="n"/>
      <x:c r="E1427" s="12" t="n"/>
      <x:c r="F1427" s="12" t="n"/>
      <x:c r="G1427" s="13">
        <x:f>IF(F1427="","",IFERROR(VLOOKUP(F1427,Master_Data!$E$24:$G$33,2,FALSE),"9999"))</x:f>
      </x:c>
      <x:c r="H1427" s="12" t="n"/>
      <x:c r="I1427" s="12" t="n"/>
      <x:c r="J1427" s="12" t="n"/>
      <x:c r="K1427" s="12" t="n"/>
      <x:c r="L1427" s="11" t="n"/>
      <x:c r="M1427" s="9" t="n"/>
      <x:c r="N1427" s="12" t="n"/>
      <x:c r="O1427" s="6">
        <x:f>IF(N1427="","",IFERROR(VLOOKUP(N1427,Master_Data!$A$5:$C$8,3,FALSE),0))</x:f>
      </x:c>
      <x:c r="P1427" s="7">
        <x:f>IF(M1427="","",M1427*O1427)</x:f>
      </x:c>
      <x:c r="Q1427" s="7">
        <x:f>IF(M1427="","",M1427+P1427)</x:f>
      </x:c>
      <x:c r="R1427" s="7">
        <x:f>IF(K1427&lt;&gt;"Paid",0,IF(C1427="Income",Q1427,-Q1427))</x:f>
      </x:c>
      <x:c r="S1427" s="14">
        <x:f>IF(A1427="","",DATE(YEAR(A1427),MONTH(A1427),1))</x:f>
      </x:c>
      <x:c r="T1427" s="14">
        <x:f>IF(L1427="","",DATE(YEAR(L1427),MONTH(L1427),1))</x:f>
      </x:c>
    </x:row>
    <x:row r="1428">
      <x:c r="A1428" s="11" t="n"/>
      <x:c r="B1428" s="5" t="n"/>
      <x:c r="C1428" s="12" t="n"/>
      <x:c r="D1428" s="12" t="n"/>
      <x:c r="E1428" s="12" t="n"/>
      <x:c r="F1428" s="12" t="n"/>
      <x:c r="G1428" s="13">
        <x:f>IF(F1428="","",IFERROR(VLOOKUP(F1428,Master_Data!$E$24:$G$33,2,FALSE),"9999"))</x:f>
      </x:c>
      <x:c r="H1428" s="12" t="n"/>
      <x:c r="I1428" s="12" t="n"/>
      <x:c r="J1428" s="12" t="n"/>
      <x:c r="K1428" s="12" t="n"/>
      <x:c r="L1428" s="11" t="n"/>
      <x:c r="M1428" s="9" t="n"/>
      <x:c r="N1428" s="12" t="n"/>
      <x:c r="O1428" s="6">
        <x:f>IF(N1428="","",IFERROR(VLOOKUP(N1428,Master_Data!$A$5:$C$8,3,FALSE),0))</x:f>
      </x:c>
      <x:c r="P1428" s="7">
        <x:f>IF(M1428="","",M1428*O1428)</x:f>
      </x:c>
      <x:c r="Q1428" s="7">
        <x:f>IF(M1428="","",M1428+P1428)</x:f>
      </x:c>
      <x:c r="R1428" s="7">
        <x:f>IF(K1428&lt;&gt;"Paid",0,IF(C1428="Income",Q1428,-Q1428))</x:f>
      </x:c>
      <x:c r="S1428" s="14">
        <x:f>IF(A1428="","",DATE(YEAR(A1428),MONTH(A1428),1))</x:f>
      </x:c>
      <x:c r="T1428" s="14">
        <x:f>IF(L1428="","",DATE(YEAR(L1428),MONTH(L1428),1))</x:f>
      </x:c>
    </x:row>
    <x:row r="1429">
      <x:c r="A1429" s="11" t="n"/>
      <x:c r="B1429" s="5" t="n"/>
      <x:c r="C1429" s="12" t="n"/>
      <x:c r="D1429" s="12" t="n"/>
      <x:c r="E1429" s="12" t="n"/>
      <x:c r="F1429" s="12" t="n"/>
      <x:c r="G1429" s="13">
        <x:f>IF(F1429="","",IFERROR(VLOOKUP(F1429,Master_Data!$E$24:$G$33,2,FALSE),"9999"))</x:f>
      </x:c>
      <x:c r="H1429" s="12" t="n"/>
      <x:c r="I1429" s="12" t="n"/>
      <x:c r="J1429" s="12" t="n"/>
      <x:c r="K1429" s="12" t="n"/>
      <x:c r="L1429" s="11" t="n"/>
      <x:c r="M1429" s="9" t="n"/>
      <x:c r="N1429" s="12" t="n"/>
      <x:c r="O1429" s="6">
        <x:f>IF(N1429="","",IFERROR(VLOOKUP(N1429,Master_Data!$A$5:$C$8,3,FALSE),0))</x:f>
      </x:c>
      <x:c r="P1429" s="7">
        <x:f>IF(M1429="","",M1429*O1429)</x:f>
      </x:c>
      <x:c r="Q1429" s="7">
        <x:f>IF(M1429="","",M1429+P1429)</x:f>
      </x:c>
      <x:c r="R1429" s="7">
        <x:f>IF(K1429&lt;&gt;"Paid",0,IF(C1429="Income",Q1429,-Q1429))</x:f>
      </x:c>
      <x:c r="S1429" s="14">
        <x:f>IF(A1429="","",DATE(YEAR(A1429),MONTH(A1429),1))</x:f>
      </x:c>
      <x:c r="T1429" s="14">
        <x:f>IF(L1429="","",DATE(YEAR(L1429),MONTH(L1429),1))</x:f>
      </x:c>
    </x:row>
    <x:row r="1430">
      <x:c r="A1430" s="11" t="n"/>
      <x:c r="B1430" s="5" t="n"/>
      <x:c r="C1430" s="12" t="n"/>
      <x:c r="D1430" s="12" t="n"/>
      <x:c r="E1430" s="12" t="n"/>
      <x:c r="F1430" s="12" t="n"/>
      <x:c r="G1430" s="13">
        <x:f>IF(F1430="","",IFERROR(VLOOKUP(F1430,Master_Data!$E$24:$G$33,2,FALSE),"9999"))</x:f>
      </x:c>
      <x:c r="H1430" s="12" t="n"/>
      <x:c r="I1430" s="12" t="n"/>
      <x:c r="J1430" s="12" t="n"/>
      <x:c r="K1430" s="12" t="n"/>
      <x:c r="L1430" s="11" t="n"/>
      <x:c r="M1430" s="9" t="n"/>
      <x:c r="N1430" s="12" t="n"/>
      <x:c r="O1430" s="6">
        <x:f>IF(N1430="","",IFERROR(VLOOKUP(N1430,Master_Data!$A$5:$C$8,3,FALSE),0))</x:f>
      </x:c>
      <x:c r="P1430" s="7">
        <x:f>IF(M1430="","",M1430*O1430)</x:f>
      </x:c>
      <x:c r="Q1430" s="7">
        <x:f>IF(M1430="","",M1430+P1430)</x:f>
      </x:c>
      <x:c r="R1430" s="7">
        <x:f>IF(K1430&lt;&gt;"Paid",0,IF(C1430="Income",Q1430,-Q1430))</x:f>
      </x:c>
      <x:c r="S1430" s="14">
        <x:f>IF(A1430="","",DATE(YEAR(A1430),MONTH(A1430),1))</x:f>
      </x:c>
      <x:c r="T1430" s="14">
        <x:f>IF(L1430="","",DATE(YEAR(L1430),MONTH(L1430),1))</x:f>
      </x:c>
    </x:row>
    <x:row r="1431">
      <x:c r="A1431" s="11" t="n"/>
      <x:c r="B1431" s="5" t="n"/>
      <x:c r="C1431" s="12" t="n"/>
      <x:c r="D1431" s="12" t="n"/>
      <x:c r="E1431" s="12" t="n"/>
      <x:c r="F1431" s="12" t="n"/>
      <x:c r="G1431" s="13">
        <x:f>IF(F1431="","",IFERROR(VLOOKUP(F1431,Master_Data!$E$24:$G$33,2,FALSE),"9999"))</x:f>
      </x:c>
      <x:c r="H1431" s="12" t="n"/>
      <x:c r="I1431" s="12" t="n"/>
      <x:c r="J1431" s="12" t="n"/>
      <x:c r="K1431" s="12" t="n"/>
      <x:c r="L1431" s="11" t="n"/>
      <x:c r="M1431" s="9" t="n"/>
      <x:c r="N1431" s="12" t="n"/>
      <x:c r="O1431" s="6">
        <x:f>IF(N1431="","",IFERROR(VLOOKUP(N1431,Master_Data!$A$5:$C$8,3,FALSE),0))</x:f>
      </x:c>
      <x:c r="P1431" s="7">
        <x:f>IF(M1431="","",M1431*O1431)</x:f>
      </x:c>
      <x:c r="Q1431" s="7">
        <x:f>IF(M1431="","",M1431+P1431)</x:f>
      </x:c>
      <x:c r="R1431" s="7">
        <x:f>IF(K1431&lt;&gt;"Paid",0,IF(C1431="Income",Q1431,-Q1431))</x:f>
      </x:c>
      <x:c r="S1431" s="14">
        <x:f>IF(A1431="","",DATE(YEAR(A1431),MONTH(A1431),1))</x:f>
      </x:c>
      <x:c r="T1431" s="14">
        <x:f>IF(L1431="","",DATE(YEAR(L1431),MONTH(L1431),1))</x:f>
      </x:c>
    </x:row>
    <x:row r="1432">
      <x:c r="A1432" s="11" t="n"/>
      <x:c r="B1432" s="5" t="n"/>
      <x:c r="C1432" s="12" t="n"/>
      <x:c r="D1432" s="12" t="n"/>
      <x:c r="E1432" s="12" t="n"/>
      <x:c r="F1432" s="12" t="n"/>
      <x:c r="G1432" s="13">
        <x:f>IF(F1432="","",IFERROR(VLOOKUP(F1432,Master_Data!$E$24:$G$33,2,FALSE),"9999"))</x:f>
      </x:c>
      <x:c r="H1432" s="12" t="n"/>
      <x:c r="I1432" s="12" t="n"/>
      <x:c r="J1432" s="12" t="n"/>
      <x:c r="K1432" s="12" t="n"/>
      <x:c r="L1432" s="11" t="n"/>
      <x:c r="M1432" s="9" t="n"/>
      <x:c r="N1432" s="12" t="n"/>
      <x:c r="O1432" s="6">
        <x:f>IF(N1432="","",IFERROR(VLOOKUP(N1432,Master_Data!$A$5:$C$8,3,FALSE),0))</x:f>
      </x:c>
      <x:c r="P1432" s="7">
        <x:f>IF(M1432="","",M1432*O1432)</x:f>
      </x:c>
      <x:c r="Q1432" s="7">
        <x:f>IF(M1432="","",M1432+P1432)</x:f>
      </x:c>
      <x:c r="R1432" s="7">
        <x:f>IF(K1432&lt;&gt;"Paid",0,IF(C1432="Income",Q1432,-Q1432))</x:f>
      </x:c>
      <x:c r="S1432" s="14">
        <x:f>IF(A1432="","",DATE(YEAR(A1432),MONTH(A1432),1))</x:f>
      </x:c>
      <x:c r="T1432" s="14">
        <x:f>IF(L1432="","",DATE(YEAR(L1432),MONTH(L1432),1))</x:f>
      </x:c>
    </x:row>
    <x:row r="1433">
      <x:c r="A1433" s="11" t="n"/>
      <x:c r="B1433" s="5" t="n"/>
      <x:c r="C1433" s="12" t="n"/>
      <x:c r="D1433" s="12" t="n"/>
      <x:c r="E1433" s="12" t="n"/>
      <x:c r="F1433" s="12" t="n"/>
      <x:c r="G1433" s="13">
        <x:f>IF(F1433="","",IFERROR(VLOOKUP(F1433,Master_Data!$E$24:$G$33,2,FALSE),"9999"))</x:f>
      </x:c>
      <x:c r="H1433" s="12" t="n"/>
      <x:c r="I1433" s="12" t="n"/>
      <x:c r="J1433" s="12" t="n"/>
      <x:c r="K1433" s="12" t="n"/>
      <x:c r="L1433" s="11" t="n"/>
      <x:c r="M1433" s="9" t="n"/>
      <x:c r="N1433" s="12" t="n"/>
      <x:c r="O1433" s="6">
        <x:f>IF(N1433="","",IFERROR(VLOOKUP(N1433,Master_Data!$A$5:$C$8,3,FALSE),0))</x:f>
      </x:c>
      <x:c r="P1433" s="7">
        <x:f>IF(M1433="","",M1433*O1433)</x:f>
      </x:c>
      <x:c r="Q1433" s="7">
        <x:f>IF(M1433="","",M1433+P1433)</x:f>
      </x:c>
      <x:c r="R1433" s="7">
        <x:f>IF(K1433&lt;&gt;"Paid",0,IF(C1433="Income",Q1433,-Q1433))</x:f>
      </x:c>
      <x:c r="S1433" s="14">
        <x:f>IF(A1433="","",DATE(YEAR(A1433),MONTH(A1433),1))</x:f>
      </x:c>
      <x:c r="T1433" s="14">
        <x:f>IF(L1433="","",DATE(YEAR(L1433),MONTH(L1433),1))</x:f>
      </x:c>
    </x:row>
    <x:row r="1434">
      <x:c r="A1434" s="11" t="n"/>
      <x:c r="B1434" s="5" t="n"/>
      <x:c r="C1434" s="12" t="n"/>
      <x:c r="D1434" s="12" t="n"/>
      <x:c r="E1434" s="12" t="n"/>
      <x:c r="F1434" s="12" t="n"/>
      <x:c r="G1434" s="13">
        <x:f>IF(F1434="","",IFERROR(VLOOKUP(F1434,Master_Data!$E$24:$G$33,2,FALSE),"9999"))</x:f>
      </x:c>
      <x:c r="H1434" s="12" t="n"/>
      <x:c r="I1434" s="12" t="n"/>
      <x:c r="J1434" s="12" t="n"/>
      <x:c r="K1434" s="12" t="n"/>
      <x:c r="L1434" s="11" t="n"/>
      <x:c r="M1434" s="9" t="n"/>
      <x:c r="N1434" s="12" t="n"/>
      <x:c r="O1434" s="6">
        <x:f>IF(N1434="","",IFERROR(VLOOKUP(N1434,Master_Data!$A$5:$C$8,3,FALSE),0))</x:f>
      </x:c>
      <x:c r="P1434" s="7">
        <x:f>IF(M1434="","",M1434*O1434)</x:f>
      </x:c>
      <x:c r="Q1434" s="7">
        <x:f>IF(M1434="","",M1434+P1434)</x:f>
      </x:c>
      <x:c r="R1434" s="7">
        <x:f>IF(K1434&lt;&gt;"Paid",0,IF(C1434="Income",Q1434,-Q1434))</x:f>
      </x:c>
      <x:c r="S1434" s="14">
        <x:f>IF(A1434="","",DATE(YEAR(A1434),MONTH(A1434),1))</x:f>
      </x:c>
      <x:c r="T1434" s="14">
        <x:f>IF(L1434="","",DATE(YEAR(L1434),MONTH(L1434),1))</x:f>
      </x:c>
    </x:row>
    <x:row r="1435">
      <x:c r="A1435" s="11" t="n"/>
      <x:c r="B1435" s="5" t="n"/>
      <x:c r="C1435" s="12" t="n"/>
      <x:c r="D1435" s="12" t="n"/>
      <x:c r="E1435" s="12" t="n"/>
      <x:c r="F1435" s="12" t="n"/>
      <x:c r="G1435" s="13">
        <x:f>IF(F1435="","",IFERROR(VLOOKUP(F1435,Master_Data!$E$24:$G$33,2,FALSE),"9999"))</x:f>
      </x:c>
      <x:c r="H1435" s="12" t="n"/>
      <x:c r="I1435" s="12" t="n"/>
      <x:c r="J1435" s="12" t="n"/>
      <x:c r="K1435" s="12" t="n"/>
      <x:c r="L1435" s="11" t="n"/>
      <x:c r="M1435" s="9" t="n"/>
      <x:c r="N1435" s="12" t="n"/>
      <x:c r="O1435" s="6">
        <x:f>IF(N1435="","",IFERROR(VLOOKUP(N1435,Master_Data!$A$5:$C$8,3,FALSE),0))</x:f>
      </x:c>
      <x:c r="P1435" s="7">
        <x:f>IF(M1435="","",M1435*O1435)</x:f>
      </x:c>
      <x:c r="Q1435" s="7">
        <x:f>IF(M1435="","",M1435+P1435)</x:f>
      </x:c>
      <x:c r="R1435" s="7">
        <x:f>IF(K1435&lt;&gt;"Paid",0,IF(C1435="Income",Q1435,-Q1435))</x:f>
      </x:c>
      <x:c r="S1435" s="14">
        <x:f>IF(A1435="","",DATE(YEAR(A1435),MONTH(A1435),1))</x:f>
      </x:c>
      <x:c r="T1435" s="14">
        <x:f>IF(L1435="","",DATE(YEAR(L1435),MONTH(L1435),1))</x:f>
      </x:c>
    </x:row>
    <x:row r="1436">
      <x:c r="A1436" s="11" t="n"/>
      <x:c r="B1436" s="5" t="n"/>
      <x:c r="C1436" s="12" t="n"/>
      <x:c r="D1436" s="12" t="n"/>
      <x:c r="E1436" s="12" t="n"/>
      <x:c r="F1436" s="12" t="n"/>
      <x:c r="G1436" s="13">
        <x:f>IF(F1436="","",IFERROR(VLOOKUP(F1436,Master_Data!$E$24:$G$33,2,FALSE),"9999"))</x:f>
      </x:c>
      <x:c r="H1436" s="12" t="n"/>
      <x:c r="I1436" s="12" t="n"/>
      <x:c r="J1436" s="12" t="n"/>
      <x:c r="K1436" s="12" t="n"/>
      <x:c r="L1436" s="11" t="n"/>
      <x:c r="M1436" s="9" t="n"/>
      <x:c r="N1436" s="12" t="n"/>
      <x:c r="O1436" s="6">
        <x:f>IF(N1436="","",IFERROR(VLOOKUP(N1436,Master_Data!$A$5:$C$8,3,FALSE),0))</x:f>
      </x:c>
      <x:c r="P1436" s="7">
        <x:f>IF(M1436="","",M1436*O1436)</x:f>
      </x:c>
      <x:c r="Q1436" s="7">
        <x:f>IF(M1436="","",M1436+P1436)</x:f>
      </x:c>
      <x:c r="R1436" s="7">
        <x:f>IF(K1436&lt;&gt;"Paid",0,IF(C1436="Income",Q1436,-Q1436))</x:f>
      </x:c>
      <x:c r="S1436" s="14">
        <x:f>IF(A1436="","",DATE(YEAR(A1436),MONTH(A1436),1))</x:f>
      </x:c>
      <x:c r="T1436" s="14">
        <x:f>IF(L1436="","",DATE(YEAR(L1436),MONTH(L1436),1))</x:f>
      </x:c>
    </x:row>
    <x:row r="1437">
      <x:c r="A1437" s="11" t="n"/>
      <x:c r="B1437" s="5" t="n"/>
      <x:c r="C1437" s="12" t="n"/>
      <x:c r="D1437" s="12" t="n"/>
      <x:c r="E1437" s="12" t="n"/>
      <x:c r="F1437" s="12" t="n"/>
      <x:c r="G1437" s="13">
        <x:f>IF(F1437="","",IFERROR(VLOOKUP(F1437,Master_Data!$E$24:$G$33,2,FALSE),"9999"))</x:f>
      </x:c>
      <x:c r="H1437" s="12" t="n"/>
      <x:c r="I1437" s="12" t="n"/>
      <x:c r="J1437" s="12" t="n"/>
      <x:c r="K1437" s="12" t="n"/>
      <x:c r="L1437" s="11" t="n"/>
      <x:c r="M1437" s="9" t="n"/>
      <x:c r="N1437" s="12" t="n"/>
      <x:c r="O1437" s="6">
        <x:f>IF(N1437="","",IFERROR(VLOOKUP(N1437,Master_Data!$A$5:$C$8,3,FALSE),0))</x:f>
      </x:c>
      <x:c r="P1437" s="7">
        <x:f>IF(M1437="","",M1437*O1437)</x:f>
      </x:c>
      <x:c r="Q1437" s="7">
        <x:f>IF(M1437="","",M1437+P1437)</x:f>
      </x:c>
      <x:c r="R1437" s="7">
        <x:f>IF(K1437&lt;&gt;"Paid",0,IF(C1437="Income",Q1437,-Q1437))</x:f>
      </x:c>
      <x:c r="S1437" s="14">
        <x:f>IF(A1437="","",DATE(YEAR(A1437),MONTH(A1437),1))</x:f>
      </x:c>
      <x:c r="T1437" s="14">
        <x:f>IF(L1437="","",DATE(YEAR(L1437),MONTH(L1437),1))</x:f>
      </x:c>
    </x:row>
    <x:row r="1438">
      <x:c r="A1438" s="11" t="n"/>
      <x:c r="B1438" s="5" t="n"/>
      <x:c r="C1438" s="12" t="n"/>
      <x:c r="D1438" s="12" t="n"/>
      <x:c r="E1438" s="12" t="n"/>
      <x:c r="F1438" s="12" t="n"/>
      <x:c r="G1438" s="13">
        <x:f>IF(F1438="","",IFERROR(VLOOKUP(F1438,Master_Data!$E$24:$G$33,2,FALSE),"9999"))</x:f>
      </x:c>
      <x:c r="H1438" s="12" t="n"/>
      <x:c r="I1438" s="12" t="n"/>
      <x:c r="J1438" s="12" t="n"/>
      <x:c r="K1438" s="12" t="n"/>
      <x:c r="L1438" s="11" t="n"/>
      <x:c r="M1438" s="9" t="n"/>
      <x:c r="N1438" s="12" t="n"/>
      <x:c r="O1438" s="6">
        <x:f>IF(N1438="","",IFERROR(VLOOKUP(N1438,Master_Data!$A$5:$C$8,3,FALSE),0))</x:f>
      </x:c>
      <x:c r="P1438" s="7">
        <x:f>IF(M1438="","",M1438*O1438)</x:f>
      </x:c>
      <x:c r="Q1438" s="7">
        <x:f>IF(M1438="","",M1438+P1438)</x:f>
      </x:c>
      <x:c r="R1438" s="7">
        <x:f>IF(K1438&lt;&gt;"Paid",0,IF(C1438="Income",Q1438,-Q1438))</x:f>
      </x:c>
      <x:c r="S1438" s="14">
        <x:f>IF(A1438="","",DATE(YEAR(A1438),MONTH(A1438),1))</x:f>
      </x:c>
      <x:c r="T1438" s="14">
        <x:f>IF(L1438="","",DATE(YEAR(L1438),MONTH(L1438),1))</x:f>
      </x:c>
    </x:row>
    <x:row r="1439">
      <x:c r="A1439" s="11" t="n"/>
      <x:c r="B1439" s="5" t="n"/>
      <x:c r="C1439" s="12" t="n"/>
      <x:c r="D1439" s="12" t="n"/>
      <x:c r="E1439" s="12" t="n"/>
      <x:c r="F1439" s="12" t="n"/>
      <x:c r="G1439" s="13">
        <x:f>IF(F1439="","",IFERROR(VLOOKUP(F1439,Master_Data!$E$24:$G$33,2,FALSE),"9999"))</x:f>
      </x:c>
      <x:c r="H1439" s="12" t="n"/>
      <x:c r="I1439" s="12" t="n"/>
      <x:c r="J1439" s="12" t="n"/>
      <x:c r="K1439" s="12" t="n"/>
      <x:c r="L1439" s="11" t="n"/>
      <x:c r="M1439" s="9" t="n"/>
      <x:c r="N1439" s="12" t="n"/>
      <x:c r="O1439" s="6">
        <x:f>IF(N1439="","",IFERROR(VLOOKUP(N1439,Master_Data!$A$5:$C$8,3,FALSE),0))</x:f>
      </x:c>
      <x:c r="P1439" s="7">
        <x:f>IF(M1439="","",M1439*O1439)</x:f>
      </x:c>
      <x:c r="Q1439" s="7">
        <x:f>IF(M1439="","",M1439+P1439)</x:f>
      </x:c>
      <x:c r="R1439" s="7">
        <x:f>IF(K1439&lt;&gt;"Paid",0,IF(C1439="Income",Q1439,-Q1439))</x:f>
      </x:c>
      <x:c r="S1439" s="14">
        <x:f>IF(A1439="","",DATE(YEAR(A1439),MONTH(A1439),1))</x:f>
      </x:c>
      <x:c r="T1439" s="14">
        <x:f>IF(L1439="","",DATE(YEAR(L1439),MONTH(L1439),1))</x:f>
      </x:c>
    </x:row>
    <x:row r="1440">
      <x:c r="A1440" s="11" t="n"/>
      <x:c r="B1440" s="5" t="n"/>
      <x:c r="C1440" s="12" t="n"/>
      <x:c r="D1440" s="12" t="n"/>
      <x:c r="E1440" s="12" t="n"/>
      <x:c r="F1440" s="12" t="n"/>
      <x:c r="G1440" s="13">
        <x:f>IF(F1440="","",IFERROR(VLOOKUP(F1440,Master_Data!$E$24:$G$33,2,FALSE),"9999"))</x:f>
      </x:c>
      <x:c r="H1440" s="12" t="n"/>
      <x:c r="I1440" s="12" t="n"/>
      <x:c r="J1440" s="12" t="n"/>
      <x:c r="K1440" s="12" t="n"/>
      <x:c r="L1440" s="11" t="n"/>
      <x:c r="M1440" s="9" t="n"/>
      <x:c r="N1440" s="12" t="n"/>
      <x:c r="O1440" s="6">
        <x:f>IF(N1440="","",IFERROR(VLOOKUP(N1440,Master_Data!$A$5:$C$8,3,FALSE),0))</x:f>
      </x:c>
      <x:c r="P1440" s="7">
        <x:f>IF(M1440="","",M1440*O1440)</x:f>
      </x:c>
      <x:c r="Q1440" s="7">
        <x:f>IF(M1440="","",M1440+P1440)</x:f>
      </x:c>
      <x:c r="R1440" s="7">
        <x:f>IF(K1440&lt;&gt;"Paid",0,IF(C1440="Income",Q1440,-Q1440))</x:f>
      </x:c>
      <x:c r="S1440" s="14">
        <x:f>IF(A1440="","",DATE(YEAR(A1440),MONTH(A1440),1))</x:f>
      </x:c>
      <x:c r="T1440" s="14">
        <x:f>IF(L1440="","",DATE(YEAR(L1440),MONTH(L1440),1))</x:f>
      </x:c>
    </x:row>
    <x:row r="1441">
      <x:c r="A1441" s="11" t="n"/>
      <x:c r="B1441" s="5" t="n"/>
      <x:c r="C1441" s="12" t="n"/>
      <x:c r="D1441" s="12" t="n"/>
      <x:c r="E1441" s="12" t="n"/>
      <x:c r="F1441" s="12" t="n"/>
      <x:c r="G1441" s="13">
        <x:f>IF(F1441="","",IFERROR(VLOOKUP(F1441,Master_Data!$E$24:$G$33,2,FALSE),"9999"))</x:f>
      </x:c>
      <x:c r="H1441" s="12" t="n"/>
      <x:c r="I1441" s="12" t="n"/>
      <x:c r="J1441" s="12" t="n"/>
      <x:c r="K1441" s="12" t="n"/>
      <x:c r="L1441" s="11" t="n"/>
      <x:c r="M1441" s="9" t="n"/>
      <x:c r="N1441" s="12" t="n"/>
      <x:c r="O1441" s="6">
        <x:f>IF(N1441="","",IFERROR(VLOOKUP(N1441,Master_Data!$A$5:$C$8,3,FALSE),0))</x:f>
      </x:c>
      <x:c r="P1441" s="7">
        <x:f>IF(M1441="","",M1441*O1441)</x:f>
      </x:c>
      <x:c r="Q1441" s="7">
        <x:f>IF(M1441="","",M1441+P1441)</x:f>
      </x:c>
      <x:c r="R1441" s="7">
        <x:f>IF(K1441&lt;&gt;"Paid",0,IF(C1441="Income",Q1441,-Q1441))</x:f>
      </x:c>
      <x:c r="S1441" s="14">
        <x:f>IF(A1441="","",DATE(YEAR(A1441),MONTH(A1441),1))</x:f>
      </x:c>
      <x:c r="T1441" s="14">
        <x:f>IF(L1441="","",DATE(YEAR(L1441),MONTH(L1441),1))</x:f>
      </x:c>
    </x:row>
    <x:row r="1442">
      <x:c r="A1442" s="11" t="n"/>
      <x:c r="B1442" s="5" t="n"/>
      <x:c r="C1442" s="12" t="n"/>
      <x:c r="D1442" s="12" t="n"/>
      <x:c r="E1442" s="12" t="n"/>
      <x:c r="F1442" s="12" t="n"/>
      <x:c r="G1442" s="13">
        <x:f>IF(F1442="","",IFERROR(VLOOKUP(F1442,Master_Data!$E$24:$G$33,2,FALSE),"9999"))</x:f>
      </x:c>
      <x:c r="H1442" s="12" t="n"/>
      <x:c r="I1442" s="12" t="n"/>
      <x:c r="J1442" s="12" t="n"/>
      <x:c r="K1442" s="12" t="n"/>
      <x:c r="L1442" s="11" t="n"/>
      <x:c r="M1442" s="9" t="n"/>
      <x:c r="N1442" s="12" t="n"/>
      <x:c r="O1442" s="6">
        <x:f>IF(N1442="","",IFERROR(VLOOKUP(N1442,Master_Data!$A$5:$C$8,3,FALSE),0))</x:f>
      </x:c>
      <x:c r="P1442" s="7">
        <x:f>IF(M1442="","",M1442*O1442)</x:f>
      </x:c>
      <x:c r="Q1442" s="7">
        <x:f>IF(M1442="","",M1442+P1442)</x:f>
      </x:c>
      <x:c r="R1442" s="7">
        <x:f>IF(K1442&lt;&gt;"Paid",0,IF(C1442="Income",Q1442,-Q1442))</x:f>
      </x:c>
      <x:c r="S1442" s="14">
        <x:f>IF(A1442="","",DATE(YEAR(A1442),MONTH(A1442),1))</x:f>
      </x:c>
      <x:c r="T1442" s="14">
        <x:f>IF(L1442="","",DATE(YEAR(L1442),MONTH(L1442),1))</x:f>
      </x:c>
    </x:row>
    <x:row r="1443">
      <x:c r="A1443" s="11" t="n"/>
      <x:c r="B1443" s="5" t="n"/>
      <x:c r="C1443" s="12" t="n"/>
      <x:c r="D1443" s="12" t="n"/>
      <x:c r="E1443" s="12" t="n"/>
      <x:c r="F1443" s="12" t="n"/>
      <x:c r="G1443" s="13">
        <x:f>IF(F1443="","",IFERROR(VLOOKUP(F1443,Master_Data!$E$24:$G$33,2,FALSE),"9999"))</x:f>
      </x:c>
      <x:c r="H1443" s="12" t="n"/>
      <x:c r="I1443" s="12" t="n"/>
      <x:c r="J1443" s="12" t="n"/>
      <x:c r="K1443" s="12" t="n"/>
      <x:c r="L1443" s="11" t="n"/>
      <x:c r="M1443" s="9" t="n"/>
      <x:c r="N1443" s="12" t="n"/>
      <x:c r="O1443" s="6">
        <x:f>IF(N1443="","",IFERROR(VLOOKUP(N1443,Master_Data!$A$5:$C$8,3,FALSE),0))</x:f>
      </x:c>
      <x:c r="P1443" s="7">
        <x:f>IF(M1443="","",M1443*O1443)</x:f>
      </x:c>
      <x:c r="Q1443" s="7">
        <x:f>IF(M1443="","",M1443+P1443)</x:f>
      </x:c>
      <x:c r="R1443" s="7">
        <x:f>IF(K1443&lt;&gt;"Paid",0,IF(C1443="Income",Q1443,-Q1443))</x:f>
      </x:c>
      <x:c r="S1443" s="14">
        <x:f>IF(A1443="","",DATE(YEAR(A1443),MONTH(A1443),1))</x:f>
      </x:c>
      <x:c r="T1443" s="14">
        <x:f>IF(L1443="","",DATE(YEAR(L1443),MONTH(L1443),1))</x:f>
      </x:c>
    </x:row>
    <x:row r="1444">
      <x:c r="A1444" s="11" t="n"/>
      <x:c r="B1444" s="5" t="n"/>
      <x:c r="C1444" s="12" t="n"/>
      <x:c r="D1444" s="12" t="n"/>
      <x:c r="E1444" s="12" t="n"/>
      <x:c r="F1444" s="12" t="n"/>
      <x:c r="G1444" s="13">
        <x:f>IF(F1444="","",IFERROR(VLOOKUP(F1444,Master_Data!$E$24:$G$33,2,FALSE),"9999"))</x:f>
      </x:c>
      <x:c r="H1444" s="12" t="n"/>
      <x:c r="I1444" s="12" t="n"/>
      <x:c r="J1444" s="12" t="n"/>
      <x:c r="K1444" s="12" t="n"/>
      <x:c r="L1444" s="11" t="n"/>
      <x:c r="M1444" s="9" t="n"/>
      <x:c r="N1444" s="12" t="n"/>
      <x:c r="O1444" s="6">
        <x:f>IF(N1444="","",IFERROR(VLOOKUP(N1444,Master_Data!$A$5:$C$8,3,FALSE),0))</x:f>
      </x:c>
      <x:c r="P1444" s="7">
        <x:f>IF(M1444="","",M1444*O1444)</x:f>
      </x:c>
      <x:c r="Q1444" s="7">
        <x:f>IF(M1444="","",M1444+P1444)</x:f>
      </x:c>
      <x:c r="R1444" s="7">
        <x:f>IF(K1444&lt;&gt;"Paid",0,IF(C1444="Income",Q1444,-Q1444))</x:f>
      </x:c>
      <x:c r="S1444" s="14">
        <x:f>IF(A1444="","",DATE(YEAR(A1444),MONTH(A1444),1))</x:f>
      </x:c>
      <x:c r="T1444" s="14">
        <x:f>IF(L1444="","",DATE(YEAR(L1444),MONTH(L1444),1))</x:f>
      </x:c>
    </x:row>
    <x:row r="1445">
      <x:c r="A1445" s="11" t="n"/>
      <x:c r="B1445" s="5" t="n"/>
      <x:c r="C1445" s="12" t="n"/>
      <x:c r="D1445" s="12" t="n"/>
      <x:c r="E1445" s="12" t="n"/>
      <x:c r="F1445" s="12" t="n"/>
      <x:c r="G1445" s="13">
        <x:f>IF(F1445="","",IFERROR(VLOOKUP(F1445,Master_Data!$E$24:$G$33,2,FALSE),"9999"))</x:f>
      </x:c>
      <x:c r="H1445" s="12" t="n"/>
      <x:c r="I1445" s="12" t="n"/>
      <x:c r="J1445" s="12" t="n"/>
      <x:c r="K1445" s="12" t="n"/>
      <x:c r="L1445" s="11" t="n"/>
      <x:c r="M1445" s="9" t="n"/>
      <x:c r="N1445" s="12" t="n"/>
      <x:c r="O1445" s="6">
        <x:f>IF(N1445="","",IFERROR(VLOOKUP(N1445,Master_Data!$A$5:$C$8,3,FALSE),0))</x:f>
      </x:c>
      <x:c r="P1445" s="7">
        <x:f>IF(M1445="","",M1445*O1445)</x:f>
      </x:c>
      <x:c r="Q1445" s="7">
        <x:f>IF(M1445="","",M1445+P1445)</x:f>
      </x:c>
      <x:c r="R1445" s="7">
        <x:f>IF(K1445&lt;&gt;"Paid",0,IF(C1445="Income",Q1445,-Q1445))</x:f>
      </x:c>
      <x:c r="S1445" s="14">
        <x:f>IF(A1445="","",DATE(YEAR(A1445),MONTH(A1445),1))</x:f>
      </x:c>
      <x:c r="T1445" s="14">
        <x:f>IF(L1445="","",DATE(YEAR(L1445),MONTH(L1445),1))</x:f>
      </x:c>
    </x:row>
    <x:row r="1446">
      <x:c r="A1446" s="11" t="n"/>
      <x:c r="B1446" s="5" t="n"/>
      <x:c r="C1446" s="12" t="n"/>
      <x:c r="D1446" s="12" t="n"/>
      <x:c r="E1446" s="12" t="n"/>
      <x:c r="F1446" s="12" t="n"/>
      <x:c r="G1446" s="13">
        <x:f>IF(F1446="","",IFERROR(VLOOKUP(F1446,Master_Data!$E$24:$G$33,2,FALSE),"9999"))</x:f>
      </x:c>
      <x:c r="H1446" s="12" t="n"/>
      <x:c r="I1446" s="12" t="n"/>
      <x:c r="J1446" s="12" t="n"/>
      <x:c r="K1446" s="12" t="n"/>
      <x:c r="L1446" s="11" t="n"/>
      <x:c r="M1446" s="9" t="n"/>
      <x:c r="N1446" s="12" t="n"/>
      <x:c r="O1446" s="6">
        <x:f>IF(N1446="","",IFERROR(VLOOKUP(N1446,Master_Data!$A$5:$C$8,3,FALSE),0))</x:f>
      </x:c>
      <x:c r="P1446" s="7">
        <x:f>IF(M1446="","",M1446*O1446)</x:f>
      </x:c>
      <x:c r="Q1446" s="7">
        <x:f>IF(M1446="","",M1446+P1446)</x:f>
      </x:c>
      <x:c r="R1446" s="7">
        <x:f>IF(K1446&lt;&gt;"Paid",0,IF(C1446="Income",Q1446,-Q1446))</x:f>
      </x:c>
      <x:c r="S1446" s="14">
        <x:f>IF(A1446="","",DATE(YEAR(A1446),MONTH(A1446),1))</x:f>
      </x:c>
      <x:c r="T1446" s="14">
        <x:f>IF(L1446="","",DATE(YEAR(L1446),MONTH(L1446),1))</x:f>
      </x:c>
    </x:row>
    <x:row r="1447">
      <x:c r="A1447" s="11" t="n"/>
      <x:c r="B1447" s="5" t="n"/>
      <x:c r="C1447" s="12" t="n"/>
      <x:c r="D1447" s="12" t="n"/>
      <x:c r="E1447" s="12" t="n"/>
      <x:c r="F1447" s="12" t="n"/>
      <x:c r="G1447" s="13">
        <x:f>IF(F1447="","",IFERROR(VLOOKUP(F1447,Master_Data!$E$24:$G$33,2,FALSE),"9999"))</x:f>
      </x:c>
      <x:c r="H1447" s="12" t="n"/>
      <x:c r="I1447" s="12" t="n"/>
      <x:c r="J1447" s="12" t="n"/>
      <x:c r="K1447" s="12" t="n"/>
      <x:c r="L1447" s="11" t="n"/>
      <x:c r="M1447" s="9" t="n"/>
      <x:c r="N1447" s="12" t="n"/>
      <x:c r="O1447" s="6">
        <x:f>IF(N1447="","",IFERROR(VLOOKUP(N1447,Master_Data!$A$5:$C$8,3,FALSE),0))</x:f>
      </x:c>
      <x:c r="P1447" s="7">
        <x:f>IF(M1447="","",M1447*O1447)</x:f>
      </x:c>
      <x:c r="Q1447" s="7">
        <x:f>IF(M1447="","",M1447+P1447)</x:f>
      </x:c>
      <x:c r="R1447" s="7">
        <x:f>IF(K1447&lt;&gt;"Paid",0,IF(C1447="Income",Q1447,-Q1447))</x:f>
      </x:c>
      <x:c r="S1447" s="14">
        <x:f>IF(A1447="","",DATE(YEAR(A1447),MONTH(A1447),1))</x:f>
      </x:c>
      <x:c r="T1447" s="14">
        <x:f>IF(L1447="","",DATE(YEAR(L1447),MONTH(L1447),1))</x:f>
      </x:c>
    </x:row>
    <x:row r="1448">
      <x:c r="A1448" s="11" t="n"/>
      <x:c r="B1448" s="5" t="n"/>
      <x:c r="C1448" s="12" t="n"/>
      <x:c r="D1448" s="12" t="n"/>
      <x:c r="E1448" s="12" t="n"/>
      <x:c r="F1448" s="12" t="n"/>
      <x:c r="G1448" s="13">
        <x:f>IF(F1448="","",IFERROR(VLOOKUP(F1448,Master_Data!$E$24:$G$33,2,FALSE),"9999"))</x:f>
      </x:c>
      <x:c r="H1448" s="12" t="n"/>
      <x:c r="I1448" s="12" t="n"/>
      <x:c r="J1448" s="12" t="n"/>
      <x:c r="K1448" s="12" t="n"/>
      <x:c r="L1448" s="11" t="n"/>
      <x:c r="M1448" s="9" t="n"/>
      <x:c r="N1448" s="12" t="n"/>
      <x:c r="O1448" s="6">
        <x:f>IF(N1448="","",IFERROR(VLOOKUP(N1448,Master_Data!$A$5:$C$8,3,FALSE),0))</x:f>
      </x:c>
      <x:c r="P1448" s="7">
        <x:f>IF(M1448="","",M1448*O1448)</x:f>
      </x:c>
      <x:c r="Q1448" s="7">
        <x:f>IF(M1448="","",M1448+P1448)</x:f>
      </x:c>
      <x:c r="R1448" s="7">
        <x:f>IF(K1448&lt;&gt;"Paid",0,IF(C1448="Income",Q1448,-Q1448))</x:f>
      </x:c>
      <x:c r="S1448" s="14">
        <x:f>IF(A1448="","",DATE(YEAR(A1448),MONTH(A1448),1))</x:f>
      </x:c>
      <x:c r="T1448" s="14">
        <x:f>IF(L1448="","",DATE(YEAR(L1448),MONTH(L1448),1))</x:f>
      </x:c>
    </x:row>
    <x:row r="1449">
      <x:c r="A1449" s="11" t="n"/>
      <x:c r="B1449" s="5" t="n"/>
      <x:c r="C1449" s="12" t="n"/>
      <x:c r="D1449" s="12" t="n"/>
      <x:c r="E1449" s="12" t="n"/>
      <x:c r="F1449" s="12" t="n"/>
      <x:c r="G1449" s="13">
        <x:f>IF(F1449="","",IFERROR(VLOOKUP(F1449,Master_Data!$E$24:$G$33,2,FALSE),"9999"))</x:f>
      </x:c>
      <x:c r="H1449" s="12" t="n"/>
      <x:c r="I1449" s="12" t="n"/>
      <x:c r="J1449" s="12" t="n"/>
      <x:c r="K1449" s="12" t="n"/>
      <x:c r="L1449" s="11" t="n"/>
      <x:c r="M1449" s="9" t="n"/>
      <x:c r="N1449" s="12" t="n"/>
      <x:c r="O1449" s="6">
        <x:f>IF(N1449="","",IFERROR(VLOOKUP(N1449,Master_Data!$A$5:$C$8,3,FALSE),0))</x:f>
      </x:c>
      <x:c r="P1449" s="7">
        <x:f>IF(M1449="","",M1449*O1449)</x:f>
      </x:c>
      <x:c r="Q1449" s="7">
        <x:f>IF(M1449="","",M1449+P1449)</x:f>
      </x:c>
      <x:c r="R1449" s="7">
        <x:f>IF(K1449&lt;&gt;"Paid",0,IF(C1449="Income",Q1449,-Q1449))</x:f>
      </x:c>
      <x:c r="S1449" s="14">
        <x:f>IF(A1449="","",DATE(YEAR(A1449),MONTH(A1449),1))</x:f>
      </x:c>
      <x:c r="T1449" s="14">
        <x:f>IF(L1449="","",DATE(YEAR(L1449),MONTH(L1449),1))</x:f>
      </x:c>
    </x:row>
    <x:row r="1450">
      <x:c r="A1450" s="11" t="n"/>
      <x:c r="B1450" s="5" t="n"/>
      <x:c r="C1450" s="12" t="n"/>
      <x:c r="D1450" s="12" t="n"/>
      <x:c r="E1450" s="12" t="n"/>
      <x:c r="F1450" s="12" t="n"/>
      <x:c r="G1450" s="13">
        <x:f>IF(F1450="","",IFERROR(VLOOKUP(F1450,Master_Data!$E$24:$G$33,2,FALSE),"9999"))</x:f>
      </x:c>
      <x:c r="H1450" s="12" t="n"/>
      <x:c r="I1450" s="12" t="n"/>
      <x:c r="J1450" s="12" t="n"/>
      <x:c r="K1450" s="12" t="n"/>
      <x:c r="L1450" s="11" t="n"/>
      <x:c r="M1450" s="9" t="n"/>
      <x:c r="N1450" s="12" t="n"/>
      <x:c r="O1450" s="6">
        <x:f>IF(N1450="","",IFERROR(VLOOKUP(N1450,Master_Data!$A$5:$C$8,3,FALSE),0))</x:f>
      </x:c>
      <x:c r="P1450" s="7">
        <x:f>IF(M1450="","",M1450*O1450)</x:f>
      </x:c>
      <x:c r="Q1450" s="7">
        <x:f>IF(M1450="","",M1450+P1450)</x:f>
      </x:c>
      <x:c r="R1450" s="7">
        <x:f>IF(K1450&lt;&gt;"Paid",0,IF(C1450="Income",Q1450,-Q1450))</x:f>
      </x:c>
      <x:c r="S1450" s="14">
        <x:f>IF(A1450="","",DATE(YEAR(A1450),MONTH(A1450),1))</x:f>
      </x:c>
      <x:c r="T1450" s="14">
        <x:f>IF(L1450="","",DATE(YEAR(L1450),MONTH(L1450),1))</x:f>
      </x:c>
    </x:row>
    <x:row r="1451">
      <x:c r="A1451" s="11" t="n"/>
      <x:c r="B1451" s="5" t="n"/>
      <x:c r="C1451" s="12" t="n"/>
      <x:c r="D1451" s="12" t="n"/>
      <x:c r="E1451" s="12" t="n"/>
      <x:c r="F1451" s="12" t="n"/>
      <x:c r="G1451" s="13">
        <x:f>IF(F1451="","",IFERROR(VLOOKUP(F1451,Master_Data!$E$24:$G$33,2,FALSE),"9999"))</x:f>
      </x:c>
      <x:c r="H1451" s="12" t="n"/>
      <x:c r="I1451" s="12" t="n"/>
      <x:c r="J1451" s="12" t="n"/>
      <x:c r="K1451" s="12" t="n"/>
      <x:c r="L1451" s="11" t="n"/>
      <x:c r="M1451" s="9" t="n"/>
      <x:c r="N1451" s="12" t="n"/>
      <x:c r="O1451" s="6">
        <x:f>IF(N1451="","",IFERROR(VLOOKUP(N1451,Master_Data!$A$5:$C$8,3,FALSE),0))</x:f>
      </x:c>
      <x:c r="P1451" s="7">
        <x:f>IF(M1451="","",M1451*O1451)</x:f>
      </x:c>
      <x:c r="Q1451" s="7">
        <x:f>IF(M1451="","",M1451+P1451)</x:f>
      </x:c>
      <x:c r="R1451" s="7">
        <x:f>IF(K1451&lt;&gt;"Paid",0,IF(C1451="Income",Q1451,-Q1451))</x:f>
      </x:c>
      <x:c r="S1451" s="14">
        <x:f>IF(A1451="","",DATE(YEAR(A1451),MONTH(A1451),1))</x:f>
      </x:c>
      <x:c r="T1451" s="14">
        <x:f>IF(L1451="","",DATE(YEAR(L1451),MONTH(L1451),1))</x:f>
      </x:c>
    </x:row>
    <x:row r="1452">
      <x:c r="A1452" s="11" t="n"/>
      <x:c r="B1452" s="5" t="n"/>
      <x:c r="C1452" s="12" t="n"/>
      <x:c r="D1452" s="12" t="n"/>
      <x:c r="E1452" s="12" t="n"/>
      <x:c r="F1452" s="12" t="n"/>
      <x:c r="G1452" s="13">
        <x:f>IF(F1452="","",IFERROR(VLOOKUP(F1452,Master_Data!$E$24:$G$33,2,FALSE),"9999"))</x:f>
      </x:c>
      <x:c r="H1452" s="12" t="n"/>
      <x:c r="I1452" s="12" t="n"/>
      <x:c r="J1452" s="12" t="n"/>
      <x:c r="K1452" s="12" t="n"/>
      <x:c r="L1452" s="11" t="n"/>
      <x:c r="M1452" s="9" t="n"/>
      <x:c r="N1452" s="12" t="n"/>
      <x:c r="O1452" s="6">
        <x:f>IF(N1452="","",IFERROR(VLOOKUP(N1452,Master_Data!$A$5:$C$8,3,FALSE),0))</x:f>
      </x:c>
      <x:c r="P1452" s="7">
        <x:f>IF(M1452="","",M1452*O1452)</x:f>
      </x:c>
      <x:c r="Q1452" s="7">
        <x:f>IF(M1452="","",M1452+P1452)</x:f>
      </x:c>
      <x:c r="R1452" s="7">
        <x:f>IF(K1452&lt;&gt;"Paid",0,IF(C1452="Income",Q1452,-Q1452))</x:f>
      </x:c>
      <x:c r="S1452" s="14">
        <x:f>IF(A1452="","",DATE(YEAR(A1452),MONTH(A1452),1))</x:f>
      </x:c>
      <x:c r="T1452" s="14">
        <x:f>IF(L1452="","",DATE(YEAR(L1452),MONTH(L1452),1))</x:f>
      </x:c>
    </x:row>
    <x:row r="1453">
      <x:c r="A1453" s="11" t="n"/>
      <x:c r="B1453" s="5" t="n"/>
      <x:c r="C1453" s="12" t="n"/>
      <x:c r="D1453" s="12" t="n"/>
      <x:c r="E1453" s="12" t="n"/>
      <x:c r="F1453" s="12" t="n"/>
      <x:c r="G1453" s="13">
        <x:f>IF(F1453="","",IFERROR(VLOOKUP(F1453,Master_Data!$E$24:$G$33,2,FALSE),"9999"))</x:f>
      </x:c>
      <x:c r="H1453" s="12" t="n"/>
      <x:c r="I1453" s="12" t="n"/>
      <x:c r="J1453" s="12" t="n"/>
      <x:c r="K1453" s="12" t="n"/>
      <x:c r="L1453" s="11" t="n"/>
      <x:c r="M1453" s="9" t="n"/>
      <x:c r="N1453" s="12" t="n"/>
      <x:c r="O1453" s="6">
        <x:f>IF(N1453="","",IFERROR(VLOOKUP(N1453,Master_Data!$A$5:$C$8,3,FALSE),0))</x:f>
      </x:c>
      <x:c r="P1453" s="7">
        <x:f>IF(M1453="","",M1453*O1453)</x:f>
      </x:c>
      <x:c r="Q1453" s="7">
        <x:f>IF(M1453="","",M1453+P1453)</x:f>
      </x:c>
      <x:c r="R1453" s="7">
        <x:f>IF(K1453&lt;&gt;"Paid",0,IF(C1453="Income",Q1453,-Q1453))</x:f>
      </x:c>
      <x:c r="S1453" s="14">
        <x:f>IF(A1453="","",DATE(YEAR(A1453),MONTH(A1453),1))</x:f>
      </x:c>
      <x:c r="T1453" s="14">
        <x:f>IF(L1453="","",DATE(YEAR(L1453),MONTH(L1453),1))</x:f>
      </x:c>
    </x:row>
    <x:row r="1454">
      <x:c r="A1454" s="11" t="n"/>
      <x:c r="B1454" s="5" t="n"/>
      <x:c r="C1454" s="12" t="n"/>
      <x:c r="D1454" s="12" t="n"/>
      <x:c r="E1454" s="12" t="n"/>
      <x:c r="F1454" s="12" t="n"/>
      <x:c r="G1454" s="13">
        <x:f>IF(F1454="","",IFERROR(VLOOKUP(F1454,Master_Data!$E$24:$G$33,2,FALSE),"9999"))</x:f>
      </x:c>
      <x:c r="H1454" s="12" t="n"/>
      <x:c r="I1454" s="12" t="n"/>
      <x:c r="J1454" s="12" t="n"/>
      <x:c r="K1454" s="12" t="n"/>
      <x:c r="L1454" s="11" t="n"/>
      <x:c r="M1454" s="9" t="n"/>
      <x:c r="N1454" s="12" t="n"/>
      <x:c r="O1454" s="6">
        <x:f>IF(N1454="","",IFERROR(VLOOKUP(N1454,Master_Data!$A$5:$C$8,3,FALSE),0))</x:f>
      </x:c>
      <x:c r="P1454" s="7">
        <x:f>IF(M1454="","",M1454*O1454)</x:f>
      </x:c>
      <x:c r="Q1454" s="7">
        <x:f>IF(M1454="","",M1454+P1454)</x:f>
      </x:c>
      <x:c r="R1454" s="7">
        <x:f>IF(K1454&lt;&gt;"Paid",0,IF(C1454="Income",Q1454,-Q1454))</x:f>
      </x:c>
      <x:c r="S1454" s="14">
        <x:f>IF(A1454="","",DATE(YEAR(A1454),MONTH(A1454),1))</x:f>
      </x:c>
      <x:c r="T1454" s="14">
        <x:f>IF(L1454="","",DATE(YEAR(L1454),MONTH(L1454),1))</x:f>
      </x:c>
    </x:row>
    <x:row r="1455">
      <x:c r="A1455" s="11" t="n"/>
      <x:c r="B1455" s="5" t="n"/>
      <x:c r="C1455" s="12" t="n"/>
      <x:c r="D1455" s="12" t="n"/>
      <x:c r="E1455" s="12" t="n"/>
      <x:c r="F1455" s="12" t="n"/>
      <x:c r="G1455" s="13">
        <x:f>IF(F1455="","",IFERROR(VLOOKUP(F1455,Master_Data!$E$24:$G$33,2,FALSE),"9999"))</x:f>
      </x:c>
      <x:c r="H1455" s="12" t="n"/>
      <x:c r="I1455" s="12" t="n"/>
      <x:c r="J1455" s="12" t="n"/>
      <x:c r="K1455" s="12" t="n"/>
      <x:c r="L1455" s="11" t="n"/>
      <x:c r="M1455" s="9" t="n"/>
      <x:c r="N1455" s="12" t="n"/>
      <x:c r="O1455" s="6">
        <x:f>IF(N1455="","",IFERROR(VLOOKUP(N1455,Master_Data!$A$5:$C$8,3,FALSE),0))</x:f>
      </x:c>
      <x:c r="P1455" s="7">
        <x:f>IF(M1455="","",M1455*O1455)</x:f>
      </x:c>
      <x:c r="Q1455" s="7">
        <x:f>IF(M1455="","",M1455+P1455)</x:f>
      </x:c>
      <x:c r="R1455" s="7">
        <x:f>IF(K1455&lt;&gt;"Paid",0,IF(C1455="Income",Q1455,-Q1455))</x:f>
      </x:c>
      <x:c r="S1455" s="14">
        <x:f>IF(A1455="","",DATE(YEAR(A1455),MONTH(A1455),1))</x:f>
      </x:c>
      <x:c r="T1455" s="14">
        <x:f>IF(L1455="","",DATE(YEAR(L1455),MONTH(L1455),1))</x:f>
      </x:c>
    </x:row>
    <x:row r="1456">
      <x:c r="A1456" s="11" t="n"/>
      <x:c r="B1456" s="5" t="n"/>
      <x:c r="C1456" s="12" t="n"/>
      <x:c r="D1456" s="12" t="n"/>
      <x:c r="E1456" s="12" t="n"/>
      <x:c r="F1456" s="12" t="n"/>
      <x:c r="G1456" s="13">
        <x:f>IF(F1456="","",IFERROR(VLOOKUP(F1456,Master_Data!$E$24:$G$33,2,FALSE),"9999"))</x:f>
      </x:c>
      <x:c r="H1456" s="12" t="n"/>
      <x:c r="I1456" s="12" t="n"/>
      <x:c r="J1456" s="12" t="n"/>
      <x:c r="K1456" s="12" t="n"/>
      <x:c r="L1456" s="11" t="n"/>
      <x:c r="M1456" s="9" t="n"/>
      <x:c r="N1456" s="12" t="n"/>
      <x:c r="O1456" s="6">
        <x:f>IF(N1456="","",IFERROR(VLOOKUP(N1456,Master_Data!$A$5:$C$8,3,FALSE),0))</x:f>
      </x:c>
      <x:c r="P1456" s="7">
        <x:f>IF(M1456="","",M1456*O1456)</x:f>
      </x:c>
      <x:c r="Q1456" s="7">
        <x:f>IF(M1456="","",M1456+P1456)</x:f>
      </x:c>
      <x:c r="R1456" s="7">
        <x:f>IF(K1456&lt;&gt;"Paid",0,IF(C1456="Income",Q1456,-Q1456))</x:f>
      </x:c>
      <x:c r="S1456" s="14">
        <x:f>IF(A1456="","",DATE(YEAR(A1456),MONTH(A1456),1))</x:f>
      </x:c>
      <x:c r="T1456" s="14">
        <x:f>IF(L1456="","",DATE(YEAR(L1456),MONTH(L1456),1))</x:f>
      </x:c>
    </x:row>
    <x:row r="1457">
      <x:c r="A1457" s="11" t="n"/>
      <x:c r="B1457" s="5" t="n"/>
      <x:c r="C1457" s="12" t="n"/>
      <x:c r="D1457" s="12" t="n"/>
      <x:c r="E1457" s="12" t="n"/>
      <x:c r="F1457" s="12" t="n"/>
      <x:c r="G1457" s="13">
        <x:f>IF(F1457="","",IFERROR(VLOOKUP(F1457,Master_Data!$E$24:$G$33,2,FALSE),"9999"))</x:f>
      </x:c>
      <x:c r="H1457" s="12" t="n"/>
      <x:c r="I1457" s="12" t="n"/>
      <x:c r="J1457" s="12" t="n"/>
      <x:c r="K1457" s="12" t="n"/>
      <x:c r="L1457" s="11" t="n"/>
      <x:c r="M1457" s="9" t="n"/>
      <x:c r="N1457" s="12" t="n"/>
      <x:c r="O1457" s="6">
        <x:f>IF(N1457="","",IFERROR(VLOOKUP(N1457,Master_Data!$A$5:$C$8,3,FALSE),0))</x:f>
      </x:c>
      <x:c r="P1457" s="7">
        <x:f>IF(M1457="","",M1457*O1457)</x:f>
      </x:c>
      <x:c r="Q1457" s="7">
        <x:f>IF(M1457="","",M1457+P1457)</x:f>
      </x:c>
      <x:c r="R1457" s="7">
        <x:f>IF(K1457&lt;&gt;"Paid",0,IF(C1457="Income",Q1457,-Q1457))</x:f>
      </x:c>
      <x:c r="S1457" s="14">
        <x:f>IF(A1457="","",DATE(YEAR(A1457),MONTH(A1457),1))</x:f>
      </x:c>
      <x:c r="T1457" s="14">
        <x:f>IF(L1457="","",DATE(YEAR(L1457),MONTH(L1457),1))</x:f>
      </x:c>
    </x:row>
    <x:row r="1458">
      <x:c r="A1458" s="11" t="n"/>
      <x:c r="B1458" s="5" t="n"/>
      <x:c r="C1458" s="12" t="n"/>
      <x:c r="D1458" s="12" t="n"/>
      <x:c r="E1458" s="12" t="n"/>
      <x:c r="F1458" s="12" t="n"/>
      <x:c r="G1458" s="13">
        <x:f>IF(F1458="","",IFERROR(VLOOKUP(F1458,Master_Data!$E$24:$G$33,2,FALSE),"9999"))</x:f>
      </x:c>
      <x:c r="H1458" s="12" t="n"/>
      <x:c r="I1458" s="12" t="n"/>
      <x:c r="J1458" s="12" t="n"/>
      <x:c r="K1458" s="12" t="n"/>
      <x:c r="L1458" s="11" t="n"/>
      <x:c r="M1458" s="9" t="n"/>
      <x:c r="N1458" s="12" t="n"/>
      <x:c r="O1458" s="6">
        <x:f>IF(N1458="","",IFERROR(VLOOKUP(N1458,Master_Data!$A$5:$C$8,3,FALSE),0))</x:f>
      </x:c>
      <x:c r="P1458" s="7">
        <x:f>IF(M1458="","",M1458*O1458)</x:f>
      </x:c>
      <x:c r="Q1458" s="7">
        <x:f>IF(M1458="","",M1458+P1458)</x:f>
      </x:c>
      <x:c r="R1458" s="7">
        <x:f>IF(K1458&lt;&gt;"Paid",0,IF(C1458="Income",Q1458,-Q1458))</x:f>
      </x:c>
      <x:c r="S1458" s="14">
        <x:f>IF(A1458="","",DATE(YEAR(A1458),MONTH(A1458),1))</x:f>
      </x:c>
      <x:c r="T1458" s="14">
        <x:f>IF(L1458="","",DATE(YEAR(L1458),MONTH(L1458),1))</x:f>
      </x:c>
    </x:row>
    <x:row r="1459">
      <x:c r="A1459" s="11" t="n"/>
      <x:c r="B1459" s="5" t="n"/>
      <x:c r="C1459" s="12" t="n"/>
      <x:c r="D1459" s="12" t="n"/>
      <x:c r="E1459" s="12" t="n"/>
      <x:c r="F1459" s="12" t="n"/>
      <x:c r="G1459" s="13">
        <x:f>IF(F1459="","",IFERROR(VLOOKUP(F1459,Master_Data!$E$24:$G$33,2,FALSE),"9999"))</x:f>
      </x:c>
      <x:c r="H1459" s="12" t="n"/>
      <x:c r="I1459" s="12" t="n"/>
      <x:c r="J1459" s="12" t="n"/>
      <x:c r="K1459" s="12" t="n"/>
      <x:c r="L1459" s="11" t="n"/>
      <x:c r="M1459" s="9" t="n"/>
      <x:c r="N1459" s="12" t="n"/>
      <x:c r="O1459" s="6">
        <x:f>IF(N1459="","",IFERROR(VLOOKUP(N1459,Master_Data!$A$5:$C$8,3,FALSE),0))</x:f>
      </x:c>
      <x:c r="P1459" s="7">
        <x:f>IF(M1459="","",M1459*O1459)</x:f>
      </x:c>
      <x:c r="Q1459" s="7">
        <x:f>IF(M1459="","",M1459+P1459)</x:f>
      </x:c>
      <x:c r="R1459" s="7">
        <x:f>IF(K1459&lt;&gt;"Paid",0,IF(C1459="Income",Q1459,-Q1459))</x:f>
      </x:c>
      <x:c r="S1459" s="14">
        <x:f>IF(A1459="","",DATE(YEAR(A1459),MONTH(A1459),1))</x:f>
      </x:c>
      <x:c r="T1459" s="14">
        <x:f>IF(L1459="","",DATE(YEAR(L1459),MONTH(L1459),1))</x:f>
      </x:c>
    </x:row>
    <x:row r="1460">
      <x:c r="A1460" s="11" t="n"/>
      <x:c r="B1460" s="5" t="n"/>
      <x:c r="C1460" s="12" t="n"/>
      <x:c r="D1460" s="12" t="n"/>
      <x:c r="E1460" s="12" t="n"/>
      <x:c r="F1460" s="12" t="n"/>
      <x:c r="G1460" s="13">
        <x:f>IF(F1460="","",IFERROR(VLOOKUP(F1460,Master_Data!$E$24:$G$33,2,FALSE),"9999"))</x:f>
      </x:c>
      <x:c r="H1460" s="12" t="n"/>
      <x:c r="I1460" s="12" t="n"/>
      <x:c r="J1460" s="12" t="n"/>
      <x:c r="K1460" s="12" t="n"/>
      <x:c r="L1460" s="11" t="n"/>
      <x:c r="M1460" s="9" t="n"/>
      <x:c r="N1460" s="12" t="n"/>
      <x:c r="O1460" s="6">
        <x:f>IF(N1460="","",IFERROR(VLOOKUP(N1460,Master_Data!$A$5:$C$8,3,FALSE),0))</x:f>
      </x:c>
      <x:c r="P1460" s="7">
        <x:f>IF(M1460="","",M1460*O1460)</x:f>
      </x:c>
      <x:c r="Q1460" s="7">
        <x:f>IF(M1460="","",M1460+P1460)</x:f>
      </x:c>
      <x:c r="R1460" s="7">
        <x:f>IF(K1460&lt;&gt;"Paid",0,IF(C1460="Income",Q1460,-Q1460))</x:f>
      </x:c>
      <x:c r="S1460" s="14">
        <x:f>IF(A1460="","",DATE(YEAR(A1460),MONTH(A1460),1))</x:f>
      </x:c>
      <x:c r="T1460" s="14">
        <x:f>IF(L1460="","",DATE(YEAR(L1460),MONTH(L1460),1))</x:f>
      </x:c>
    </x:row>
    <x:row r="1461">
      <x:c r="A1461" s="11" t="n"/>
      <x:c r="B1461" s="5" t="n"/>
      <x:c r="C1461" s="12" t="n"/>
      <x:c r="D1461" s="12" t="n"/>
      <x:c r="E1461" s="12" t="n"/>
      <x:c r="F1461" s="12" t="n"/>
      <x:c r="G1461" s="13">
        <x:f>IF(F1461="","",IFERROR(VLOOKUP(F1461,Master_Data!$E$24:$G$33,2,FALSE),"9999"))</x:f>
      </x:c>
      <x:c r="H1461" s="12" t="n"/>
      <x:c r="I1461" s="12" t="n"/>
      <x:c r="J1461" s="12" t="n"/>
      <x:c r="K1461" s="12" t="n"/>
      <x:c r="L1461" s="11" t="n"/>
      <x:c r="M1461" s="9" t="n"/>
      <x:c r="N1461" s="12" t="n"/>
      <x:c r="O1461" s="6">
        <x:f>IF(N1461="","",IFERROR(VLOOKUP(N1461,Master_Data!$A$5:$C$8,3,FALSE),0))</x:f>
      </x:c>
      <x:c r="P1461" s="7">
        <x:f>IF(M1461="","",M1461*O1461)</x:f>
      </x:c>
      <x:c r="Q1461" s="7">
        <x:f>IF(M1461="","",M1461+P1461)</x:f>
      </x:c>
      <x:c r="R1461" s="7">
        <x:f>IF(K1461&lt;&gt;"Paid",0,IF(C1461="Income",Q1461,-Q1461))</x:f>
      </x:c>
      <x:c r="S1461" s="14">
        <x:f>IF(A1461="","",DATE(YEAR(A1461),MONTH(A1461),1))</x:f>
      </x:c>
      <x:c r="T1461" s="14">
        <x:f>IF(L1461="","",DATE(YEAR(L1461),MONTH(L1461),1))</x:f>
      </x:c>
    </x:row>
    <x:row r="1462">
      <x:c r="A1462" s="11" t="n"/>
      <x:c r="B1462" s="5" t="n"/>
      <x:c r="C1462" s="12" t="n"/>
      <x:c r="D1462" s="12" t="n"/>
      <x:c r="E1462" s="12" t="n"/>
      <x:c r="F1462" s="12" t="n"/>
      <x:c r="G1462" s="13">
        <x:f>IF(F1462="","",IFERROR(VLOOKUP(F1462,Master_Data!$E$24:$G$33,2,FALSE),"9999"))</x:f>
      </x:c>
      <x:c r="H1462" s="12" t="n"/>
      <x:c r="I1462" s="12" t="n"/>
      <x:c r="J1462" s="12" t="n"/>
      <x:c r="K1462" s="12" t="n"/>
      <x:c r="L1462" s="11" t="n"/>
      <x:c r="M1462" s="9" t="n"/>
      <x:c r="N1462" s="12" t="n"/>
      <x:c r="O1462" s="6">
        <x:f>IF(N1462="","",IFERROR(VLOOKUP(N1462,Master_Data!$A$5:$C$8,3,FALSE),0))</x:f>
      </x:c>
      <x:c r="P1462" s="7">
        <x:f>IF(M1462="","",M1462*O1462)</x:f>
      </x:c>
      <x:c r="Q1462" s="7">
        <x:f>IF(M1462="","",M1462+P1462)</x:f>
      </x:c>
      <x:c r="R1462" s="7">
        <x:f>IF(K1462&lt;&gt;"Paid",0,IF(C1462="Income",Q1462,-Q1462))</x:f>
      </x:c>
      <x:c r="S1462" s="14">
        <x:f>IF(A1462="","",DATE(YEAR(A1462),MONTH(A1462),1))</x:f>
      </x:c>
      <x:c r="T1462" s="14">
        <x:f>IF(L1462="","",DATE(YEAR(L1462),MONTH(L1462),1))</x:f>
      </x:c>
    </x:row>
    <x:row r="1463">
      <x:c r="A1463" s="11" t="n"/>
      <x:c r="B1463" s="5" t="n"/>
      <x:c r="C1463" s="12" t="n"/>
      <x:c r="D1463" s="12" t="n"/>
      <x:c r="E1463" s="12" t="n"/>
      <x:c r="F1463" s="12" t="n"/>
      <x:c r="G1463" s="13">
        <x:f>IF(F1463="","",IFERROR(VLOOKUP(F1463,Master_Data!$E$24:$G$33,2,FALSE),"9999"))</x:f>
      </x:c>
      <x:c r="H1463" s="12" t="n"/>
      <x:c r="I1463" s="12" t="n"/>
      <x:c r="J1463" s="12" t="n"/>
      <x:c r="K1463" s="12" t="n"/>
      <x:c r="L1463" s="11" t="n"/>
      <x:c r="M1463" s="9" t="n"/>
      <x:c r="N1463" s="12" t="n"/>
      <x:c r="O1463" s="6">
        <x:f>IF(N1463="","",IFERROR(VLOOKUP(N1463,Master_Data!$A$5:$C$8,3,FALSE),0))</x:f>
      </x:c>
      <x:c r="P1463" s="7">
        <x:f>IF(M1463="","",M1463*O1463)</x:f>
      </x:c>
      <x:c r="Q1463" s="7">
        <x:f>IF(M1463="","",M1463+P1463)</x:f>
      </x:c>
      <x:c r="R1463" s="7">
        <x:f>IF(K1463&lt;&gt;"Paid",0,IF(C1463="Income",Q1463,-Q1463))</x:f>
      </x:c>
      <x:c r="S1463" s="14">
        <x:f>IF(A1463="","",DATE(YEAR(A1463),MONTH(A1463),1))</x:f>
      </x:c>
      <x:c r="T1463" s="14">
        <x:f>IF(L1463="","",DATE(YEAR(L1463),MONTH(L1463),1))</x:f>
      </x:c>
    </x:row>
    <x:row r="1464">
      <x:c r="A1464" s="11" t="n"/>
      <x:c r="B1464" s="5" t="n"/>
      <x:c r="C1464" s="12" t="n"/>
      <x:c r="D1464" s="12" t="n"/>
      <x:c r="E1464" s="12" t="n"/>
      <x:c r="F1464" s="12" t="n"/>
      <x:c r="G1464" s="13">
        <x:f>IF(F1464="","",IFERROR(VLOOKUP(F1464,Master_Data!$E$24:$G$33,2,FALSE),"9999"))</x:f>
      </x:c>
      <x:c r="H1464" s="12" t="n"/>
      <x:c r="I1464" s="12" t="n"/>
      <x:c r="J1464" s="12" t="n"/>
      <x:c r="K1464" s="12" t="n"/>
      <x:c r="L1464" s="11" t="n"/>
      <x:c r="M1464" s="9" t="n"/>
      <x:c r="N1464" s="12" t="n"/>
      <x:c r="O1464" s="6">
        <x:f>IF(N1464="","",IFERROR(VLOOKUP(N1464,Master_Data!$A$5:$C$8,3,FALSE),0))</x:f>
      </x:c>
      <x:c r="P1464" s="7">
        <x:f>IF(M1464="","",M1464*O1464)</x:f>
      </x:c>
      <x:c r="Q1464" s="7">
        <x:f>IF(M1464="","",M1464+P1464)</x:f>
      </x:c>
      <x:c r="R1464" s="7">
        <x:f>IF(K1464&lt;&gt;"Paid",0,IF(C1464="Income",Q1464,-Q1464))</x:f>
      </x:c>
      <x:c r="S1464" s="14">
        <x:f>IF(A1464="","",DATE(YEAR(A1464),MONTH(A1464),1))</x:f>
      </x:c>
      <x:c r="T1464" s="14">
        <x:f>IF(L1464="","",DATE(YEAR(L1464),MONTH(L1464),1))</x:f>
      </x:c>
    </x:row>
    <x:row r="1465">
      <x:c r="A1465" s="11" t="n"/>
      <x:c r="B1465" s="5" t="n"/>
      <x:c r="C1465" s="12" t="n"/>
      <x:c r="D1465" s="12" t="n"/>
      <x:c r="E1465" s="12" t="n"/>
      <x:c r="F1465" s="12" t="n"/>
      <x:c r="G1465" s="13">
        <x:f>IF(F1465="","",IFERROR(VLOOKUP(F1465,Master_Data!$E$24:$G$33,2,FALSE),"9999"))</x:f>
      </x:c>
      <x:c r="H1465" s="12" t="n"/>
      <x:c r="I1465" s="12" t="n"/>
      <x:c r="J1465" s="12" t="n"/>
      <x:c r="K1465" s="12" t="n"/>
      <x:c r="L1465" s="11" t="n"/>
      <x:c r="M1465" s="9" t="n"/>
      <x:c r="N1465" s="12" t="n"/>
      <x:c r="O1465" s="6">
        <x:f>IF(N1465="","",IFERROR(VLOOKUP(N1465,Master_Data!$A$5:$C$8,3,FALSE),0))</x:f>
      </x:c>
      <x:c r="P1465" s="7">
        <x:f>IF(M1465="","",M1465*O1465)</x:f>
      </x:c>
      <x:c r="Q1465" s="7">
        <x:f>IF(M1465="","",M1465+P1465)</x:f>
      </x:c>
      <x:c r="R1465" s="7">
        <x:f>IF(K1465&lt;&gt;"Paid",0,IF(C1465="Income",Q1465,-Q1465))</x:f>
      </x:c>
      <x:c r="S1465" s="14">
        <x:f>IF(A1465="","",DATE(YEAR(A1465),MONTH(A1465),1))</x:f>
      </x:c>
      <x:c r="T1465" s="14">
        <x:f>IF(L1465="","",DATE(YEAR(L1465),MONTH(L1465),1))</x:f>
      </x:c>
    </x:row>
    <x:row r="1466">
      <x:c r="A1466" s="11" t="n"/>
      <x:c r="B1466" s="5" t="n"/>
      <x:c r="C1466" s="12" t="n"/>
      <x:c r="D1466" s="12" t="n"/>
      <x:c r="E1466" s="12" t="n"/>
      <x:c r="F1466" s="12" t="n"/>
      <x:c r="G1466" s="13">
        <x:f>IF(F1466="","",IFERROR(VLOOKUP(F1466,Master_Data!$E$24:$G$33,2,FALSE),"9999"))</x:f>
      </x:c>
      <x:c r="H1466" s="12" t="n"/>
      <x:c r="I1466" s="12" t="n"/>
      <x:c r="J1466" s="12" t="n"/>
      <x:c r="K1466" s="12" t="n"/>
      <x:c r="L1466" s="11" t="n"/>
      <x:c r="M1466" s="9" t="n"/>
      <x:c r="N1466" s="12" t="n"/>
      <x:c r="O1466" s="6">
        <x:f>IF(N1466="","",IFERROR(VLOOKUP(N1466,Master_Data!$A$5:$C$8,3,FALSE),0))</x:f>
      </x:c>
      <x:c r="P1466" s="7">
        <x:f>IF(M1466="","",M1466*O1466)</x:f>
      </x:c>
      <x:c r="Q1466" s="7">
        <x:f>IF(M1466="","",M1466+P1466)</x:f>
      </x:c>
      <x:c r="R1466" s="7">
        <x:f>IF(K1466&lt;&gt;"Paid",0,IF(C1466="Income",Q1466,-Q1466))</x:f>
      </x:c>
      <x:c r="S1466" s="14">
        <x:f>IF(A1466="","",DATE(YEAR(A1466),MONTH(A1466),1))</x:f>
      </x:c>
      <x:c r="T1466" s="14">
        <x:f>IF(L1466="","",DATE(YEAR(L1466),MONTH(L1466),1))</x:f>
      </x:c>
    </x:row>
    <x:row r="1467">
      <x:c r="A1467" s="11" t="n"/>
      <x:c r="B1467" s="5" t="n"/>
      <x:c r="C1467" s="12" t="n"/>
      <x:c r="D1467" s="12" t="n"/>
      <x:c r="E1467" s="12" t="n"/>
      <x:c r="F1467" s="12" t="n"/>
      <x:c r="G1467" s="13">
        <x:f>IF(F1467="","",IFERROR(VLOOKUP(F1467,Master_Data!$E$24:$G$33,2,FALSE),"9999"))</x:f>
      </x:c>
      <x:c r="H1467" s="12" t="n"/>
      <x:c r="I1467" s="12" t="n"/>
      <x:c r="J1467" s="12" t="n"/>
      <x:c r="K1467" s="12" t="n"/>
      <x:c r="L1467" s="11" t="n"/>
      <x:c r="M1467" s="9" t="n"/>
      <x:c r="N1467" s="12" t="n"/>
      <x:c r="O1467" s="6">
        <x:f>IF(N1467="","",IFERROR(VLOOKUP(N1467,Master_Data!$A$5:$C$8,3,FALSE),0))</x:f>
      </x:c>
      <x:c r="P1467" s="7">
        <x:f>IF(M1467="","",M1467*O1467)</x:f>
      </x:c>
      <x:c r="Q1467" s="7">
        <x:f>IF(M1467="","",M1467+P1467)</x:f>
      </x:c>
      <x:c r="R1467" s="7">
        <x:f>IF(K1467&lt;&gt;"Paid",0,IF(C1467="Income",Q1467,-Q1467))</x:f>
      </x:c>
      <x:c r="S1467" s="14">
        <x:f>IF(A1467="","",DATE(YEAR(A1467),MONTH(A1467),1))</x:f>
      </x:c>
      <x:c r="T1467" s="14">
        <x:f>IF(L1467="","",DATE(YEAR(L1467),MONTH(L1467),1))</x:f>
      </x:c>
    </x:row>
    <x:row r="1468">
      <x:c r="A1468" s="11" t="n"/>
      <x:c r="B1468" s="5" t="n"/>
      <x:c r="C1468" s="12" t="n"/>
      <x:c r="D1468" s="12" t="n"/>
      <x:c r="E1468" s="12" t="n"/>
      <x:c r="F1468" s="12" t="n"/>
      <x:c r="G1468" s="13">
        <x:f>IF(F1468="","",IFERROR(VLOOKUP(F1468,Master_Data!$E$24:$G$33,2,FALSE),"9999"))</x:f>
      </x:c>
      <x:c r="H1468" s="12" t="n"/>
      <x:c r="I1468" s="12" t="n"/>
      <x:c r="J1468" s="12" t="n"/>
      <x:c r="K1468" s="12" t="n"/>
      <x:c r="L1468" s="11" t="n"/>
      <x:c r="M1468" s="9" t="n"/>
      <x:c r="N1468" s="12" t="n"/>
      <x:c r="O1468" s="6">
        <x:f>IF(N1468="","",IFERROR(VLOOKUP(N1468,Master_Data!$A$5:$C$8,3,FALSE),0))</x:f>
      </x:c>
      <x:c r="P1468" s="7">
        <x:f>IF(M1468="","",M1468*O1468)</x:f>
      </x:c>
      <x:c r="Q1468" s="7">
        <x:f>IF(M1468="","",M1468+P1468)</x:f>
      </x:c>
      <x:c r="R1468" s="7">
        <x:f>IF(K1468&lt;&gt;"Paid",0,IF(C1468="Income",Q1468,-Q1468))</x:f>
      </x:c>
      <x:c r="S1468" s="14">
        <x:f>IF(A1468="","",DATE(YEAR(A1468),MONTH(A1468),1))</x:f>
      </x:c>
      <x:c r="T1468" s="14">
        <x:f>IF(L1468="","",DATE(YEAR(L1468),MONTH(L1468),1))</x:f>
      </x:c>
    </x:row>
    <x:row r="1469">
      <x:c r="A1469" s="11" t="n"/>
      <x:c r="B1469" s="5" t="n"/>
      <x:c r="C1469" s="12" t="n"/>
      <x:c r="D1469" s="12" t="n"/>
      <x:c r="E1469" s="12" t="n"/>
      <x:c r="F1469" s="12" t="n"/>
      <x:c r="G1469" s="13">
        <x:f>IF(F1469="","",IFERROR(VLOOKUP(F1469,Master_Data!$E$24:$G$33,2,FALSE),"9999"))</x:f>
      </x:c>
      <x:c r="H1469" s="12" t="n"/>
      <x:c r="I1469" s="12" t="n"/>
      <x:c r="J1469" s="12" t="n"/>
      <x:c r="K1469" s="12" t="n"/>
      <x:c r="L1469" s="11" t="n"/>
      <x:c r="M1469" s="9" t="n"/>
      <x:c r="N1469" s="12" t="n"/>
      <x:c r="O1469" s="6">
        <x:f>IF(N1469="","",IFERROR(VLOOKUP(N1469,Master_Data!$A$5:$C$8,3,FALSE),0))</x:f>
      </x:c>
      <x:c r="P1469" s="7">
        <x:f>IF(M1469="","",M1469*O1469)</x:f>
      </x:c>
      <x:c r="Q1469" s="7">
        <x:f>IF(M1469="","",M1469+P1469)</x:f>
      </x:c>
      <x:c r="R1469" s="7">
        <x:f>IF(K1469&lt;&gt;"Paid",0,IF(C1469="Income",Q1469,-Q1469))</x:f>
      </x:c>
      <x:c r="S1469" s="14">
        <x:f>IF(A1469="","",DATE(YEAR(A1469),MONTH(A1469),1))</x:f>
      </x:c>
      <x:c r="T1469" s="14">
        <x:f>IF(L1469="","",DATE(YEAR(L1469),MONTH(L1469),1))</x:f>
      </x:c>
    </x:row>
    <x:row r="1470">
      <x:c r="A1470" s="11" t="n"/>
      <x:c r="B1470" s="5" t="n"/>
      <x:c r="C1470" s="12" t="n"/>
      <x:c r="D1470" s="12" t="n"/>
      <x:c r="E1470" s="12" t="n"/>
      <x:c r="F1470" s="12" t="n"/>
      <x:c r="G1470" s="13">
        <x:f>IF(F1470="","",IFERROR(VLOOKUP(F1470,Master_Data!$E$24:$G$33,2,FALSE),"9999"))</x:f>
      </x:c>
      <x:c r="H1470" s="12" t="n"/>
      <x:c r="I1470" s="12" t="n"/>
      <x:c r="J1470" s="12" t="n"/>
      <x:c r="K1470" s="12" t="n"/>
      <x:c r="L1470" s="11" t="n"/>
      <x:c r="M1470" s="9" t="n"/>
      <x:c r="N1470" s="12" t="n"/>
      <x:c r="O1470" s="6">
        <x:f>IF(N1470="","",IFERROR(VLOOKUP(N1470,Master_Data!$A$5:$C$8,3,FALSE),0))</x:f>
      </x:c>
      <x:c r="P1470" s="7">
        <x:f>IF(M1470="","",M1470*O1470)</x:f>
      </x:c>
      <x:c r="Q1470" s="7">
        <x:f>IF(M1470="","",M1470+P1470)</x:f>
      </x:c>
      <x:c r="R1470" s="7">
        <x:f>IF(K1470&lt;&gt;"Paid",0,IF(C1470="Income",Q1470,-Q1470))</x:f>
      </x:c>
      <x:c r="S1470" s="14">
        <x:f>IF(A1470="","",DATE(YEAR(A1470),MONTH(A1470),1))</x:f>
      </x:c>
      <x:c r="T1470" s="14">
        <x:f>IF(L1470="","",DATE(YEAR(L1470),MONTH(L1470),1))</x:f>
      </x:c>
    </x:row>
    <x:row r="1471">
      <x:c r="A1471" s="11" t="n"/>
      <x:c r="B1471" s="5" t="n"/>
      <x:c r="C1471" s="12" t="n"/>
      <x:c r="D1471" s="12" t="n"/>
      <x:c r="E1471" s="12" t="n"/>
      <x:c r="F1471" s="12" t="n"/>
      <x:c r="G1471" s="13">
        <x:f>IF(F1471="","",IFERROR(VLOOKUP(F1471,Master_Data!$E$24:$G$33,2,FALSE),"9999"))</x:f>
      </x:c>
      <x:c r="H1471" s="12" t="n"/>
      <x:c r="I1471" s="12" t="n"/>
      <x:c r="J1471" s="12" t="n"/>
      <x:c r="K1471" s="12" t="n"/>
      <x:c r="L1471" s="11" t="n"/>
      <x:c r="M1471" s="9" t="n"/>
      <x:c r="N1471" s="12" t="n"/>
      <x:c r="O1471" s="6">
        <x:f>IF(N1471="","",IFERROR(VLOOKUP(N1471,Master_Data!$A$5:$C$8,3,FALSE),0))</x:f>
      </x:c>
      <x:c r="P1471" s="7">
        <x:f>IF(M1471="","",M1471*O1471)</x:f>
      </x:c>
      <x:c r="Q1471" s="7">
        <x:f>IF(M1471="","",M1471+P1471)</x:f>
      </x:c>
      <x:c r="R1471" s="7">
        <x:f>IF(K1471&lt;&gt;"Paid",0,IF(C1471="Income",Q1471,-Q1471))</x:f>
      </x:c>
      <x:c r="S1471" s="14">
        <x:f>IF(A1471="","",DATE(YEAR(A1471),MONTH(A1471),1))</x:f>
      </x:c>
      <x:c r="T1471" s="14">
        <x:f>IF(L1471="","",DATE(YEAR(L1471),MONTH(L1471),1))</x:f>
      </x:c>
    </x:row>
    <x:row r="1472">
      <x:c r="A1472" s="11" t="n"/>
      <x:c r="B1472" s="5" t="n"/>
      <x:c r="C1472" s="12" t="n"/>
      <x:c r="D1472" s="12" t="n"/>
      <x:c r="E1472" s="12" t="n"/>
      <x:c r="F1472" s="12" t="n"/>
      <x:c r="G1472" s="13">
        <x:f>IF(F1472="","",IFERROR(VLOOKUP(F1472,Master_Data!$E$24:$G$33,2,FALSE),"9999"))</x:f>
      </x:c>
      <x:c r="H1472" s="12" t="n"/>
      <x:c r="I1472" s="12" t="n"/>
      <x:c r="J1472" s="12" t="n"/>
      <x:c r="K1472" s="12" t="n"/>
      <x:c r="L1472" s="11" t="n"/>
      <x:c r="M1472" s="9" t="n"/>
      <x:c r="N1472" s="12" t="n"/>
      <x:c r="O1472" s="6">
        <x:f>IF(N1472="","",IFERROR(VLOOKUP(N1472,Master_Data!$A$5:$C$8,3,FALSE),0))</x:f>
      </x:c>
      <x:c r="P1472" s="7">
        <x:f>IF(M1472="","",M1472*O1472)</x:f>
      </x:c>
      <x:c r="Q1472" s="7">
        <x:f>IF(M1472="","",M1472+P1472)</x:f>
      </x:c>
      <x:c r="R1472" s="7">
        <x:f>IF(K1472&lt;&gt;"Paid",0,IF(C1472="Income",Q1472,-Q1472))</x:f>
      </x:c>
      <x:c r="S1472" s="14">
        <x:f>IF(A1472="","",DATE(YEAR(A1472),MONTH(A1472),1))</x:f>
      </x:c>
      <x:c r="T1472" s="14">
        <x:f>IF(L1472="","",DATE(YEAR(L1472),MONTH(L1472),1))</x:f>
      </x:c>
    </x:row>
    <x:row r="1473">
      <x:c r="A1473" s="11" t="n"/>
      <x:c r="B1473" s="5" t="n"/>
      <x:c r="C1473" s="12" t="n"/>
      <x:c r="D1473" s="12" t="n"/>
      <x:c r="E1473" s="12" t="n"/>
      <x:c r="F1473" s="12" t="n"/>
      <x:c r="G1473" s="13">
        <x:f>IF(F1473="","",IFERROR(VLOOKUP(F1473,Master_Data!$E$24:$G$33,2,FALSE),"9999"))</x:f>
      </x:c>
      <x:c r="H1473" s="12" t="n"/>
      <x:c r="I1473" s="12" t="n"/>
      <x:c r="J1473" s="12" t="n"/>
      <x:c r="K1473" s="12" t="n"/>
      <x:c r="L1473" s="11" t="n"/>
      <x:c r="M1473" s="9" t="n"/>
      <x:c r="N1473" s="12" t="n"/>
      <x:c r="O1473" s="6">
        <x:f>IF(N1473="","",IFERROR(VLOOKUP(N1473,Master_Data!$A$5:$C$8,3,FALSE),0))</x:f>
      </x:c>
      <x:c r="P1473" s="7">
        <x:f>IF(M1473="","",M1473*O1473)</x:f>
      </x:c>
      <x:c r="Q1473" s="7">
        <x:f>IF(M1473="","",M1473+P1473)</x:f>
      </x:c>
      <x:c r="R1473" s="7">
        <x:f>IF(K1473&lt;&gt;"Paid",0,IF(C1473="Income",Q1473,-Q1473))</x:f>
      </x:c>
      <x:c r="S1473" s="14">
        <x:f>IF(A1473="","",DATE(YEAR(A1473),MONTH(A1473),1))</x:f>
      </x:c>
      <x:c r="T1473" s="14">
        <x:f>IF(L1473="","",DATE(YEAR(L1473),MONTH(L1473),1))</x:f>
      </x:c>
    </x:row>
    <x:row r="1474">
      <x:c r="A1474" s="11" t="n"/>
      <x:c r="B1474" s="5" t="n"/>
      <x:c r="C1474" s="12" t="n"/>
      <x:c r="D1474" s="12" t="n"/>
      <x:c r="E1474" s="12" t="n"/>
      <x:c r="F1474" s="12" t="n"/>
      <x:c r="G1474" s="13">
        <x:f>IF(F1474="","",IFERROR(VLOOKUP(F1474,Master_Data!$E$24:$G$33,2,FALSE),"9999"))</x:f>
      </x:c>
      <x:c r="H1474" s="12" t="n"/>
      <x:c r="I1474" s="12" t="n"/>
      <x:c r="J1474" s="12" t="n"/>
      <x:c r="K1474" s="12" t="n"/>
      <x:c r="L1474" s="11" t="n"/>
      <x:c r="M1474" s="9" t="n"/>
      <x:c r="N1474" s="12" t="n"/>
      <x:c r="O1474" s="6">
        <x:f>IF(N1474="","",IFERROR(VLOOKUP(N1474,Master_Data!$A$5:$C$8,3,FALSE),0))</x:f>
      </x:c>
      <x:c r="P1474" s="7">
        <x:f>IF(M1474="","",M1474*O1474)</x:f>
      </x:c>
      <x:c r="Q1474" s="7">
        <x:f>IF(M1474="","",M1474+P1474)</x:f>
      </x:c>
      <x:c r="R1474" s="7">
        <x:f>IF(K1474&lt;&gt;"Paid",0,IF(C1474="Income",Q1474,-Q1474))</x:f>
      </x:c>
      <x:c r="S1474" s="14">
        <x:f>IF(A1474="","",DATE(YEAR(A1474),MONTH(A1474),1))</x:f>
      </x:c>
      <x:c r="T1474" s="14">
        <x:f>IF(L1474="","",DATE(YEAR(L1474),MONTH(L1474),1))</x:f>
      </x:c>
    </x:row>
    <x:row r="1475">
      <x:c r="A1475" s="11" t="n"/>
      <x:c r="B1475" s="5" t="n"/>
      <x:c r="C1475" s="12" t="n"/>
      <x:c r="D1475" s="12" t="n"/>
      <x:c r="E1475" s="12" t="n"/>
      <x:c r="F1475" s="12" t="n"/>
      <x:c r="G1475" s="13">
        <x:f>IF(F1475="","",IFERROR(VLOOKUP(F1475,Master_Data!$E$24:$G$33,2,FALSE),"9999"))</x:f>
      </x:c>
      <x:c r="H1475" s="12" t="n"/>
      <x:c r="I1475" s="12" t="n"/>
      <x:c r="J1475" s="12" t="n"/>
      <x:c r="K1475" s="12" t="n"/>
      <x:c r="L1475" s="11" t="n"/>
      <x:c r="M1475" s="9" t="n"/>
      <x:c r="N1475" s="12" t="n"/>
      <x:c r="O1475" s="6">
        <x:f>IF(N1475="","",IFERROR(VLOOKUP(N1475,Master_Data!$A$5:$C$8,3,FALSE),0))</x:f>
      </x:c>
      <x:c r="P1475" s="7">
        <x:f>IF(M1475="","",M1475*O1475)</x:f>
      </x:c>
      <x:c r="Q1475" s="7">
        <x:f>IF(M1475="","",M1475+P1475)</x:f>
      </x:c>
      <x:c r="R1475" s="7">
        <x:f>IF(K1475&lt;&gt;"Paid",0,IF(C1475="Income",Q1475,-Q1475))</x:f>
      </x:c>
      <x:c r="S1475" s="14">
        <x:f>IF(A1475="","",DATE(YEAR(A1475),MONTH(A1475),1))</x:f>
      </x:c>
      <x:c r="T1475" s="14">
        <x:f>IF(L1475="","",DATE(YEAR(L1475),MONTH(L1475),1))</x:f>
      </x:c>
    </x:row>
    <x:row r="1476">
      <x:c r="A1476" s="11" t="n"/>
      <x:c r="B1476" s="5" t="n"/>
      <x:c r="C1476" s="12" t="n"/>
      <x:c r="D1476" s="12" t="n"/>
      <x:c r="E1476" s="12" t="n"/>
      <x:c r="F1476" s="12" t="n"/>
      <x:c r="G1476" s="13">
        <x:f>IF(F1476="","",IFERROR(VLOOKUP(F1476,Master_Data!$E$24:$G$33,2,FALSE),"9999"))</x:f>
      </x:c>
      <x:c r="H1476" s="12" t="n"/>
      <x:c r="I1476" s="12" t="n"/>
      <x:c r="J1476" s="12" t="n"/>
      <x:c r="K1476" s="12" t="n"/>
      <x:c r="L1476" s="11" t="n"/>
      <x:c r="M1476" s="9" t="n"/>
      <x:c r="N1476" s="12" t="n"/>
      <x:c r="O1476" s="6">
        <x:f>IF(N1476="","",IFERROR(VLOOKUP(N1476,Master_Data!$A$5:$C$8,3,FALSE),0))</x:f>
      </x:c>
      <x:c r="P1476" s="7">
        <x:f>IF(M1476="","",M1476*O1476)</x:f>
      </x:c>
      <x:c r="Q1476" s="7">
        <x:f>IF(M1476="","",M1476+P1476)</x:f>
      </x:c>
      <x:c r="R1476" s="7">
        <x:f>IF(K1476&lt;&gt;"Paid",0,IF(C1476="Income",Q1476,-Q1476))</x:f>
      </x:c>
      <x:c r="S1476" s="14">
        <x:f>IF(A1476="","",DATE(YEAR(A1476),MONTH(A1476),1))</x:f>
      </x:c>
      <x:c r="T1476" s="14">
        <x:f>IF(L1476="","",DATE(YEAR(L1476),MONTH(L1476),1))</x:f>
      </x:c>
    </x:row>
    <x:row r="1477">
      <x:c r="A1477" s="11" t="n"/>
      <x:c r="B1477" s="5" t="n"/>
      <x:c r="C1477" s="12" t="n"/>
      <x:c r="D1477" s="12" t="n"/>
      <x:c r="E1477" s="12" t="n"/>
      <x:c r="F1477" s="12" t="n"/>
      <x:c r="G1477" s="13">
        <x:f>IF(F1477="","",IFERROR(VLOOKUP(F1477,Master_Data!$E$24:$G$33,2,FALSE),"9999"))</x:f>
      </x:c>
      <x:c r="H1477" s="12" t="n"/>
      <x:c r="I1477" s="12" t="n"/>
      <x:c r="J1477" s="12" t="n"/>
      <x:c r="K1477" s="12" t="n"/>
      <x:c r="L1477" s="11" t="n"/>
      <x:c r="M1477" s="9" t="n"/>
      <x:c r="N1477" s="12" t="n"/>
      <x:c r="O1477" s="6">
        <x:f>IF(N1477="","",IFERROR(VLOOKUP(N1477,Master_Data!$A$5:$C$8,3,FALSE),0))</x:f>
      </x:c>
      <x:c r="P1477" s="7">
        <x:f>IF(M1477="","",M1477*O1477)</x:f>
      </x:c>
      <x:c r="Q1477" s="7">
        <x:f>IF(M1477="","",M1477+P1477)</x:f>
      </x:c>
      <x:c r="R1477" s="7">
        <x:f>IF(K1477&lt;&gt;"Paid",0,IF(C1477="Income",Q1477,-Q1477))</x:f>
      </x:c>
      <x:c r="S1477" s="14">
        <x:f>IF(A1477="","",DATE(YEAR(A1477),MONTH(A1477),1))</x:f>
      </x:c>
      <x:c r="T1477" s="14">
        <x:f>IF(L1477="","",DATE(YEAR(L1477),MONTH(L1477),1))</x:f>
      </x:c>
    </x:row>
    <x:row r="1478">
      <x:c r="A1478" s="11" t="n"/>
      <x:c r="B1478" s="5" t="n"/>
      <x:c r="C1478" s="12" t="n"/>
      <x:c r="D1478" s="12" t="n"/>
      <x:c r="E1478" s="12" t="n"/>
      <x:c r="F1478" s="12" t="n"/>
      <x:c r="G1478" s="13">
        <x:f>IF(F1478="","",IFERROR(VLOOKUP(F1478,Master_Data!$E$24:$G$33,2,FALSE),"9999"))</x:f>
      </x:c>
      <x:c r="H1478" s="12" t="n"/>
      <x:c r="I1478" s="12" t="n"/>
      <x:c r="J1478" s="12" t="n"/>
      <x:c r="K1478" s="12" t="n"/>
      <x:c r="L1478" s="11" t="n"/>
      <x:c r="M1478" s="9" t="n"/>
      <x:c r="N1478" s="12" t="n"/>
      <x:c r="O1478" s="6">
        <x:f>IF(N1478="","",IFERROR(VLOOKUP(N1478,Master_Data!$A$5:$C$8,3,FALSE),0))</x:f>
      </x:c>
      <x:c r="P1478" s="7">
        <x:f>IF(M1478="","",M1478*O1478)</x:f>
      </x:c>
      <x:c r="Q1478" s="7">
        <x:f>IF(M1478="","",M1478+P1478)</x:f>
      </x:c>
      <x:c r="R1478" s="7">
        <x:f>IF(K1478&lt;&gt;"Paid",0,IF(C1478="Income",Q1478,-Q1478))</x:f>
      </x:c>
      <x:c r="S1478" s="14">
        <x:f>IF(A1478="","",DATE(YEAR(A1478),MONTH(A1478),1))</x:f>
      </x:c>
      <x:c r="T1478" s="14">
        <x:f>IF(L1478="","",DATE(YEAR(L1478),MONTH(L1478),1))</x:f>
      </x:c>
    </x:row>
    <x:row r="1479">
      <x:c r="A1479" s="11" t="n"/>
      <x:c r="B1479" s="5" t="n"/>
      <x:c r="C1479" s="12" t="n"/>
      <x:c r="D1479" s="12" t="n"/>
      <x:c r="E1479" s="12" t="n"/>
      <x:c r="F1479" s="12" t="n"/>
      <x:c r="G1479" s="13">
        <x:f>IF(F1479="","",IFERROR(VLOOKUP(F1479,Master_Data!$E$24:$G$33,2,FALSE),"9999"))</x:f>
      </x:c>
      <x:c r="H1479" s="12" t="n"/>
      <x:c r="I1479" s="12" t="n"/>
      <x:c r="J1479" s="12" t="n"/>
      <x:c r="K1479" s="12" t="n"/>
      <x:c r="L1479" s="11" t="n"/>
      <x:c r="M1479" s="9" t="n"/>
      <x:c r="N1479" s="12" t="n"/>
      <x:c r="O1479" s="6">
        <x:f>IF(N1479="","",IFERROR(VLOOKUP(N1479,Master_Data!$A$5:$C$8,3,FALSE),0))</x:f>
      </x:c>
      <x:c r="P1479" s="7">
        <x:f>IF(M1479="","",M1479*O1479)</x:f>
      </x:c>
      <x:c r="Q1479" s="7">
        <x:f>IF(M1479="","",M1479+P1479)</x:f>
      </x:c>
      <x:c r="R1479" s="7">
        <x:f>IF(K1479&lt;&gt;"Paid",0,IF(C1479="Income",Q1479,-Q1479))</x:f>
      </x:c>
      <x:c r="S1479" s="14">
        <x:f>IF(A1479="","",DATE(YEAR(A1479),MONTH(A1479),1))</x:f>
      </x:c>
      <x:c r="T1479" s="14">
        <x:f>IF(L1479="","",DATE(YEAR(L1479),MONTH(L1479),1))</x:f>
      </x:c>
    </x:row>
    <x:row r="1480">
      <x:c r="A1480" s="11" t="n"/>
      <x:c r="B1480" s="5" t="n"/>
      <x:c r="C1480" s="12" t="n"/>
      <x:c r="D1480" s="12" t="n"/>
      <x:c r="E1480" s="12" t="n"/>
      <x:c r="F1480" s="12" t="n"/>
      <x:c r="G1480" s="13">
        <x:f>IF(F1480="","",IFERROR(VLOOKUP(F1480,Master_Data!$E$24:$G$33,2,FALSE),"9999"))</x:f>
      </x:c>
      <x:c r="H1480" s="12" t="n"/>
      <x:c r="I1480" s="12" t="n"/>
      <x:c r="J1480" s="12" t="n"/>
      <x:c r="K1480" s="12" t="n"/>
      <x:c r="L1480" s="11" t="n"/>
      <x:c r="M1480" s="9" t="n"/>
      <x:c r="N1480" s="12" t="n"/>
      <x:c r="O1480" s="6">
        <x:f>IF(N1480="","",IFERROR(VLOOKUP(N1480,Master_Data!$A$5:$C$8,3,FALSE),0))</x:f>
      </x:c>
      <x:c r="P1480" s="7">
        <x:f>IF(M1480="","",M1480*O1480)</x:f>
      </x:c>
      <x:c r="Q1480" s="7">
        <x:f>IF(M1480="","",M1480+P1480)</x:f>
      </x:c>
      <x:c r="R1480" s="7">
        <x:f>IF(K1480&lt;&gt;"Paid",0,IF(C1480="Income",Q1480,-Q1480))</x:f>
      </x:c>
      <x:c r="S1480" s="14">
        <x:f>IF(A1480="","",DATE(YEAR(A1480),MONTH(A1480),1))</x:f>
      </x:c>
      <x:c r="T1480" s="14">
        <x:f>IF(L1480="","",DATE(YEAR(L1480),MONTH(L1480),1))</x:f>
      </x:c>
    </x:row>
    <x:row r="1481">
      <x:c r="A1481" s="11" t="n"/>
      <x:c r="B1481" s="5" t="n"/>
      <x:c r="C1481" s="12" t="n"/>
      <x:c r="D1481" s="12" t="n"/>
      <x:c r="E1481" s="12" t="n"/>
      <x:c r="F1481" s="12" t="n"/>
      <x:c r="G1481" s="13">
        <x:f>IF(F1481="","",IFERROR(VLOOKUP(F1481,Master_Data!$E$24:$G$33,2,FALSE),"9999"))</x:f>
      </x:c>
      <x:c r="H1481" s="12" t="n"/>
      <x:c r="I1481" s="12" t="n"/>
      <x:c r="J1481" s="12" t="n"/>
      <x:c r="K1481" s="12" t="n"/>
      <x:c r="L1481" s="11" t="n"/>
      <x:c r="M1481" s="9" t="n"/>
      <x:c r="N1481" s="12" t="n"/>
      <x:c r="O1481" s="6">
        <x:f>IF(N1481="","",IFERROR(VLOOKUP(N1481,Master_Data!$A$5:$C$8,3,FALSE),0))</x:f>
      </x:c>
      <x:c r="P1481" s="7">
        <x:f>IF(M1481="","",M1481*O1481)</x:f>
      </x:c>
      <x:c r="Q1481" s="7">
        <x:f>IF(M1481="","",M1481+P1481)</x:f>
      </x:c>
      <x:c r="R1481" s="7">
        <x:f>IF(K1481&lt;&gt;"Paid",0,IF(C1481="Income",Q1481,-Q1481))</x:f>
      </x:c>
      <x:c r="S1481" s="14">
        <x:f>IF(A1481="","",DATE(YEAR(A1481),MONTH(A1481),1))</x:f>
      </x:c>
      <x:c r="T1481" s="14">
        <x:f>IF(L1481="","",DATE(YEAR(L1481),MONTH(L1481),1))</x:f>
      </x:c>
    </x:row>
    <x:row r="1482">
      <x:c r="A1482" s="11" t="n"/>
      <x:c r="B1482" s="5" t="n"/>
      <x:c r="C1482" s="12" t="n"/>
      <x:c r="D1482" s="12" t="n"/>
      <x:c r="E1482" s="12" t="n"/>
      <x:c r="F1482" s="12" t="n"/>
      <x:c r="G1482" s="13">
        <x:f>IF(F1482="","",IFERROR(VLOOKUP(F1482,Master_Data!$E$24:$G$33,2,FALSE),"9999"))</x:f>
      </x:c>
      <x:c r="H1482" s="12" t="n"/>
      <x:c r="I1482" s="12" t="n"/>
      <x:c r="J1482" s="12" t="n"/>
      <x:c r="K1482" s="12" t="n"/>
      <x:c r="L1482" s="11" t="n"/>
      <x:c r="M1482" s="9" t="n"/>
      <x:c r="N1482" s="12" t="n"/>
      <x:c r="O1482" s="6">
        <x:f>IF(N1482="","",IFERROR(VLOOKUP(N1482,Master_Data!$A$5:$C$8,3,FALSE),0))</x:f>
      </x:c>
      <x:c r="P1482" s="7">
        <x:f>IF(M1482="","",M1482*O1482)</x:f>
      </x:c>
      <x:c r="Q1482" s="7">
        <x:f>IF(M1482="","",M1482+P1482)</x:f>
      </x:c>
      <x:c r="R1482" s="7">
        <x:f>IF(K1482&lt;&gt;"Paid",0,IF(C1482="Income",Q1482,-Q1482))</x:f>
      </x:c>
      <x:c r="S1482" s="14">
        <x:f>IF(A1482="","",DATE(YEAR(A1482),MONTH(A1482),1))</x:f>
      </x:c>
      <x:c r="T1482" s="14">
        <x:f>IF(L1482="","",DATE(YEAR(L1482),MONTH(L1482),1))</x:f>
      </x:c>
    </x:row>
    <x:row r="1483">
      <x:c r="A1483" s="11" t="n"/>
      <x:c r="B1483" s="5" t="n"/>
      <x:c r="C1483" s="12" t="n"/>
      <x:c r="D1483" s="12" t="n"/>
      <x:c r="E1483" s="12" t="n"/>
      <x:c r="F1483" s="12" t="n"/>
      <x:c r="G1483" s="13">
        <x:f>IF(F1483="","",IFERROR(VLOOKUP(F1483,Master_Data!$E$24:$G$33,2,FALSE),"9999"))</x:f>
      </x:c>
      <x:c r="H1483" s="12" t="n"/>
      <x:c r="I1483" s="12" t="n"/>
      <x:c r="J1483" s="12" t="n"/>
      <x:c r="K1483" s="12" t="n"/>
      <x:c r="L1483" s="11" t="n"/>
      <x:c r="M1483" s="9" t="n"/>
      <x:c r="N1483" s="12" t="n"/>
      <x:c r="O1483" s="6">
        <x:f>IF(N1483="","",IFERROR(VLOOKUP(N1483,Master_Data!$A$5:$C$8,3,FALSE),0))</x:f>
      </x:c>
      <x:c r="P1483" s="7">
        <x:f>IF(M1483="","",M1483*O1483)</x:f>
      </x:c>
      <x:c r="Q1483" s="7">
        <x:f>IF(M1483="","",M1483+P1483)</x:f>
      </x:c>
      <x:c r="R1483" s="7">
        <x:f>IF(K1483&lt;&gt;"Paid",0,IF(C1483="Income",Q1483,-Q1483))</x:f>
      </x:c>
      <x:c r="S1483" s="14">
        <x:f>IF(A1483="","",DATE(YEAR(A1483),MONTH(A1483),1))</x:f>
      </x:c>
      <x:c r="T1483" s="14">
        <x:f>IF(L1483="","",DATE(YEAR(L1483),MONTH(L1483),1))</x:f>
      </x:c>
    </x:row>
    <x:row r="1484">
      <x:c r="A1484" s="11" t="n"/>
      <x:c r="B1484" s="5" t="n"/>
      <x:c r="C1484" s="12" t="n"/>
      <x:c r="D1484" s="12" t="n"/>
      <x:c r="E1484" s="12" t="n"/>
      <x:c r="F1484" s="12" t="n"/>
      <x:c r="G1484" s="13">
        <x:f>IF(F1484="","",IFERROR(VLOOKUP(F1484,Master_Data!$E$24:$G$33,2,FALSE),"9999"))</x:f>
      </x:c>
      <x:c r="H1484" s="12" t="n"/>
      <x:c r="I1484" s="12" t="n"/>
      <x:c r="J1484" s="12" t="n"/>
      <x:c r="K1484" s="12" t="n"/>
      <x:c r="L1484" s="11" t="n"/>
      <x:c r="M1484" s="9" t="n"/>
      <x:c r="N1484" s="12" t="n"/>
      <x:c r="O1484" s="6">
        <x:f>IF(N1484="","",IFERROR(VLOOKUP(N1484,Master_Data!$A$5:$C$8,3,FALSE),0))</x:f>
      </x:c>
      <x:c r="P1484" s="7">
        <x:f>IF(M1484="","",M1484*O1484)</x:f>
      </x:c>
      <x:c r="Q1484" s="7">
        <x:f>IF(M1484="","",M1484+P1484)</x:f>
      </x:c>
      <x:c r="R1484" s="7">
        <x:f>IF(K1484&lt;&gt;"Paid",0,IF(C1484="Income",Q1484,-Q1484))</x:f>
      </x:c>
      <x:c r="S1484" s="14">
        <x:f>IF(A1484="","",DATE(YEAR(A1484),MONTH(A1484),1))</x:f>
      </x:c>
      <x:c r="T1484" s="14">
        <x:f>IF(L1484="","",DATE(YEAR(L1484),MONTH(L1484),1))</x:f>
      </x:c>
    </x:row>
    <x:row r="1485">
      <x:c r="A1485" s="11" t="n"/>
      <x:c r="B1485" s="5" t="n"/>
      <x:c r="C1485" s="12" t="n"/>
      <x:c r="D1485" s="12" t="n"/>
      <x:c r="E1485" s="12" t="n"/>
      <x:c r="F1485" s="12" t="n"/>
      <x:c r="G1485" s="13">
        <x:f>IF(F1485="","",IFERROR(VLOOKUP(F1485,Master_Data!$E$24:$G$33,2,FALSE),"9999"))</x:f>
      </x:c>
      <x:c r="H1485" s="12" t="n"/>
      <x:c r="I1485" s="12" t="n"/>
      <x:c r="J1485" s="12" t="n"/>
      <x:c r="K1485" s="12" t="n"/>
      <x:c r="L1485" s="11" t="n"/>
      <x:c r="M1485" s="9" t="n"/>
      <x:c r="N1485" s="12" t="n"/>
      <x:c r="O1485" s="6">
        <x:f>IF(N1485="","",IFERROR(VLOOKUP(N1485,Master_Data!$A$5:$C$8,3,FALSE),0))</x:f>
      </x:c>
      <x:c r="P1485" s="7">
        <x:f>IF(M1485="","",M1485*O1485)</x:f>
      </x:c>
      <x:c r="Q1485" s="7">
        <x:f>IF(M1485="","",M1485+P1485)</x:f>
      </x:c>
      <x:c r="R1485" s="7">
        <x:f>IF(K1485&lt;&gt;"Paid",0,IF(C1485="Income",Q1485,-Q1485))</x:f>
      </x:c>
      <x:c r="S1485" s="14">
        <x:f>IF(A1485="","",DATE(YEAR(A1485),MONTH(A1485),1))</x:f>
      </x:c>
      <x:c r="T1485" s="14">
        <x:f>IF(L1485="","",DATE(YEAR(L1485),MONTH(L1485),1))</x:f>
      </x:c>
    </x:row>
    <x:row r="1486">
      <x:c r="A1486" s="11" t="n"/>
      <x:c r="B1486" s="5" t="n"/>
      <x:c r="C1486" s="12" t="n"/>
      <x:c r="D1486" s="12" t="n"/>
      <x:c r="E1486" s="12" t="n"/>
      <x:c r="F1486" s="12" t="n"/>
      <x:c r="G1486" s="13">
        <x:f>IF(F1486="","",IFERROR(VLOOKUP(F1486,Master_Data!$E$24:$G$33,2,FALSE),"9999"))</x:f>
      </x:c>
      <x:c r="H1486" s="12" t="n"/>
      <x:c r="I1486" s="12" t="n"/>
      <x:c r="J1486" s="12" t="n"/>
      <x:c r="K1486" s="12" t="n"/>
      <x:c r="L1486" s="11" t="n"/>
      <x:c r="M1486" s="9" t="n"/>
      <x:c r="N1486" s="12" t="n"/>
      <x:c r="O1486" s="6">
        <x:f>IF(N1486="","",IFERROR(VLOOKUP(N1486,Master_Data!$A$5:$C$8,3,FALSE),0))</x:f>
      </x:c>
      <x:c r="P1486" s="7">
        <x:f>IF(M1486="","",M1486*O1486)</x:f>
      </x:c>
      <x:c r="Q1486" s="7">
        <x:f>IF(M1486="","",M1486+P1486)</x:f>
      </x:c>
      <x:c r="R1486" s="7">
        <x:f>IF(K1486&lt;&gt;"Paid",0,IF(C1486="Income",Q1486,-Q1486))</x:f>
      </x:c>
      <x:c r="S1486" s="14">
        <x:f>IF(A1486="","",DATE(YEAR(A1486),MONTH(A1486),1))</x:f>
      </x:c>
      <x:c r="T1486" s="14">
        <x:f>IF(L1486="","",DATE(YEAR(L1486),MONTH(L1486),1))</x:f>
      </x:c>
    </x:row>
    <x:row r="1487">
      <x:c r="A1487" s="11" t="n"/>
      <x:c r="B1487" s="5" t="n"/>
      <x:c r="C1487" s="12" t="n"/>
      <x:c r="D1487" s="12" t="n"/>
      <x:c r="E1487" s="12" t="n"/>
      <x:c r="F1487" s="12" t="n"/>
      <x:c r="G1487" s="13">
        <x:f>IF(F1487="","",IFERROR(VLOOKUP(F1487,Master_Data!$E$24:$G$33,2,FALSE),"9999"))</x:f>
      </x:c>
      <x:c r="H1487" s="12" t="n"/>
      <x:c r="I1487" s="12" t="n"/>
      <x:c r="J1487" s="12" t="n"/>
      <x:c r="K1487" s="12" t="n"/>
      <x:c r="L1487" s="11" t="n"/>
      <x:c r="M1487" s="9" t="n"/>
      <x:c r="N1487" s="12" t="n"/>
      <x:c r="O1487" s="6">
        <x:f>IF(N1487="","",IFERROR(VLOOKUP(N1487,Master_Data!$A$5:$C$8,3,FALSE),0))</x:f>
      </x:c>
      <x:c r="P1487" s="7">
        <x:f>IF(M1487="","",M1487*O1487)</x:f>
      </x:c>
      <x:c r="Q1487" s="7">
        <x:f>IF(M1487="","",M1487+P1487)</x:f>
      </x:c>
      <x:c r="R1487" s="7">
        <x:f>IF(K1487&lt;&gt;"Paid",0,IF(C1487="Income",Q1487,-Q1487))</x:f>
      </x:c>
      <x:c r="S1487" s="14">
        <x:f>IF(A1487="","",DATE(YEAR(A1487),MONTH(A1487),1))</x:f>
      </x:c>
      <x:c r="T1487" s="14">
        <x:f>IF(L1487="","",DATE(YEAR(L1487),MONTH(L1487),1))</x:f>
      </x:c>
    </x:row>
    <x:row r="1488">
      <x:c r="A1488" s="11" t="n"/>
      <x:c r="B1488" s="5" t="n"/>
      <x:c r="C1488" s="12" t="n"/>
      <x:c r="D1488" s="12" t="n"/>
      <x:c r="E1488" s="12" t="n"/>
      <x:c r="F1488" s="12" t="n"/>
      <x:c r="G1488" s="13">
        <x:f>IF(F1488="","",IFERROR(VLOOKUP(F1488,Master_Data!$E$24:$G$33,2,FALSE),"9999"))</x:f>
      </x:c>
      <x:c r="H1488" s="12" t="n"/>
      <x:c r="I1488" s="12" t="n"/>
      <x:c r="J1488" s="12" t="n"/>
      <x:c r="K1488" s="12" t="n"/>
      <x:c r="L1488" s="11" t="n"/>
      <x:c r="M1488" s="9" t="n"/>
      <x:c r="N1488" s="12" t="n"/>
      <x:c r="O1488" s="6">
        <x:f>IF(N1488="","",IFERROR(VLOOKUP(N1488,Master_Data!$A$5:$C$8,3,FALSE),0))</x:f>
      </x:c>
      <x:c r="P1488" s="7">
        <x:f>IF(M1488="","",M1488*O1488)</x:f>
      </x:c>
      <x:c r="Q1488" s="7">
        <x:f>IF(M1488="","",M1488+P1488)</x:f>
      </x:c>
      <x:c r="R1488" s="7">
        <x:f>IF(K1488&lt;&gt;"Paid",0,IF(C1488="Income",Q1488,-Q1488))</x:f>
      </x:c>
      <x:c r="S1488" s="14">
        <x:f>IF(A1488="","",DATE(YEAR(A1488),MONTH(A1488),1))</x:f>
      </x:c>
      <x:c r="T1488" s="14">
        <x:f>IF(L1488="","",DATE(YEAR(L1488),MONTH(L1488),1))</x:f>
      </x:c>
    </x:row>
    <x:row r="1489">
      <x:c r="A1489" s="11" t="n"/>
      <x:c r="B1489" s="5" t="n"/>
      <x:c r="C1489" s="12" t="n"/>
      <x:c r="D1489" s="12" t="n"/>
      <x:c r="E1489" s="12" t="n"/>
      <x:c r="F1489" s="12" t="n"/>
      <x:c r="G1489" s="13">
        <x:f>IF(F1489="","",IFERROR(VLOOKUP(F1489,Master_Data!$E$24:$G$33,2,FALSE),"9999"))</x:f>
      </x:c>
      <x:c r="H1489" s="12" t="n"/>
      <x:c r="I1489" s="12" t="n"/>
      <x:c r="J1489" s="12" t="n"/>
      <x:c r="K1489" s="12" t="n"/>
      <x:c r="L1489" s="11" t="n"/>
      <x:c r="M1489" s="9" t="n"/>
      <x:c r="N1489" s="12" t="n"/>
      <x:c r="O1489" s="6">
        <x:f>IF(N1489="","",IFERROR(VLOOKUP(N1489,Master_Data!$A$5:$C$8,3,FALSE),0))</x:f>
      </x:c>
      <x:c r="P1489" s="7">
        <x:f>IF(M1489="","",M1489*O1489)</x:f>
      </x:c>
      <x:c r="Q1489" s="7">
        <x:f>IF(M1489="","",M1489+P1489)</x:f>
      </x:c>
      <x:c r="R1489" s="7">
        <x:f>IF(K1489&lt;&gt;"Paid",0,IF(C1489="Income",Q1489,-Q1489))</x:f>
      </x:c>
      <x:c r="S1489" s="14">
        <x:f>IF(A1489="","",DATE(YEAR(A1489),MONTH(A1489),1))</x:f>
      </x:c>
      <x:c r="T1489" s="14">
        <x:f>IF(L1489="","",DATE(YEAR(L1489),MONTH(L1489),1))</x:f>
      </x:c>
    </x:row>
    <x:row r="1490">
      <x:c r="A1490" s="11" t="n"/>
      <x:c r="B1490" s="5" t="n"/>
      <x:c r="C1490" s="12" t="n"/>
      <x:c r="D1490" s="12" t="n"/>
      <x:c r="E1490" s="12" t="n"/>
      <x:c r="F1490" s="12" t="n"/>
      <x:c r="G1490" s="13">
        <x:f>IF(F1490="","",IFERROR(VLOOKUP(F1490,Master_Data!$E$24:$G$33,2,FALSE),"9999"))</x:f>
      </x:c>
      <x:c r="H1490" s="12" t="n"/>
      <x:c r="I1490" s="12" t="n"/>
      <x:c r="J1490" s="12" t="n"/>
      <x:c r="K1490" s="12" t="n"/>
      <x:c r="L1490" s="11" t="n"/>
      <x:c r="M1490" s="9" t="n"/>
      <x:c r="N1490" s="12" t="n"/>
      <x:c r="O1490" s="6">
        <x:f>IF(N1490="","",IFERROR(VLOOKUP(N1490,Master_Data!$A$5:$C$8,3,FALSE),0))</x:f>
      </x:c>
      <x:c r="P1490" s="7">
        <x:f>IF(M1490="","",M1490*O1490)</x:f>
      </x:c>
      <x:c r="Q1490" s="7">
        <x:f>IF(M1490="","",M1490+P1490)</x:f>
      </x:c>
      <x:c r="R1490" s="7">
        <x:f>IF(K1490&lt;&gt;"Paid",0,IF(C1490="Income",Q1490,-Q1490))</x:f>
      </x:c>
      <x:c r="S1490" s="14">
        <x:f>IF(A1490="","",DATE(YEAR(A1490),MONTH(A1490),1))</x:f>
      </x:c>
      <x:c r="T1490" s="14">
        <x:f>IF(L1490="","",DATE(YEAR(L1490),MONTH(L1490),1))</x:f>
      </x:c>
    </x:row>
    <x:row r="1491">
      <x:c r="A1491" s="11" t="n"/>
      <x:c r="B1491" s="5" t="n"/>
      <x:c r="C1491" s="12" t="n"/>
      <x:c r="D1491" s="12" t="n"/>
      <x:c r="E1491" s="12" t="n"/>
      <x:c r="F1491" s="12" t="n"/>
      <x:c r="G1491" s="13">
        <x:f>IF(F1491="","",IFERROR(VLOOKUP(F1491,Master_Data!$E$24:$G$33,2,FALSE),"9999"))</x:f>
      </x:c>
      <x:c r="H1491" s="12" t="n"/>
      <x:c r="I1491" s="12" t="n"/>
      <x:c r="J1491" s="12" t="n"/>
      <x:c r="K1491" s="12" t="n"/>
      <x:c r="L1491" s="11" t="n"/>
      <x:c r="M1491" s="9" t="n"/>
      <x:c r="N1491" s="12" t="n"/>
      <x:c r="O1491" s="6">
        <x:f>IF(N1491="","",IFERROR(VLOOKUP(N1491,Master_Data!$A$5:$C$8,3,FALSE),0))</x:f>
      </x:c>
      <x:c r="P1491" s="7">
        <x:f>IF(M1491="","",M1491*O1491)</x:f>
      </x:c>
      <x:c r="Q1491" s="7">
        <x:f>IF(M1491="","",M1491+P1491)</x:f>
      </x:c>
      <x:c r="R1491" s="7">
        <x:f>IF(K1491&lt;&gt;"Paid",0,IF(C1491="Income",Q1491,-Q1491))</x:f>
      </x:c>
      <x:c r="S1491" s="14">
        <x:f>IF(A1491="","",DATE(YEAR(A1491),MONTH(A1491),1))</x:f>
      </x:c>
      <x:c r="T1491" s="14">
        <x:f>IF(L1491="","",DATE(YEAR(L1491),MONTH(L1491),1))</x:f>
      </x:c>
    </x:row>
    <x:row r="1492">
      <x:c r="A1492" s="11" t="n"/>
      <x:c r="B1492" s="5" t="n"/>
      <x:c r="C1492" s="12" t="n"/>
      <x:c r="D1492" s="12" t="n"/>
      <x:c r="E1492" s="12" t="n"/>
      <x:c r="F1492" s="12" t="n"/>
      <x:c r="G1492" s="13">
        <x:f>IF(F1492="","",IFERROR(VLOOKUP(F1492,Master_Data!$E$24:$G$33,2,FALSE),"9999"))</x:f>
      </x:c>
      <x:c r="H1492" s="12" t="n"/>
      <x:c r="I1492" s="12" t="n"/>
      <x:c r="J1492" s="12" t="n"/>
      <x:c r="K1492" s="12" t="n"/>
      <x:c r="L1492" s="11" t="n"/>
      <x:c r="M1492" s="9" t="n"/>
      <x:c r="N1492" s="12" t="n"/>
      <x:c r="O1492" s="6">
        <x:f>IF(N1492="","",IFERROR(VLOOKUP(N1492,Master_Data!$A$5:$C$8,3,FALSE),0))</x:f>
      </x:c>
      <x:c r="P1492" s="7">
        <x:f>IF(M1492="","",M1492*O1492)</x:f>
      </x:c>
      <x:c r="Q1492" s="7">
        <x:f>IF(M1492="","",M1492+P1492)</x:f>
      </x:c>
      <x:c r="R1492" s="7">
        <x:f>IF(K1492&lt;&gt;"Paid",0,IF(C1492="Income",Q1492,-Q1492))</x:f>
      </x:c>
      <x:c r="S1492" s="14">
        <x:f>IF(A1492="","",DATE(YEAR(A1492),MONTH(A1492),1))</x:f>
      </x:c>
      <x:c r="T1492" s="14">
        <x:f>IF(L1492="","",DATE(YEAR(L1492),MONTH(L1492),1))</x:f>
      </x:c>
    </x:row>
    <x:row r="1493">
      <x:c r="A1493" s="11" t="n"/>
      <x:c r="B1493" s="5" t="n"/>
      <x:c r="C1493" s="12" t="n"/>
      <x:c r="D1493" s="12" t="n"/>
      <x:c r="E1493" s="12" t="n"/>
      <x:c r="F1493" s="12" t="n"/>
      <x:c r="G1493" s="13">
        <x:f>IF(F1493="","",IFERROR(VLOOKUP(F1493,Master_Data!$E$24:$G$33,2,FALSE),"9999"))</x:f>
      </x:c>
      <x:c r="H1493" s="12" t="n"/>
      <x:c r="I1493" s="12" t="n"/>
      <x:c r="J1493" s="12" t="n"/>
      <x:c r="K1493" s="12" t="n"/>
      <x:c r="L1493" s="11" t="n"/>
      <x:c r="M1493" s="9" t="n"/>
      <x:c r="N1493" s="12" t="n"/>
      <x:c r="O1493" s="6">
        <x:f>IF(N1493="","",IFERROR(VLOOKUP(N1493,Master_Data!$A$5:$C$8,3,FALSE),0))</x:f>
      </x:c>
      <x:c r="P1493" s="7">
        <x:f>IF(M1493="","",M1493*O1493)</x:f>
      </x:c>
      <x:c r="Q1493" s="7">
        <x:f>IF(M1493="","",M1493+P1493)</x:f>
      </x:c>
      <x:c r="R1493" s="7">
        <x:f>IF(K1493&lt;&gt;"Paid",0,IF(C1493="Income",Q1493,-Q1493))</x:f>
      </x:c>
      <x:c r="S1493" s="14">
        <x:f>IF(A1493="","",DATE(YEAR(A1493),MONTH(A1493),1))</x:f>
      </x:c>
      <x:c r="T1493" s="14">
        <x:f>IF(L1493="","",DATE(YEAR(L1493),MONTH(L1493),1))</x:f>
      </x:c>
    </x:row>
    <x:row r="1494">
      <x:c r="A1494" s="11" t="n"/>
      <x:c r="B1494" s="5" t="n"/>
      <x:c r="C1494" s="12" t="n"/>
      <x:c r="D1494" s="12" t="n"/>
      <x:c r="E1494" s="12" t="n"/>
      <x:c r="F1494" s="12" t="n"/>
      <x:c r="G1494" s="13">
        <x:f>IF(F1494="","",IFERROR(VLOOKUP(F1494,Master_Data!$E$24:$G$33,2,FALSE),"9999"))</x:f>
      </x:c>
      <x:c r="H1494" s="12" t="n"/>
      <x:c r="I1494" s="12" t="n"/>
      <x:c r="J1494" s="12" t="n"/>
      <x:c r="K1494" s="12" t="n"/>
      <x:c r="L1494" s="11" t="n"/>
      <x:c r="M1494" s="9" t="n"/>
      <x:c r="N1494" s="12" t="n"/>
      <x:c r="O1494" s="6">
        <x:f>IF(N1494="","",IFERROR(VLOOKUP(N1494,Master_Data!$A$5:$C$8,3,FALSE),0))</x:f>
      </x:c>
      <x:c r="P1494" s="7">
        <x:f>IF(M1494="","",M1494*O1494)</x:f>
      </x:c>
      <x:c r="Q1494" s="7">
        <x:f>IF(M1494="","",M1494+P1494)</x:f>
      </x:c>
      <x:c r="R1494" s="7">
        <x:f>IF(K1494&lt;&gt;"Paid",0,IF(C1494="Income",Q1494,-Q1494))</x:f>
      </x:c>
      <x:c r="S1494" s="14">
        <x:f>IF(A1494="","",DATE(YEAR(A1494),MONTH(A1494),1))</x:f>
      </x:c>
      <x:c r="T1494" s="14">
        <x:f>IF(L1494="","",DATE(YEAR(L1494),MONTH(L1494),1))</x:f>
      </x:c>
    </x:row>
    <x:row r="1495">
      <x:c r="A1495" s="11" t="n"/>
      <x:c r="B1495" s="5" t="n"/>
      <x:c r="C1495" s="12" t="n"/>
      <x:c r="D1495" s="12" t="n"/>
      <x:c r="E1495" s="12" t="n"/>
      <x:c r="F1495" s="12" t="n"/>
      <x:c r="G1495" s="13">
        <x:f>IF(F1495="","",IFERROR(VLOOKUP(F1495,Master_Data!$E$24:$G$33,2,FALSE),"9999"))</x:f>
      </x:c>
      <x:c r="H1495" s="12" t="n"/>
      <x:c r="I1495" s="12" t="n"/>
      <x:c r="J1495" s="12" t="n"/>
      <x:c r="K1495" s="12" t="n"/>
      <x:c r="L1495" s="11" t="n"/>
      <x:c r="M1495" s="9" t="n"/>
      <x:c r="N1495" s="12" t="n"/>
      <x:c r="O1495" s="6">
        <x:f>IF(N1495="","",IFERROR(VLOOKUP(N1495,Master_Data!$A$5:$C$8,3,FALSE),0))</x:f>
      </x:c>
      <x:c r="P1495" s="7">
        <x:f>IF(M1495="","",M1495*O1495)</x:f>
      </x:c>
      <x:c r="Q1495" s="7">
        <x:f>IF(M1495="","",M1495+P1495)</x:f>
      </x:c>
      <x:c r="R1495" s="7">
        <x:f>IF(K1495&lt;&gt;"Paid",0,IF(C1495="Income",Q1495,-Q1495))</x:f>
      </x:c>
      <x:c r="S1495" s="14">
        <x:f>IF(A1495="","",DATE(YEAR(A1495),MONTH(A1495),1))</x:f>
      </x:c>
      <x:c r="T1495" s="14">
        <x:f>IF(L1495="","",DATE(YEAR(L1495),MONTH(L1495),1))</x:f>
      </x:c>
    </x:row>
    <x:row r="1496">
      <x:c r="A1496" s="11" t="n"/>
      <x:c r="B1496" s="5" t="n"/>
      <x:c r="C1496" s="12" t="n"/>
      <x:c r="D1496" s="12" t="n"/>
      <x:c r="E1496" s="12" t="n"/>
      <x:c r="F1496" s="12" t="n"/>
      <x:c r="G1496" s="13">
        <x:f>IF(F1496="","",IFERROR(VLOOKUP(F1496,Master_Data!$E$24:$G$33,2,FALSE),"9999"))</x:f>
      </x:c>
      <x:c r="H1496" s="12" t="n"/>
      <x:c r="I1496" s="12" t="n"/>
      <x:c r="J1496" s="12" t="n"/>
      <x:c r="K1496" s="12" t="n"/>
      <x:c r="L1496" s="11" t="n"/>
      <x:c r="M1496" s="9" t="n"/>
      <x:c r="N1496" s="12" t="n"/>
      <x:c r="O1496" s="6">
        <x:f>IF(N1496="","",IFERROR(VLOOKUP(N1496,Master_Data!$A$5:$C$8,3,FALSE),0))</x:f>
      </x:c>
      <x:c r="P1496" s="7">
        <x:f>IF(M1496="","",M1496*O1496)</x:f>
      </x:c>
      <x:c r="Q1496" s="7">
        <x:f>IF(M1496="","",M1496+P1496)</x:f>
      </x:c>
      <x:c r="R1496" s="7">
        <x:f>IF(K1496&lt;&gt;"Paid",0,IF(C1496="Income",Q1496,-Q1496))</x:f>
      </x:c>
      <x:c r="S1496" s="14">
        <x:f>IF(A1496="","",DATE(YEAR(A1496),MONTH(A1496),1))</x:f>
      </x:c>
      <x:c r="T1496" s="14">
        <x:f>IF(L1496="","",DATE(YEAR(L1496),MONTH(L1496),1))</x:f>
      </x:c>
    </x:row>
    <x:row r="1497">
      <x:c r="A1497" s="11" t="n"/>
      <x:c r="B1497" s="5" t="n"/>
      <x:c r="C1497" s="12" t="n"/>
      <x:c r="D1497" s="12" t="n"/>
      <x:c r="E1497" s="12" t="n"/>
      <x:c r="F1497" s="12" t="n"/>
      <x:c r="G1497" s="13">
        <x:f>IF(F1497="","",IFERROR(VLOOKUP(F1497,Master_Data!$E$24:$G$33,2,FALSE),"9999"))</x:f>
      </x:c>
      <x:c r="H1497" s="12" t="n"/>
      <x:c r="I1497" s="12" t="n"/>
      <x:c r="J1497" s="12" t="n"/>
      <x:c r="K1497" s="12" t="n"/>
      <x:c r="L1497" s="11" t="n"/>
      <x:c r="M1497" s="9" t="n"/>
      <x:c r="N1497" s="12" t="n"/>
      <x:c r="O1497" s="6">
        <x:f>IF(N1497="","",IFERROR(VLOOKUP(N1497,Master_Data!$A$5:$C$8,3,FALSE),0))</x:f>
      </x:c>
      <x:c r="P1497" s="7">
        <x:f>IF(M1497="","",M1497*O1497)</x:f>
      </x:c>
      <x:c r="Q1497" s="7">
        <x:f>IF(M1497="","",M1497+P1497)</x:f>
      </x:c>
      <x:c r="R1497" s="7">
        <x:f>IF(K1497&lt;&gt;"Paid",0,IF(C1497="Income",Q1497,-Q1497))</x:f>
      </x:c>
      <x:c r="S1497" s="14">
        <x:f>IF(A1497="","",DATE(YEAR(A1497),MONTH(A1497),1))</x:f>
      </x:c>
      <x:c r="T1497" s="14">
        <x:f>IF(L1497="","",DATE(YEAR(L1497),MONTH(L1497),1))</x:f>
      </x:c>
    </x:row>
    <x:row r="1498">
      <x:c r="A1498" s="11" t="n"/>
      <x:c r="B1498" s="5" t="n"/>
      <x:c r="C1498" s="12" t="n"/>
      <x:c r="D1498" s="12" t="n"/>
      <x:c r="E1498" s="12" t="n"/>
      <x:c r="F1498" s="12" t="n"/>
      <x:c r="G1498" s="13">
        <x:f>IF(F1498="","",IFERROR(VLOOKUP(F1498,Master_Data!$E$24:$G$33,2,FALSE),"9999"))</x:f>
      </x:c>
      <x:c r="H1498" s="12" t="n"/>
      <x:c r="I1498" s="12" t="n"/>
      <x:c r="J1498" s="12" t="n"/>
      <x:c r="K1498" s="12" t="n"/>
      <x:c r="L1498" s="11" t="n"/>
      <x:c r="M1498" s="9" t="n"/>
      <x:c r="N1498" s="12" t="n"/>
      <x:c r="O1498" s="6">
        <x:f>IF(N1498="","",IFERROR(VLOOKUP(N1498,Master_Data!$A$5:$C$8,3,FALSE),0))</x:f>
      </x:c>
      <x:c r="P1498" s="7">
        <x:f>IF(M1498="","",M1498*O1498)</x:f>
      </x:c>
      <x:c r="Q1498" s="7">
        <x:f>IF(M1498="","",M1498+P1498)</x:f>
      </x:c>
      <x:c r="R1498" s="7">
        <x:f>IF(K1498&lt;&gt;"Paid",0,IF(C1498="Income",Q1498,-Q1498))</x:f>
      </x:c>
      <x:c r="S1498" s="14">
        <x:f>IF(A1498="","",DATE(YEAR(A1498),MONTH(A1498),1))</x:f>
      </x:c>
      <x:c r="T1498" s="14">
        <x:f>IF(L1498="","",DATE(YEAR(L1498),MONTH(L1498),1))</x:f>
      </x:c>
    </x:row>
    <x:row r="1499">
      <x:c r="A1499" s="11" t="n"/>
      <x:c r="B1499" s="5" t="n"/>
      <x:c r="C1499" s="12" t="n"/>
      <x:c r="D1499" s="12" t="n"/>
      <x:c r="E1499" s="12" t="n"/>
      <x:c r="F1499" s="12" t="n"/>
      <x:c r="G1499" s="13">
        <x:f>IF(F1499="","",IFERROR(VLOOKUP(F1499,Master_Data!$E$24:$G$33,2,FALSE),"9999"))</x:f>
      </x:c>
      <x:c r="H1499" s="12" t="n"/>
      <x:c r="I1499" s="12" t="n"/>
      <x:c r="J1499" s="12" t="n"/>
      <x:c r="K1499" s="12" t="n"/>
      <x:c r="L1499" s="11" t="n"/>
      <x:c r="M1499" s="9" t="n"/>
      <x:c r="N1499" s="12" t="n"/>
      <x:c r="O1499" s="6">
        <x:f>IF(N1499="","",IFERROR(VLOOKUP(N1499,Master_Data!$A$5:$C$8,3,FALSE),0))</x:f>
      </x:c>
      <x:c r="P1499" s="7">
        <x:f>IF(M1499="","",M1499*O1499)</x:f>
      </x:c>
      <x:c r="Q1499" s="7">
        <x:f>IF(M1499="","",M1499+P1499)</x:f>
      </x:c>
      <x:c r="R1499" s="7">
        <x:f>IF(K1499&lt;&gt;"Paid",0,IF(C1499="Income",Q1499,-Q1499))</x:f>
      </x:c>
      <x:c r="S1499" s="14">
        <x:f>IF(A1499="","",DATE(YEAR(A1499),MONTH(A1499),1))</x:f>
      </x:c>
      <x:c r="T1499" s="14">
        <x:f>IF(L1499="","",DATE(YEAR(L1499),MONTH(L1499),1))</x:f>
      </x:c>
    </x:row>
    <x:row r="1500">
      <x:c r="A1500" s="11" t="n"/>
      <x:c r="B1500" s="5" t="n"/>
      <x:c r="C1500" s="12" t="n"/>
      <x:c r="D1500" s="12" t="n"/>
      <x:c r="E1500" s="12" t="n"/>
      <x:c r="F1500" s="12" t="n"/>
      <x:c r="G1500" s="13">
        <x:f>IF(F1500="","",IFERROR(VLOOKUP(F1500,Master_Data!$E$24:$G$33,2,FALSE),"9999"))</x:f>
      </x:c>
      <x:c r="H1500" s="12" t="n"/>
      <x:c r="I1500" s="12" t="n"/>
      <x:c r="J1500" s="12" t="n"/>
      <x:c r="K1500" s="12" t="n"/>
      <x:c r="L1500" s="11" t="n"/>
      <x:c r="M1500" s="9" t="n"/>
      <x:c r="N1500" s="12" t="n"/>
      <x:c r="O1500" s="6">
        <x:f>IF(N1500="","",IFERROR(VLOOKUP(N1500,Master_Data!$A$5:$C$8,3,FALSE),0))</x:f>
      </x:c>
      <x:c r="P1500" s="7">
        <x:f>IF(M1500="","",M1500*O1500)</x:f>
      </x:c>
      <x:c r="Q1500" s="7">
        <x:f>IF(M1500="","",M1500+P1500)</x:f>
      </x:c>
      <x:c r="R1500" s="7">
        <x:f>IF(K1500&lt;&gt;"Paid",0,IF(C1500="Income",Q1500,-Q1500))</x:f>
      </x:c>
      <x:c r="S1500" s="14">
        <x:f>IF(A1500="","",DATE(YEAR(A1500),MONTH(A1500),1))</x:f>
      </x:c>
      <x:c r="T1500" s="14">
        <x:f>IF(L1500="","",DATE(YEAR(L1500),MONTH(L1500),1))</x:f>
      </x:c>
    </x:row>
    <x:row r="1501">
      <x:c r="A1501" s="11" t="n"/>
      <x:c r="B1501" s="5" t="n"/>
      <x:c r="C1501" s="12" t="n"/>
      <x:c r="D1501" s="12" t="n"/>
      <x:c r="E1501" s="12" t="n"/>
      <x:c r="F1501" s="12" t="n"/>
      <x:c r="G1501" s="13">
        <x:f>IF(F1501="","",IFERROR(VLOOKUP(F1501,Master_Data!$E$24:$G$33,2,FALSE),"9999"))</x:f>
      </x:c>
      <x:c r="H1501" s="12" t="n"/>
      <x:c r="I1501" s="12" t="n"/>
      <x:c r="J1501" s="12" t="n"/>
      <x:c r="K1501" s="12" t="n"/>
      <x:c r="L1501" s="11" t="n"/>
      <x:c r="M1501" s="9" t="n"/>
      <x:c r="N1501" s="12" t="n"/>
      <x:c r="O1501" s="6">
        <x:f>IF(N1501="","",IFERROR(VLOOKUP(N1501,Master_Data!$A$5:$C$8,3,FALSE),0))</x:f>
      </x:c>
      <x:c r="P1501" s="7">
        <x:f>IF(M1501="","",M1501*O1501)</x:f>
      </x:c>
      <x:c r="Q1501" s="7">
        <x:f>IF(M1501="","",M1501+P1501)</x:f>
      </x:c>
      <x:c r="R1501" s="7">
        <x:f>IF(K1501&lt;&gt;"Paid",0,IF(C1501="Income",Q1501,-Q1501))</x:f>
      </x:c>
      <x:c r="S1501" s="14">
        <x:f>IF(A1501="","",DATE(YEAR(A1501),MONTH(A1501),1))</x:f>
      </x:c>
      <x:c r="T1501" s="14">
        <x:f>IF(L1501="","",DATE(YEAR(L1501),MONTH(L1501),1))</x:f>
      </x:c>
    </x:row>
  </x:sheetData>
  <x:conditionalFormatting sqref="A2:T1501">
    <x:cfRule type="expression" dxfId="0" priority="1">
      <x:formula>AND($F2&lt;&gt;"",$G2="9999")</x:formula>
    </x:cfRule>
    <x:cfRule type="expression" dxfId="1" priority="2">
      <x:formula>AND($K2="Paid",$L2="")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040922d59f3448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customWidth="1"/>
    <x:col min="2" max="2" width="16" customWidth="1"/>
    <x:col min="3" max="3" width="16" customWidth="1"/>
    <x:col min="4" max="4" width="16" customWidth="1"/>
    <x:col min="5" max="5" width="2" customWidth="1"/>
    <x:col min="6" max="6" width="16" customWidth="1"/>
    <x:col min="7" max="7" width="16" customWidth="1"/>
    <x:col min="8" max="8" width="16" customWidth="1"/>
  </x:cols>
  <x:sheetData>
    <x:row r="1" ht="22" customHeight="1">
      <x:c r="A1" s="3" t="inlineStr">
        <x:is>
          <x:t xml:space="preserve">MONTHLY MANAGEMENT REPORTS</x:t>
        </x:is>
      </x:c>
    </x:row>
    <x:row r="3">
      <x:c r="A3" s="4" t="inlineStr">
        <x:is>
          <x:t xml:space="preserve">Month</x:t>
        </x:is>
      </x:c>
      <x:c r="B3" s="4" t="inlineStr">
        <x:is>
          <x:t xml:space="preserve">Income (Net)</x:t>
        </x:is>
      </x:c>
      <x:c r="C3" s="4" t="inlineStr">
        <x:is>
          <x:t xml:space="preserve">Expenses (Net)</x:t>
        </x:is>
      </x:c>
      <x:c r="D3" s="4" t="inlineStr">
        <x:is>
          <x:t xml:space="preserve">Net Result</x:t>
        </x:is>
      </x:c>
      <x:c r="F3" s="4" t="inlineStr">
        <x:is>
          <x:t xml:space="preserve">Cash In</x:t>
        </x:is>
      </x:c>
      <x:c r="G3" s="4" t="inlineStr">
        <x:is>
          <x:t xml:space="preserve">Cash Out</x:t>
        </x:is>
      </x:c>
      <x:c r="H3" s="4" t="inlineStr">
        <x:is>
          <x:t xml:space="preserve">Net Cashflow</x:t>
        </x:is>
      </x:c>
    </x:row>
    <x:row r="4">
      <x:c r="A4" s="15" t="n">
        <x:v>45658</x:v>
      </x:c>
      <x:c r="B4" s="7">
        <x:f>SUMIFS(Journal!$M$2:$M$1501,Journal!$C$2:$C$1501,"Income",Journal!$S$2:$S$1501,A4)</x:f>
        <x:v>0</x:v>
      </x:c>
      <x:c r="C4" s="7">
        <x:f>SUMIFS(Journal!$M$2:$M$1501,Journal!$C$2:$C$1501,"Expense",Journal!$S$2:$S$1501,A4) + SUMIFS(Journal!$M$2:$M$1501,Journal!$C$2:$C$1501,"Equity Distribution",Journal!$S$2:$S$1501,A4)</x:f>
        <x:v>0</x:v>
      </x:c>
      <x:c r="D4" s="7">
        <x:f>B4-C4</x:f>
        <x:v>0</x:v>
      </x:c>
      <x:c r="F4" s="7">
        <x:f>SUMIFS(Journal!$Q$2:$Q$1501,Journal!$C$2:$C$1501,"Income",Journal!$K$2:$K$1501,"Paid",Journal!$T$2:$T$1501,A4)</x:f>
        <x:v>0</x:v>
      </x:c>
      <x:c r="G4" s="7">
        <x:f>SUMIFS(Journal!$Q$2:$Q$1501,Journal!$C$2:$C$1501,"Expense",Journal!$K$2:$K$1501,"Paid",Journal!$T$2:$T$1501,A4) + SUMIFS(Journal!$Q$2:$Q$1501,Journal!$C$2:$C$1501,"Equity Distribution",Journal!$K$2:$K$1501,"Paid",Journal!$T$2:$T$1501,A4)</x:f>
        <x:v>0</x:v>
      </x:c>
      <x:c r="H4" s="7">
        <x:f>F4-G4</x:f>
        <x:v>0</x:v>
      </x:c>
    </x:row>
    <x:row r="5">
      <x:c r="A5" s="15" t="n">
        <x:v>45689</x:v>
      </x:c>
      <x:c r="B5" s="7">
        <x:f>SUMIFS(Journal!$M$2:$M$1501,Journal!$C$2:$C$1501,"Income",Journal!$S$2:$S$1501,A5)</x:f>
        <x:v>0</x:v>
      </x:c>
      <x:c r="C5" s="7">
        <x:f>SUMIFS(Journal!$M$2:$M$1501,Journal!$C$2:$C$1501,"Expense",Journal!$S$2:$S$1501,A5) + SUMIFS(Journal!$M$2:$M$1501,Journal!$C$2:$C$1501,"Equity Distribution",Journal!$S$2:$S$1501,A5)</x:f>
        <x:v>0</x:v>
      </x:c>
      <x:c r="D5" s="7">
        <x:f>B5-C5</x:f>
        <x:v>0</x:v>
      </x:c>
      <x:c r="F5" s="7">
        <x:f>SUMIFS(Journal!$Q$2:$Q$1501,Journal!$C$2:$C$1501,"Income",Journal!$K$2:$K$1501,"Paid",Journal!$T$2:$T$1501,A5)</x:f>
        <x:v>0</x:v>
      </x:c>
      <x:c r="G5" s="7">
        <x:f>SUMIFS(Journal!$Q$2:$Q$1501,Journal!$C$2:$C$1501,"Expense",Journal!$K$2:$K$1501,"Paid",Journal!$T$2:$T$1501,A5) + SUMIFS(Journal!$Q$2:$Q$1501,Journal!$C$2:$C$1501,"Equity Distribution",Journal!$K$2:$K$1501,"Paid",Journal!$T$2:$T$1501,A5)</x:f>
        <x:v>0</x:v>
      </x:c>
      <x:c r="H5" s="7">
        <x:f>F5-G5</x:f>
        <x:v>0</x:v>
      </x:c>
    </x:row>
    <x:row r="6">
      <x:c r="A6" s="15" t="n">
        <x:v>45717</x:v>
      </x:c>
      <x:c r="B6" s="7">
        <x:f>SUMIFS(Journal!$M$2:$M$1501,Journal!$C$2:$C$1501,"Income",Journal!$S$2:$S$1501,A6)</x:f>
        <x:v>0</x:v>
      </x:c>
      <x:c r="C6" s="7">
        <x:f>SUMIFS(Journal!$M$2:$M$1501,Journal!$C$2:$C$1501,"Expense",Journal!$S$2:$S$1501,A6) + SUMIFS(Journal!$M$2:$M$1501,Journal!$C$2:$C$1501,"Equity Distribution",Journal!$S$2:$S$1501,A6)</x:f>
        <x:v>0</x:v>
      </x:c>
      <x:c r="D6" s="7">
        <x:f>B6-C6</x:f>
        <x:v>0</x:v>
      </x:c>
      <x:c r="F6" s="7">
        <x:f>SUMIFS(Journal!$Q$2:$Q$1501,Journal!$C$2:$C$1501,"Income",Journal!$K$2:$K$1501,"Paid",Journal!$T$2:$T$1501,A6)</x:f>
        <x:v>0</x:v>
      </x:c>
      <x:c r="G6" s="7">
        <x:f>SUMIFS(Journal!$Q$2:$Q$1501,Journal!$C$2:$C$1501,"Expense",Journal!$K$2:$K$1501,"Paid",Journal!$T$2:$T$1501,A6) + SUMIFS(Journal!$Q$2:$Q$1501,Journal!$C$2:$C$1501,"Equity Distribution",Journal!$K$2:$K$1501,"Paid",Journal!$T$2:$T$1501,A6)</x:f>
        <x:v>0</x:v>
      </x:c>
      <x:c r="H6" s="7">
        <x:f>F6-G6</x:f>
        <x:v>0</x:v>
      </x:c>
    </x:row>
    <x:row r="7">
      <x:c r="A7" s="15" t="n">
        <x:v>45748</x:v>
      </x:c>
      <x:c r="B7" s="7">
        <x:f>SUMIFS(Journal!$M$2:$M$1501,Journal!$C$2:$C$1501,"Income",Journal!$S$2:$S$1501,A7)</x:f>
        <x:v>0</x:v>
      </x:c>
      <x:c r="C7" s="7">
        <x:f>SUMIFS(Journal!$M$2:$M$1501,Journal!$C$2:$C$1501,"Expense",Journal!$S$2:$S$1501,A7) + SUMIFS(Journal!$M$2:$M$1501,Journal!$C$2:$C$1501,"Equity Distribution",Journal!$S$2:$S$1501,A7)</x:f>
        <x:v>0</x:v>
      </x:c>
      <x:c r="D7" s="7">
        <x:f>B7-C7</x:f>
        <x:v>0</x:v>
      </x:c>
      <x:c r="F7" s="7">
        <x:f>SUMIFS(Journal!$Q$2:$Q$1501,Journal!$C$2:$C$1501,"Income",Journal!$K$2:$K$1501,"Paid",Journal!$T$2:$T$1501,A7)</x:f>
        <x:v>0</x:v>
      </x:c>
      <x:c r="G7" s="7">
        <x:f>SUMIFS(Journal!$Q$2:$Q$1501,Journal!$C$2:$C$1501,"Expense",Journal!$K$2:$K$1501,"Paid",Journal!$T$2:$T$1501,A7) + SUMIFS(Journal!$Q$2:$Q$1501,Journal!$C$2:$C$1501,"Equity Distribution",Journal!$K$2:$K$1501,"Paid",Journal!$T$2:$T$1501,A7)</x:f>
        <x:v>0</x:v>
      </x:c>
      <x:c r="H7" s="7">
        <x:f>F7-G7</x:f>
        <x:v>0</x:v>
      </x:c>
    </x:row>
    <x:row r="8">
      <x:c r="A8" s="15" t="n">
        <x:v>45778</x:v>
      </x:c>
      <x:c r="B8" s="7">
        <x:f>SUMIFS(Journal!$M$2:$M$1501,Journal!$C$2:$C$1501,"Income",Journal!$S$2:$S$1501,A8)</x:f>
        <x:v>0</x:v>
      </x:c>
      <x:c r="C8" s="7">
        <x:f>SUMIFS(Journal!$M$2:$M$1501,Journal!$C$2:$C$1501,"Expense",Journal!$S$2:$S$1501,A8) + SUMIFS(Journal!$M$2:$M$1501,Journal!$C$2:$C$1501,"Equity Distribution",Journal!$S$2:$S$1501,A8)</x:f>
        <x:v>0</x:v>
      </x:c>
      <x:c r="D8" s="7">
        <x:f>B8-C8</x:f>
        <x:v>0</x:v>
      </x:c>
      <x:c r="F8" s="7">
        <x:f>SUMIFS(Journal!$Q$2:$Q$1501,Journal!$C$2:$C$1501,"Income",Journal!$K$2:$K$1501,"Paid",Journal!$T$2:$T$1501,A8)</x:f>
        <x:v>0</x:v>
      </x:c>
      <x:c r="G8" s="7">
        <x:f>SUMIFS(Journal!$Q$2:$Q$1501,Journal!$C$2:$C$1501,"Expense",Journal!$K$2:$K$1501,"Paid",Journal!$T$2:$T$1501,A8) + SUMIFS(Journal!$Q$2:$Q$1501,Journal!$C$2:$C$1501,"Equity Distribution",Journal!$K$2:$K$1501,"Paid",Journal!$T$2:$T$1501,A8)</x:f>
        <x:v>0</x:v>
      </x:c>
      <x:c r="H8" s="7">
        <x:f>F8-G8</x:f>
        <x:v>0</x:v>
      </x:c>
    </x:row>
    <x:row r="9">
      <x:c r="A9" s="15" t="n">
        <x:v>45809</x:v>
      </x:c>
      <x:c r="B9" s="7">
        <x:f>SUMIFS(Journal!$M$2:$M$1501,Journal!$C$2:$C$1501,"Income",Journal!$S$2:$S$1501,A9)</x:f>
        <x:v>0</x:v>
      </x:c>
      <x:c r="C9" s="7">
        <x:f>SUMIFS(Journal!$M$2:$M$1501,Journal!$C$2:$C$1501,"Expense",Journal!$S$2:$S$1501,A9) + SUMIFS(Journal!$M$2:$M$1501,Journal!$C$2:$C$1501,"Equity Distribution",Journal!$S$2:$S$1501,A9)</x:f>
        <x:v>0</x:v>
      </x:c>
      <x:c r="D9" s="7">
        <x:f>B9-C9</x:f>
        <x:v>0</x:v>
      </x:c>
      <x:c r="F9" s="7">
        <x:f>SUMIFS(Journal!$Q$2:$Q$1501,Journal!$C$2:$C$1501,"Income",Journal!$K$2:$K$1501,"Paid",Journal!$T$2:$T$1501,A9)</x:f>
        <x:v>0</x:v>
      </x:c>
      <x:c r="G9" s="7">
        <x:f>SUMIFS(Journal!$Q$2:$Q$1501,Journal!$C$2:$C$1501,"Expense",Journal!$K$2:$K$1501,"Paid",Journal!$T$2:$T$1501,A9) + SUMIFS(Journal!$Q$2:$Q$1501,Journal!$C$2:$C$1501,"Equity Distribution",Journal!$K$2:$K$1501,"Paid",Journal!$T$2:$T$1501,A9)</x:f>
        <x:v>0</x:v>
      </x:c>
      <x:c r="H9" s="7">
        <x:f>F9-G9</x:f>
        <x:v>0</x:v>
      </x:c>
    </x:row>
    <x:row r="10">
      <x:c r="A10" s="15" t="n">
        <x:v>45839</x:v>
      </x:c>
      <x:c r="B10" s="7">
        <x:f>SUMIFS(Journal!$M$2:$M$1501,Journal!$C$2:$C$1501,"Income",Journal!$S$2:$S$1501,A10)</x:f>
        <x:v>0</x:v>
      </x:c>
      <x:c r="C10" s="7">
        <x:f>SUMIFS(Journal!$M$2:$M$1501,Journal!$C$2:$C$1501,"Expense",Journal!$S$2:$S$1501,A10) + SUMIFS(Journal!$M$2:$M$1501,Journal!$C$2:$C$1501,"Equity Distribution",Journal!$S$2:$S$1501,A10)</x:f>
        <x:v>0</x:v>
      </x:c>
      <x:c r="D10" s="7">
        <x:f>B10-C10</x:f>
        <x:v>0</x:v>
      </x:c>
      <x:c r="F10" s="7">
        <x:f>SUMIFS(Journal!$Q$2:$Q$1501,Journal!$C$2:$C$1501,"Income",Journal!$K$2:$K$1501,"Paid",Journal!$T$2:$T$1501,A10)</x:f>
        <x:v>0</x:v>
      </x:c>
      <x:c r="G10" s="7">
        <x:f>SUMIFS(Journal!$Q$2:$Q$1501,Journal!$C$2:$C$1501,"Expense",Journal!$K$2:$K$1501,"Paid",Journal!$T$2:$T$1501,A10) + SUMIFS(Journal!$Q$2:$Q$1501,Journal!$C$2:$C$1501,"Equity Distribution",Journal!$K$2:$K$1501,"Paid",Journal!$T$2:$T$1501,A10)</x:f>
        <x:v>0</x:v>
      </x:c>
      <x:c r="H10" s="7">
        <x:f>F10-G10</x:f>
        <x:v>0</x:v>
      </x:c>
    </x:row>
    <x:row r="11">
      <x:c r="A11" s="15" t="n">
        <x:v>45870</x:v>
      </x:c>
      <x:c r="B11" s="7">
        <x:f>SUMIFS(Journal!$M$2:$M$1501,Journal!$C$2:$C$1501,"Income",Journal!$S$2:$S$1501,A11)</x:f>
        <x:v>0</x:v>
      </x:c>
      <x:c r="C11" s="7">
        <x:f>SUMIFS(Journal!$M$2:$M$1501,Journal!$C$2:$C$1501,"Expense",Journal!$S$2:$S$1501,A11) + SUMIFS(Journal!$M$2:$M$1501,Journal!$C$2:$C$1501,"Equity Distribution",Journal!$S$2:$S$1501,A11)</x:f>
        <x:v>0</x:v>
      </x:c>
      <x:c r="D11" s="7">
        <x:f>B11-C11</x:f>
        <x:v>0</x:v>
      </x:c>
      <x:c r="F11" s="7">
        <x:f>SUMIFS(Journal!$Q$2:$Q$1501,Journal!$C$2:$C$1501,"Income",Journal!$K$2:$K$1501,"Paid",Journal!$T$2:$T$1501,A11)</x:f>
        <x:v>0</x:v>
      </x:c>
      <x:c r="G11" s="7">
        <x:f>SUMIFS(Journal!$Q$2:$Q$1501,Journal!$C$2:$C$1501,"Expense",Journal!$K$2:$K$1501,"Paid",Journal!$T$2:$T$1501,A11) + SUMIFS(Journal!$Q$2:$Q$1501,Journal!$C$2:$C$1501,"Equity Distribution",Journal!$K$2:$K$1501,"Paid",Journal!$T$2:$T$1501,A11)</x:f>
        <x:v>0</x:v>
      </x:c>
      <x:c r="H11" s="7">
        <x:f>F11-G11</x:f>
        <x:v>0</x:v>
      </x:c>
    </x:row>
    <x:row r="12">
      <x:c r="A12" s="15" t="n">
        <x:v>45901</x:v>
      </x:c>
      <x:c r="B12" s="7">
        <x:f>SUMIFS(Journal!$M$2:$M$1501,Journal!$C$2:$C$1501,"Income",Journal!$S$2:$S$1501,A12)</x:f>
        <x:v>0</x:v>
      </x:c>
      <x:c r="C12" s="7">
        <x:f>SUMIFS(Journal!$M$2:$M$1501,Journal!$C$2:$C$1501,"Expense",Journal!$S$2:$S$1501,A12) + SUMIFS(Journal!$M$2:$M$1501,Journal!$C$2:$C$1501,"Equity Distribution",Journal!$S$2:$S$1501,A12)</x:f>
        <x:v>0</x:v>
      </x:c>
      <x:c r="D12" s="7">
        <x:f>B12-C12</x:f>
        <x:v>0</x:v>
      </x:c>
      <x:c r="F12" s="7">
        <x:f>SUMIFS(Journal!$Q$2:$Q$1501,Journal!$C$2:$C$1501,"Income",Journal!$K$2:$K$1501,"Paid",Journal!$T$2:$T$1501,A12)</x:f>
        <x:v>0</x:v>
      </x:c>
      <x:c r="G12" s="7">
        <x:f>SUMIFS(Journal!$Q$2:$Q$1501,Journal!$C$2:$C$1501,"Expense",Journal!$K$2:$K$1501,"Paid",Journal!$T$2:$T$1501,A12) + SUMIFS(Journal!$Q$2:$Q$1501,Journal!$C$2:$C$1501,"Equity Distribution",Journal!$K$2:$K$1501,"Paid",Journal!$T$2:$T$1501,A12)</x:f>
        <x:v>0</x:v>
      </x:c>
      <x:c r="H12" s="7">
        <x:f>F12-G12</x:f>
        <x:v>0</x:v>
      </x:c>
    </x:row>
    <x:row r="13">
      <x:c r="A13" s="15" t="n">
        <x:v>45931</x:v>
      </x:c>
      <x:c r="B13" s="7">
        <x:f>SUMIFS(Journal!$M$2:$M$1501,Journal!$C$2:$C$1501,"Income",Journal!$S$2:$S$1501,A13)</x:f>
        <x:v>0</x:v>
      </x:c>
      <x:c r="C13" s="7">
        <x:f>SUMIFS(Journal!$M$2:$M$1501,Journal!$C$2:$C$1501,"Expense",Journal!$S$2:$S$1501,A13) + SUMIFS(Journal!$M$2:$M$1501,Journal!$C$2:$C$1501,"Equity Distribution",Journal!$S$2:$S$1501,A13)</x:f>
        <x:v>0</x:v>
      </x:c>
      <x:c r="D13" s="7">
        <x:f>B13-C13</x:f>
        <x:v>0</x:v>
      </x:c>
      <x:c r="F13" s="7">
        <x:f>SUMIFS(Journal!$Q$2:$Q$1501,Journal!$C$2:$C$1501,"Income",Journal!$K$2:$K$1501,"Paid",Journal!$T$2:$T$1501,A13)</x:f>
        <x:v>0</x:v>
      </x:c>
      <x:c r="G13" s="7">
        <x:f>SUMIFS(Journal!$Q$2:$Q$1501,Journal!$C$2:$C$1501,"Expense",Journal!$K$2:$K$1501,"Paid",Journal!$T$2:$T$1501,A13) + SUMIFS(Journal!$Q$2:$Q$1501,Journal!$C$2:$C$1501,"Equity Distribution",Journal!$K$2:$K$1501,"Paid",Journal!$T$2:$T$1501,A13)</x:f>
        <x:v>0</x:v>
      </x:c>
      <x:c r="H13" s="7">
        <x:f>F13-G13</x:f>
        <x:v>0</x:v>
      </x:c>
    </x:row>
    <x:row r="14">
      <x:c r="A14" s="15" t="n">
        <x:v>45962</x:v>
      </x:c>
      <x:c r="B14" s="7">
        <x:f>SUMIFS(Journal!$M$2:$M$1501,Journal!$C$2:$C$1501,"Income",Journal!$S$2:$S$1501,A14)</x:f>
        <x:v>0</x:v>
      </x:c>
      <x:c r="C14" s="7">
        <x:f>SUMIFS(Journal!$M$2:$M$1501,Journal!$C$2:$C$1501,"Expense",Journal!$S$2:$S$1501,A14) + SUMIFS(Journal!$M$2:$M$1501,Journal!$C$2:$C$1501,"Equity Distribution",Journal!$S$2:$S$1501,A14)</x:f>
        <x:v>0</x:v>
      </x:c>
      <x:c r="D14" s="7">
        <x:f>B14-C14</x:f>
        <x:v>0</x:v>
      </x:c>
      <x:c r="F14" s="7">
        <x:f>SUMIFS(Journal!$Q$2:$Q$1501,Journal!$C$2:$C$1501,"Income",Journal!$K$2:$K$1501,"Paid",Journal!$T$2:$T$1501,A14)</x:f>
        <x:v>0</x:v>
      </x:c>
      <x:c r="G14" s="7">
        <x:f>SUMIFS(Journal!$Q$2:$Q$1501,Journal!$C$2:$C$1501,"Expense",Journal!$K$2:$K$1501,"Paid",Journal!$T$2:$T$1501,A14) + SUMIFS(Journal!$Q$2:$Q$1501,Journal!$C$2:$C$1501,"Equity Distribution",Journal!$K$2:$K$1501,"Paid",Journal!$T$2:$T$1501,A14)</x:f>
        <x:v>0</x:v>
      </x:c>
      <x:c r="H14" s="7">
        <x:f>F14-G14</x:f>
        <x:v>0</x:v>
      </x:c>
    </x:row>
    <x:row r="15">
      <x:c r="A15" s="15" t="n">
        <x:v>45992</x:v>
      </x:c>
      <x:c r="B15" s="7">
        <x:f>SUMIFS(Journal!$M$2:$M$1501,Journal!$C$2:$C$1501,"Income",Journal!$S$2:$S$1501,A15)</x:f>
        <x:v>0</x:v>
      </x:c>
      <x:c r="C15" s="7">
        <x:f>SUMIFS(Journal!$M$2:$M$1501,Journal!$C$2:$C$1501,"Expense",Journal!$S$2:$S$1501,A15) + SUMIFS(Journal!$M$2:$M$1501,Journal!$C$2:$C$1501,"Equity Distribution",Journal!$S$2:$S$1501,A15)</x:f>
        <x:v>0</x:v>
      </x:c>
      <x:c r="D15" s="7">
        <x:f>B15-C15</x:f>
        <x:v>0</x:v>
      </x:c>
      <x:c r="F15" s="7">
        <x:f>SUMIFS(Journal!$Q$2:$Q$1501,Journal!$C$2:$C$1501,"Income",Journal!$K$2:$K$1501,"Paid",Journal!$T$2:$T$1501,A15)</x:f>
        <x:v>0</x:v>
      </x:c>
      <x:c r="G15" s="7">
        <x:f>SUMIFS(Journal!$Q$2:$Q$1501,Journal!$C$2:$C$1501,"Expense",Journal!$K$2:$K$1501,"Paid",Journal!$T$2:$T$1501,A15) + SUMIFS(Journal!$Q$2:$Q$1501,Journal!$C$2:$C$1501,"Equity Distribution",Journal!$K$2:$K$1501,"Paid",Journal!$T$2:$T$1501,A15)</x:f>
        <x:v>0</x:v>
      </x:c>
      <x:c r="H15" s="7">
        <x:f>F15-G15</x:f>
        <x:v>0</x:v>
      </x:c>
    </x:row>
    <x:row r="16">
      <x:c r="A16" s="15" t="n">
        <x:v>46023</x:v>
      </x:c>
      <x:c r="B16" s="7">
        <x:f>SUMIFS(Journal!$M$2:$M$1501,Journal!$C$2:$C$1501,"Income",Journal!$S$2:$S$1501,A16)</x:f>
        <x:v>0</x:v>
      </x:c>
      <x:c r="C16" s="7">
        <x:f>SUMIFS(Journal!$M$2:$M$1501,Journal!$C$2:$C$1501,"Expense",Journal!$S$2:$S$1501,A16) + SUMIFS(Journal!$M$2:$M$1501,Journal!$C$2:$C$1501,"Equity Distribution",Journal!$S$2:$S$1501,A16)</x:f>
        <x:v>0</x:v>
      </x:c>
      <x:c r="D16" s="7">
        <x:f>B16-C16</x:f>
        <x:v>0</x:v>
      </x:c>
      <x:c r="F16" s="7">
        <x:f>SUMIFS(Journal!$Q$2:$Q$1501,Journal!$C$2:$C$1501,"Income",Journal!$K$2:$K$1501,"Paid",Journal!$T$2:$T$1501,A16)</x:f>
        <x:v>0</x:v>
      </x:c>
      <x:c r="G16" s="7">
        <x:f>SUMIFS(Journal!$Q$2:$Q$1501,Journal!$C$2:$C$1501,"Expense",Journal!$K$2:$K$1501,"Paid",Journal!$T$2:$T$1501,A16) + SUMIFS(Journal!$Q$2:$Q$1501,Journal!$C$2:$C$1501,"Equity Distribution",Journal!$K$2:$K$1501,"Paid",Journal!$T$2:$T$1501,A16)</x:f>
        <x:v>0</x:v>
      </x:c>
      <x:c r="H16" s="7">
        <x:f>F16-G16</x:f>
        <x:v>0</x:v>
      </x:c>
    </x:row>
    <x:row r="17">
      <x:c r="A17" s="16" t="inlineStr">
        <x:is>
          <x:t xml:space="preserve">TOTAL</x:t>
        </x:is>
      </x:c>
      <x:c r="B17" s="17">
        <x:f>SUM(B4:B16)</x:f>
        <x:v>0</x:v>
      </x:c>
      <x:c r="C17" s="17">
        <x:f>SUM(C4:C16)</x:f>
        <x:v>0</x:v>
      </x:c>
      <x:c r="D17" s="17">
        <x:f>SUM(D4:D16)</x:f>
        <x:v>0</x:v>
      </x:c>
      <x:c r="F17" s="17">
        <x:f>SUM(F4:F16)</x:f>
        <x:v>0</x:v>
      </x:c>
      <x:c r="G17" s="17">
        <x:f>SUM(G4:G16)</x:f>
        <x:v>0</x:v>
      </x:c>
      <x:c r="H17" s="17">
        <x:f>SUM(H4:H16)</x:f>
        <x:v>0</x:v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customWidth="1"/>
    <x:col min="2" max="2" width="18" customWidth="1"/>
    <x:col min="3" max="3" width="4" customWidth="1"/>
    <x:col min="4" max="4" width="30" customWidth="1"/>
    <x:col min="5" max="5" width="18" customWidth="1"/>
    <x:col min="6" max="6" width="4" customWidth="1"/>
  </x:cols>
  <x:sheetData>
    <x:row r="1" ht="22" customHeight="1">
      <x:c r="A1" s="3" t="inlineStr">
        <x:is>
          <x:t xml:space="preserve">BALANCES</x:t>
        </x:is>
      </x:c>
    </x:row>
    <x:row r="3">
      <x:c r="A3" s="18" t="inlineStr">
        <x:is>
          <x:t xml:space="preserve">Cash Opening</x:t>
        </x:is>
      </x:c>
      <x:c r="B3" s="7">
        <x:f>Master_Data!$F$9</x:f>
        <x:v>0</x:v>
      </x:c>
      <x:c r="D3" s="18" t="inlineStr">
        <x:is>
          <x:t xml:space="preserve">Main Bank Opening</x:t>
        </x:is>
      </x:c>
      <x:c r="E3" s="7">
        <x:f>Master_Data!$H$5</x:f>
        <x:v>0</x:v>
      </x:c>
    </x:row>
    <x:row r="4">
      <x:c r="A4" s="18" t="inlineStr">
        <x:is>
          <x:t xml:space="preserve">Cash Movements (Paid Cash)</x:t>
        </x:is>
      </x:c>
      <x:c r="B4" s="7">
        <x:f>SUMIFS(Journal!$R$2:$R$1501,Journal!$I$2:$I$1501,"Cash")</x:f>
        <x:v>-322.4200000000002</x:v>
      </x:c>
      <x:c r="D4" s="18" t="inlineStr">
        <x:is>
          <x:t xml:space="preserve">Bank Movements (Paid non-Cash)</x:t>
        </x:is>
      </x:c>
      <x:c r="E4" s="7">
        <x:f>SUMIFS(Journal!$R$2:$R$1501,Journal!$I$2:$I$1501,"&lt;&gt;Cash")</x:f>
        <x:v>988.24</x:v>
      </x:c>
    </x:row>
    <x:row r="5">
      <x:c r="A5" s="18" t="inlineStr">
        <x:is>
          <x:t xml:space="preserve">Cash Closing</x:t>
        </x:is>
      </x:c>
      <x:c r="B5" s="7">
        <x:f>B3+B4</x:f>
        <x:v>-322.4200000000002</x:v>
      </x:c>
      <x:c r="D5" s="18" t="inlineStr">
        <x:is>
          <x:t xml:space="preserve">Bank Closing</x:t>
        </x:is>
      </x:c>
      <x:c r="E5" s="7">
        <x:f>E3+E4</x:f>
        <x:v>988.24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customWidth="1"/>
    <x:col min="2" max="2" width="14" customWidth="1"/>
    <x:col min="3" max="3" width="36" customWidth="1"/>
  </x:cols>
  <x:sheetData>
    <x:row r="1" ht="22" customHeight="1">
      <x:c r="A1" s="3" t="inlineStr">
        <x:is>
          <x:t xml:space="preserve">CONTROLS / EXCEPTIONS</x:t>
        </x:is>
      </x:c>
    </x:row>
    <x:row r="3">
      <x:c r="A3" s="4" t="inlineStr">
        <x:is>
          <x:t xml:space="preserve">Rule</x:t>
        </x:is>
      </x:c>
      <x:c r="B3" s="4" t="inlineStr">
        <x:is>
          <x:t xml:space="preserve">Count</x:t>
        </x:is>
      </x:c>
      <x:c r="C3" s="4" t="inlineStr">
        <x:is>
          <x:t xml:space="preserve">Action</x:t>
        </x:is>
      </x:c>
    </x:row>
    <x:row r="4">
      <x:c r="A4" s="5" t="inlineStr">
        <x:is>
          <x:t xml:space="preserve">Paid but missing Payment Date</x:t>
        </x:is>
      </x:c>
      <x:c r="B4" s="13">
        <x:f>COUNTIFS(Journal!$K$2:$K$1501,"Paid",Journal!$L$2:$L$1501,"")</x:f>
        <x:v>0</x:v>
      </x:c>
      <x:c r="C4" s="5" t="inlineStr">
        <x:is>
          <x:t xml:space="preserve">Fill Payment Date</x:t>
        </x:is>
      </x:c>
    </x:row>
    <x:row r="5">
      <x:c r="A5" s="5" t="inlineStr">
        <x:is>
          <x:t xml:space="preserve">Unmapped Category (GL=9999)</x:t>
        </x:is>
      </x:c>
      <x:c r="B5" s="13">
        <x:f>COUNTIFS(Journal!$F$2:$F$1501,"&lt;&gt;",Journal!$G$2:$G$1501,"9999")</x:f>
        <x:v>0</x:v>
      </x:c>
      <x:c r="C5" s="5" t="inlineStr">
        <x:is>
          <x:t xml:space="preserve">Fix mapping in Master_Data</x:t>
        </x:is>
      </x:c>
    </x:row>
    <x:row r="6">
      <x:c r="A6" s="5" t="inlineStr">
        <x:is>
          <x:t xml:space="preserve">Missing Category</x:t>
        </x:is>
      </x:c>
      <x:c r="B6" s="13">
        <x:f>COUNTIF(Journal!$F$2:$F$1501,"")</x:f>
        <x:v>0</x:v>
      </x:c>
      <x:c r="C6" s="5" t="inlineStr">
        <x:is>
          <x:t xml:space="preserve">Fill Category</x:t>
        </x:is>
      </x:c>
    </x:row>
    <x:row r="7">
      <x:c r="A7" s="5" t="inlineStr">
        <x:is>
          <x:t xml:space="preserve">Missing Amount</x:t>
        </x:is>
      </x:c>
      <x:c r="B7" s="13">
        <x:f>COUNTIF(Journal!$M$2:$M$1501,"")</x:f>
        <x:v>0</x:v>
      </x:c>
      <x:c r="C7" s="5" t="inlineStr">
        <x:is>
          <x:t xml:space="preserve">Fill Amount</x:t>
        </x:is>
      </x:c>
    </x:row>
  </x:sheetData>
  <x:mergeCells>
    <x:mergeCell ref="A1:F1"/>
  </x:mergeCells>
  <x:pageMargins left="0.7" right="0.7" top="0.75" bottom="0.75" header="0.3" footer="0.3"/>
</x:worksheet>
</file>